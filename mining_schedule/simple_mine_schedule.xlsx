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Repositories\jupyter\mining_schedule\"/>
    </mc:Choice>
  </mc:AlternateContent>
  <xr:revisionPtr revIDLastSave="0" documentId="13_ncr:1_{CD11FD44-DB50-4ABD-9DEA-CF9ADA732C2C}" xr6:coauthVersionLast="47" xr6:coauthVersionMax="47" xr10:uidLastSave="{00000000-0000-0000-0000-000000000000}"/>
  <bookViews>
    <workbookView xWindow="-120" yWindow="-120" windowWidth="29040" windowHeight="15720" xr2:uid="{4B2F49A3-FB43-4028-9781-0C934F20C7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5" i="1" l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L36" i="1"/>
  <c r="R9" i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M35" i="1"/>
  <c r="O35" i="1" s="1"/>
  <c r="M34" i="1"/>
  <c r="O34" i="1" s="1"/>
  <c r="M33" i="1"/>
  <c r="O33" i="1" s="1"/>
  <c r="M32" i="1"/>
  <c r="O32" i="1" s="1"/>
  <c r="M31" i="1"/>
  <c r="O31" i="1" s="1"/>
  <c r="M30" i="1"/>
  <c r="O30" i="1" s="1"/>
  <c r="M29" i="1"/>
  <c r="O29" i="1" s="1"/>
  <c r="M28" i="1"/>
  <c r="O28" i="1" s="1"/>
  <c r="M27" i="1"/>
  <c r="O27" i="1" s="1"/>
  <c r="M26" i="1"/>
  <c r="O26" i="1" s="1"/>
  <c r="M25" i="1"/>
  <c r="O25" i="1" s="1"/>
  <c r="M24" i="1"/>
  <c r="O24" i="1" s="1"/>
  <c r="M23" i="1"/>
  <c r="O23" i="1" s="1"/>
  <c r="M22" i="1"/>
  <c r="O22" i="1" s="1"/>
  <c r="M21" i="1"/>
  <c r="O21" i="1" s="1"/>
  <c r="M20" i="1"/>
  <c r="O20" i="1" s="1"/>
  <c r="M19" i="1"/>
  <c r="O19" i="1" s="1"/>
  <c r="M18" i="1"/>
  <c r="O18" i="1" s="1"/>
  <c r="M17" i="1"/>
  <c r="O17" i="1" s="1"/>
  <c r="M16" i="1"/>
  <c r="O16" i="1" s="1"/>
  <c r="M15" i="1"/>
  <c r="O15" i="1" s="1"/>
  <c r="M14" i="1"/>
  <c r="O14" i="1" s="1"/>
  <c r="M13" i="1"/>
  <c r="O13" i="1" s="1"/>
  <c r="M12" i="1"/>
  <c r="O12" i="1" s="1"/>
  <c r="M11" i="1"/>
  <c r="O11" i="1" s="1"/>
  <c r="M10" i="1"/>
  <c r="O10" i="1" s="1"/>
  <c r="M9" i="1"/>
  <c r="K36" i="1"/>
  <c r="C36" i="1"/>
  <c r="D13" i="1"/>
  <c r="E12" i="1"/>
  <c r="G12" i="1" s="1"/>
  <c r="I12" i="1" s="1"/>
  <c r="E11" i="1"/>
  <c r="G11" i="1" s="1"/>
  <c r="I11" i="1" s="1"/>
  <c r="E10" i="1"/>
  <c r="G10" i="1" s="1"/>
  <c r="I10" i="1" s="1"/>
  <c r="E9" i="1"/>
  <c r="G9" i="1" s="1"/>
  <c r="I9" i="1" s="1"/>
  <c r="O9" i="1" l="1"/>
  <c r="M36" i="1"/>
  <c r="J9" i="1"/>
  <c r="J10" i="1" s="1"/>
  <c r="J11" i="1" s="1"/>
  <c r="J12" i="1" s="1"/>
  <c r="E13" i="1"/>
  <c r="G13" i="1" s="1"/>
  <c r="I13" i="1" s="1"/>
  <c r="D14" i="1"/>
  <c r="P9" i="1" l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O36" i="1"/>
  <c r="J13" i="1"/>
  <c r="E14" i="1"/>
  <c r="G14" i="1" s="1"/>
  <c r="I14" i="1" s="1"/>
  <c r="D15" i="1"/>
  <c r="J14" i="1" l="1"/>
  <c r="E15" i="1"/>
  <c r="G15" i="1" s="1"/>
  <c r="I15" i="1" s="1"/>
  <c r="D16" i="1"/>
  <c r="J15" i="1" l="1"/>
  <c r="E16" i="1"/>
  <c r="G16" i="1" s="1"/>
  <c r="I16" i="1" s="1"/>
  <c r="D17" i="1"/>
  <c r="J16" i="1" l="1"/>
  <c r="E17" i="1"/>
  <c r="G17" i="1" s="1"/>
  <c r="I17" i="1" s="1"/>
  <c r="J17" i="1" s="1"/>
  <c r="D18" i="1"/>
  <c r="E18" i="1" l="1"/>
  <c r="G18" i="1" s="1"/>
  <c r="I18" i="1" s="1"/>
  <c r="J18" i="1" s="1"/>
  <c r="D19" i="1"/>
  <c r="E19" i="1" l="1"/>
  <c r="G19" i="1" s="1"/>
  <c r="I19" i="1" s="1"/>
  <c r="J19" i="1" s="1"/>
  <c r="D20" i="1"/>
  <c r="E20" i="1" l="1"/>
  <c r="G20" i="1" s="1"/>
  <c r="I20" i="1" s="1"/>
  <c r="J20" i="1" s="1"/>
  <c r="D21" i="1"/>
  <c r="E21" i="1" l="1"/>
  <c r="G21" i="1" s="1"/>
  <c r="I21" i="1" s="1"/>
  <c r="J21" i="1" s="1"/>
  <c r="D22" i="1"/>
  <c r="E22" i="1" l="1"/>
  <c r="G22" i="1" s="1"/>
  <c r="I22" i="1" s="1"/>
  <c r="J22" i="1" s="1"/>
  <c r="D23" i="1"/>
  <c r="E23" i="1" l="1"/>
  <c r="G23" i="1" s="1"/>
  <c r="I23" i="1" s="1"/>
  <c r="J23" i="1" s="1"/>
  <c r="D24" i="1"/>
  <c r="E24" i="1" l="1"/>
  <c r="G24" i="1" s="1"/>
  <c r="I24" i="1" s="1"/>
  <c r="J24" i="1" s="1"/>
  <c r="D25" i="1"/>
  <c r="E25" i="1" l="1"/>
  <c r="G25" i="1" s="1"/>
  <c r="I25" i="1" s="1"/>
  <c r="J25" i="1" s="1"/>
  <c r="D26" i="1"/>
  <c r="E26" i="1" l="1"/>
  <c r="G26" i="1" s="1"/>
  <c r="I26" i="1" s="1"/>
  <c r="J26" i="1" s="1"/>
  <c r="D27" i="1"/>
  <c r="E27" i="1" l="1"/>
  <c r="G27" i="1" s="1"/>
  <c r="I27" i="1" s="1"/>
  <c r="J27" i="1" s="1"/>
  <c r="D28" i="1"/>
  <c r="E28" i="1" l="1"/>
  <c r="G28" i="1" s="1"/>
  <c r="I28" i="1" s="1"/>
  <c r="J28" i="1" s="1"/>
  <c r="D29" i="1"/>
  <c r="E29" i="1" l="1"/>
  <c r="G29" i="1" s="1"/>
  <c r="I29" i="1" s="1"/>
  <c r="J29" i="1" s="1"/>
  <c r="D30" i="1"/>
  <c r="E30" i="1" l="1"/>
  <c r="G30" i="1" s="1"/>
  <c r="I30" i="1" s="1"/>
  <c r="J30" i="1" s="1"/>
  <c r="D31" i="1"/>
  <c r="E31" i="1" l="1"/>
  <c r="G31" i="1" s="1"/>
  <c r="I31" i="1" s="1"/>
  <c r="J31" i="1" s="1"/>
  <c r="D32" i="1"/>
  <c r="E32" i="1" l="1"/>
  <c r="G32" i="1" s="1"/>
  <c r="I32" i="1" s="1"/>
  <c r="J32" i="1" s="1"/>
  <c r="D33" i="1"/>
  <c r="E33" i="1" l="1"/>
  <c r="G33" i="1" s="1"/>
  <c r="I33" i="1" s="1"/>
  <c r="J33" i="1" s="1"/>
  <c r="D34" i="1"/>
  <c r="E34" i="1" l="1"/>
  <c r="G34" i="1" s="1"/>
  <c r="I34" i="1" s="1"/>
  <c r="D35" i="1"/>
  <c r="E35" i="1" s="1"/>
  <c r="G35" i="1" s="1"/>
  <c r="I35" i="1" s="1"/>
  <c r="I36" i="1" l="1"/>
  <c r="J34" i="1"/>
  <c r="J35" i="1" s="1"/>
  <c r="E36" i="1"/>
  <c r="G36" i="1"/>
</calcChain>
</file>

<file path=xl/sharedStrings.xml><?xml version="1.0" encoding="utf-8"?>
<sst xmlns="http://schemas.openxmlformats.org/spreadsheetml/2006/main" count="40" uniqueCount="28">
  <si>
    <t>Vol</t>
  </si>
  <si>
    <t>BH</t>
  </si>
  <si>
    <t>Area</t>
  </si>
  <si>
    <t>Dig Hrs</t>
  </si>
  <si>
    <t>m</t>
  </si>
  <si>
    <t>m3</t>
  </si>
  <si>
    <t>m2</t>
  </si>
  <si>
    <t>Pattern</t>
  </si>
  <si>
    <t>#</t>
  </si>
  <si>
    <t>Dig Rate</t>
  </si>
  <si>
    <t>bcm/hr</t>
  </si>
  <si>
    <t>hrs</t>
  </si>
  <si>
    <t>Availability</t>
  </si>
  <si>
    <t>Utilisation</t>
  </si>
  <si>
    <t>Dig Units</t>
  </si>
  <si>
    <t>each</t>
  </si>
  <si>
    <t>Excavation Days</t>
  </si>
  <si>
    <t>Cum. Exc. Days</t>
  </si>
  <si>
    <t>Drill Pen. Rate</t>
  </si>
  <si>
    <t>m/hr</t>
  </si>
  <si>
    <t>%</t>
  </si>
  <si>
    <t>Drill Hrs</t>
  </si>
  <si>
    <t>Drill Metres</t>
  </si>
  <si>
    <t>Drills</t>
  </si>
  <si>
    <t>Drill Days</t>
  </si>
  <si>
    <t>Cum. Drill Days</t>
  </si>
  <si>
    <t>Charge &amp; Blast Days</t>
  </si>
  <si>
    <t>Holes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</si>
</sst>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5" xfId="0" applyBorder="1"/>
    <xf numFmtId="165" fontId="0" fillId="0" borderId="6" xfId="0" applyNumberFormat="1" applyBorder="1"/>
    <xf numFmtId="0" fontId="0" fillId="0" borderId="3" xfId="0" applyBorder="1"/>
    <xf numFmtId="165" fontId="0" fillId="0" borderId="4" xfId="0" applyNumberFormat="1" applyBorder="1"/>
    <xf numFmtId="3" fontId="2" fillId="0" borderId="0" xfId="1" applyNumberFormat="1" applyFont="1"/>
    <xf numFmtId="165" fontId="2" fillId="0" borderId="0" xfId="0" applyNumberFormat="1" applyFont="1"/>
    <xf numFmtId="3" fontId="0" fillId="0" borderId="5" xfId="1" applyNumberFormat="1" applyFont="1" applyBorder="1"/>
    <xf numFmtId="3" fontId="0" fillId="0" borderId="3" xfId="1" applyNumberFormat="1" applyFont="1" applyBorder="1"/>
    <xf numFmtId="1" fontId="0" fillId="0" borderId="5" xfId="0" applyNumberFormat="1" applyBorder="1"/>
    <xf numFmtId="1" fontId="0" fillId="0" borderId="3" xfId="0" applyNumberFormat="1" applyBorder="1"/>
    <xf numFmtId="165" fontId="0" fillId="0" borderId="9" xfId="0" applyNumberFormat="1" applyBorder="1"/>
    <xf numFmtId="165" fontId="0" fillId="0" borderId="8" xfId="0" applyNumberFormat="1" applyBorder="1"/>
    <xf numFmtId="0" fontId="2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quotePrefix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" fontId="0" fillId="0" borderId="6" xfId="0" applyNumberFormat="1" applyBorder="1"/>
    <xf numFmtId="1" fontId="0" fillId="0" borderId="4" xfId="0" applyNumberFormat="1" applyBorder="1"/>
    <xf numFmtId="1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7956D-6155-4CA9-9B51-7C1662427FF3}">
  <dimension ref="B2:R36"/>
  <sheetViews>
    <sheetView tabSelected="1" workbookViewId="0">
      <selection activeCell="E4" sqref="E4"/>
    </sheetView>
  </sheetViews>
  <sheetFormatPr defaultRowHeight="15" x14ac:dyDescent="0.25"/>
  <cols>
    <col min="1" max="1" width="4" customWidth="1"/>
    <col min="2" max="16" width="17.7109375" customWidth="1"/>
    <col min="17" max="17" width="19.140625" bestFit="1" customWidth="1"/>
    <col min="18" max="18" width="17.7109375" customWidth="1"/>
  </cols>
  <sheetData>
    <row r="2" spans="2:18" x14ac:dyDescent="0.25">
      <c r="B2" t="s">
        <v>12</v>
      </c>
      <c r="C2" s="3">
        <v>85</v>
      </c>
      <c r="D2" t="s">
        <v>20</v>
      </c>
    </row>
    <row r="3" spans="2:18" x14ac:dyDescent="0.25">
      <c r="B3" t="s">
        <v>13</v>
      </c>
      <c r="C3" s="3">
        <v>90</v>
      </c>
      <c r="D3" t="s">
        <v>20</v>
      </c>
    </row>
    <row r="4" spans="2:18" x14ac:dyDescent="0.25">
      <c r="B4" t="s">
        <v>18</v>
      </c>
      <c r="C4" s="1">
        <v>30</v>
      </c>
      <c r="D4" t="s">
        <v>19</v>
      </c>
    </row>
    <row r="7" spans="2:18" x14ac:dyDescent="0.25">
      <c r="B7" s="16" t="s">
        <v>7</v>
      </c>
      <c r="C7" s="16" t="s">
        <v>2</v>
      </c>
      <c r="D7" s="17" t="s">
        <v>1</v>
      </c>
      <c r="E7" s="16" t="s">
        <v>0</v>
      </c>
      <c r="F7" s="16" t="s">
        <v>9</v>
      </c>
      <c r="G7" s="17" t="s">
        <v>3</v>
      </c>
      <c r="H7" s="18" t="s">
        <v>14</v>
      </c>
      <c r="I7" s="18" t="s">
        <v>16</v>
      </c>
      <c r="J7" s="18" t="s">
        <v>17</v>
      </c>
      <c r="K7" s="18" t="s">
        <v>22</v>
      </c>
      <c r="L7" s="18" t="s">
        <v>27</v>
      </c>
      <c r="M7" s="18" t="s">
        <v>21</v>
      </c>
      <c r="N7" s="18" t="s">
        <v>23</v>
      </c>
      <c r="O7" s="18" t="s">
        <v>24</v>
      </c>
      <c r="P7" s="18" t="s">
        <v>25</v>
      </c>
      <c r="Q7" s="18" t="s">
        <v>26</v>
      </c>
      <c r="R7" s="18" t="s">
        <v>25</v>
      </c>
    </row>
    <row r="8" spans="2:18" x14ac:dyDescent="0.25">
      <c r="B8" s="19" t="s">
        <v>8</v>
      </c>
      <c r="C8" s="19" t="s">
        <v>6</v>
      </c>
      <c r="D8" s="22" t="s">
        <v>4</v>
      </c>
      <c r="E8" s="19" t="s">
        <v>5</v>
      </c>
      <c r="F8" s="19" t="s">
        <v>10</v>
      </c>
      <c r="G8" s="20" t="s">
        <v>11</v>
      </c>
      <c r="H8" s="21" t="s">
        <v>15</v>
      </c>
      <c r="I8" s="21" t="s">
        <v>15</v>
      </c>
      <c r="J8" s="21" t="s">
        <v>15</v>
      </c>
      <c r="K8" s="21" t="s">
        <v>4</v>
      </c>
      <c r="L8" s="21" t="s">
        <v>15</v>
      </c>
      <c r="M8" s="21" t="s">
        <v>11</v>
      </c>
      <c r="N8" s="21" t="s">
        <v>15</v>
      </c>
      <c r="O8" s="21" t="s">
        <v>15</v>
      </c>
      <c r="P8" s="21" t="s">
        <v>15</v>
      </c>
      <c r="Q8" s="21" t="s">
        <v>15</v>
      </c>
      <c r="R8" s="21" t="s">
        <v>15</v>
      </c>
    </row>
    <row r="9" spans="2:18" x14ac:dyDescent="0.25">
      <c r="B9" s="4">
        <v>1</v>
      </c>
      <c r="C9" s="10">
        <v>2935</v>
      </c>
      <c r="D9" s="14">
        <v>7.5</v>
      </c>
      <c r="E9" s="10">
        <f>D9*C9</f>
        <v>22012.5</v>
      </c>
      <c r="F9" s="12">
        <v>650</v>
      </c>
      <c r="G9" s="14">
        <f>E9/F9</f>
        <v>33.865384615384613</v>
      </c>
      <c r="H9" s="5">
        <v>1</v>
      </c>
      <c r="I9" s="5">
        <f>G9/(H9*$C$2/100*$C$3/100)/24</f>
        <v>1.8445198592257415</v>
      </c>
      <c r="J9" s="5">
        <f>I9</f>
        <v>1.8445198592257415</v>
      </c>
      <c r="K9" s="5">
        <v>858.6</v>
      </c>
      <c r="L9" s="23">
        <v>150</v>
      </c>
      <c r="M9" s="5">
        <f>K9/$C$4</f>
        <v>28.62</v>
      </c>
      <c r="N9" s="5">
        <v>1</v>
      </c>
      <c r="O9" s="5">
        <f>M9/(N9*24*$C$2/100*$C$3/100)</f>
        <v>1.5588235294117647</v>
      </c>
      <c r="P9" s="5">
        <f>O9</f>
        <v>1.5588235294117647</v>
      </c>
      <c r="Q9" s="5">
        <v>1</v>
      </c>
      <c r="R9" s="5">
        <f>Q9</f>
        <v>1</v>
      </c>
    </row>
    <row r="10" spans="2:18" x14ac:dyDescent="0.25">
      <c r="B10" s="4">
        <v>2</v>
      </c>
      <c r="C10" s="10">
        <v>1758</v>
      </c>
      <c r="D10" s="14">
        <v>15</v>
      </c>
      <c r="E10" s="10">
        <f t="shared" ref="E10:E35" si="0">D10*C10</f>
        <v>26370</v>
      </c>
      <c r="F10" s="12">
        <v>800</v>
      </c>
      <c r="G10" s="14">
        <f t="shared" ref="G10:G35" si="1">E10/F10</f>
        <v>32.962499999999999</v>
      </c>
      <c r="H10" s="5">
        <v>1</v>
      </c>
      <c r="I10" s="5">
        <f t="shared" ref="I10:I35" si="2">G10/(H10*$C$2/100*$C$3/100)/24</f>
        <v>1.7953431372549018</v>
      </c>
      <c r="J10" s="5">
        <f>J9+I10</f>
        <v>3.6398629964806433</v>
      </c>
      <c r="K10" s="5">
        <v>550.79999999999995</v>
      </c>
      <c r="L10" s="23">
        <v>32</v>
      </c>
      <c r="M10" s="5">
        <f t="shared" ref="M10:M35" si="3">K10/$C$4</f>
        <v>18.36</v>
      </c>
      <c r="N10" s="5">
        <v>2</v>
      </c>
      <c r="O10" s="5">
        <f t="shared" ref="O10:O35" si="4">M10/(N10*24*$C$2/100*$C$3/100)</f>
        <v>0.5</v>
      </c>
      <c r="P10" s="5">
        <f>P9+O10</f>
        <v>2.0588235294117645</v>
      </c>
      <c r="Q10" s="5">
        <f>L10/50</f>
        <v>0.64</v>
      </c>
      <c r="R10" s="5">
        <f>Q10+R9</f>
        <v>1.6400000000000001</v>
      </c>
    </row>
    <row r="11" spans="2:18" x14ac:dyDescent="0.25">
      <c r="B11" s="4">
        <v>3</v>
      </c>
      <c r="C11" s="10">
        <v>4794</v>
      </c>
      <c r="D11" s="14">
        <v>15</v>
      </c>
      <c r="E11" s="10">
        <f t="shared" si="0"/>
        <v>71910</v>
      </c>
      <c r="F11" s="12">
        <v>850</v>
      </c>
      <c r="G11" s="14">
        <f t="shared" si="1"/>
        <v>84.6</v>
      </c>
      <c r="H11" s="5">
        <v>1</v>
      </c>
      <c r="I11" s="5">
        <f t="shared" si="2"/>
        <v>4.6078431372549016</v>
      </c>
      <c r="J11" s="5">
        <f t="shared" ref="J11:J35" si="5">J10+I11</f>
        <v>8.2477061337355444</v>
      </c>
      <c r="K11" s="5">
        <v>1425.6</v>
      </c>
      <c r="L11" s="23">
        <v>90</v>
      </c>
      <c r="M11" s="5">
        <f t="shared" si="3"/>
        <v>47.519999999999996</v>
      </c>
      <c r="N11" s="5">
        <v>3</v>
      </c>
      <c r="O11" s="5">
        <f t="shared" si="4"/>
        <v>0.86274509803921562</v>
      </c>
      <c r="P11" s="5">
        <f t="shared" ref="P11:P35" si="6">P10+O11</f>
        <v>2.9215686274509802</v>
      </c>
      <c r="Q11" s="5">
        <f t="shared" ref="Q11:Q35" si="7">L11/50</f>
        <v>1.8</v>
      </c>
      <c r="R11" s="5">
        <f t="shared" ref="R11:R35" si="8">Q11+R10</f>
        <v>3.4400000000000004</v>
      </c>
    </row>
    <row r="12" spans="2:18" x14ac:dyDescent="0.25">
      <c r="B12" s="4">
        <v>4</v>
      </c>
      <c r="C12" s="10">
        <v>3375</v>
      </c>
      <c r="D12" s="14">
        <v>15</v>
      </c>
      <c r="E12" s="10">
        <f t="shared" si="0"/>
        <v>50625</v>
      </c>
      <c r="F12" s="12">
        <v>950</v>
      </c>
      <c r="G12" s="14">
        <f t="shared" si="1"/>
        <v>53.289473684210527</v>
      </c>
      <c r="H12" s="5">
        <v>1</v>
      </c>
      <c r="I12" s="5">
        <f t="shared" si="2"/>
        <v>2.9024767801857583</v>
      </c>
      <c r="J12" s="5">
        <f t="shared" si="5"/>
        <v>11.150182913921302</v>
      </c>
      <c r="K12" s="5">
        <v>988.2</v>
      </c>
      <c r="L12" s="23">
        <v>61</v>
      </c>
      <c r="M12" s="5">
        <f t="shared" si="3"/>
        <v>32.940000000000005</v>
      </c>
      <c r="N12" s="5">
        <v>4</v>
      </c>
      <c r="O12" s="5">
        <f t="shared" si="4"/>
        <v>0.44852941176470595</v>
      </c>
      <c r="P12" s="5">
        <f t="shared" si="6"/>
        <v>3.3700980392156863</v>
      </c>
      <c r="Q12" s="5">
        <f t="shared" si="7"/>
        <v>1.22</v>
      </c>
      <c r="R12" s="5">
        <f t="shared" si="8"/>
        <v>4.66</v>
      </c>
    </row>
    <row r="13" spans="2:18" x14ac:dyDescent="0.25">
      <c r="B13" s="4">
        <v>5</v>
      </c>
      <c r="C13" s="10">
        <v>3735</v>
      </c>
      <c r="D13" s="14">
        <f>D12</f>
        <v>15</v>
      </c>
      <c r="E13" s="10">
        <f t="shared" si="0"/>
        <v>56025</v>
      </c>
      <c r="F13" s="12">
        <v>950</v>
      </c>
      <c r="G13" s="14">
        <f t="shared" si="1"/>
        <v>58.973684210526315</v>
      </c>
      <c r="H13" s="5">
        <v>1</v>
      </c>
      <c r="I13" s="5">
        <f t="shared" si="2"/>
        <v>3.2120743034055725</v>
      </c>
      <c r="J13" s="5">
        <f t="shared" si="5"/>
        <v>14.362257217326874</v>
      </c>
      <c r="K13" s="5">
        <v>1150.2</v>
      </c>
      <c r="L13" s="23">
        <v>69</v>
      </c>
      <c r="M13" s="5">
        <f t="shared" si="3"/>
        <v>38.340000000000003</v>
      </c>
      <c r="N13" s="5">
        <v>4</v>
      </c>
      <c r="O13" s="5">
        <f t="shared" si="4"/>
        <v>0.5220588235294118</v>
      </c>
      <c r="P13" s="5">
        <f t="shared" si="6"/>
        <v>3.892156862745098</v>
      </c>
      <c r="Q13" s="5">
        <f t="shared" si="7"/>
        <v>1.38</v>
      </c>
      <c r="R13" s="5">
        <f t="shared" si="8"/>
        <v>6.04</v>
      </c>
    </row>
    <row r="14" spans="2:18" x14ac:dyDescent="0.25">
      <c r="B14" s="4">
        <v>6</v>
      </c>
      <c r="C14" s="10">
        <v>3608</v>
      </c>
      <c r="D14" s="14">
        <f t="shared" ref="D14:D35" si="9">D13</f>
        <v>15</v>
      </c>
      <c r="E14" s="10">
        <f t="shared" si="0"/>
        <v>54120</v>
      </c>
      <c r="F14" s="12">
        <v>950</v>
      </c>
      <c r="G14" s="14">
        <f t="shared" si="1"/>
        <v>56.968421052631577</v>
      </c>
      <c r="H14" s="5">
        <v>1.5</v>
      </c>
      <c r="I14" s="5">
        <f t="shared" si="2"/>
        <v>2.0685701181057219</v>
      </c>
      <c r="J14" s="5">
        <f t="shared" si="5"/>
        <v>16.430827335432596</v>
      </c>
      <c r="K14" s="5">
        <v>1101.5999999999999</v>
      </c>
      <c r="L14" s="23">
        <v>67</v>
      </c>
      <c r="M14" s="5">
        <f t="shared" si="3"/>
        <v>36.72</v>
      </c>
      <c r="N14" s="5">
        <v>4</v>
      </c>
      <c r="O14" s="5">
        <f t="shared" si="4"/>
        <v>0.5</v>
      </c>
      <c r="P14" s="5">
        <f t="shared" si="6"/>
        <v>4.3921568627450984</v>
      </c>
      <c r="Q14" s="5">
        <f t="shared" si="7"/>
        <v>1.34</v>
      </c>
      <c r="R14" s="5">
        <f t="shared" si="8"/>
        <v>7.38</v>
      </c>
    </row>
    <row r="15" spans="2:18" x14ac:dyDescent="0.25">
      <c r="B15" s="4">
        <v>7</v>
      </c>
      <c r="C15" s="10">
        <v>3436</v>
      </c>
      <c r="D15" s="14">
        <f t="shared" si="9"/>
        <v>15</v>
      </c>
      <c r="E15" s="10">
        <f t="shared" si="0"/>
        <v>51540</v>
      </c>
      <c r="F15" s="12">
        <v>950</v>
      </c>
      <c r="G15" s="14">
        <f t="shared" si="1"/>
        <v>54.252631578947366</v>
      </c>
      <c r="H15" s="5">
        <v>2</v>
      </c>
      <c r="I15" s="5">
        <f t="shared" si="2"/>
        <v>1.477468180254558</v>
      </c>
      <c r="J15" s="5">
        <f t="shared" si="5"/>
        <v>17.908295515687154</v>
      </c>
      <c r="K15" s="5">
        <v>1020.6</v>
      </c>
      <c r="L15" s="23">
        <v>63</v>
      </c>
      <c r="M15" s="5">
        <f t="shared" si="3"/>
        <v>34.020000000000003</v>
      </c>
      <c r="N15" s="5">
        <v>4</v>
      </c>
      <c r="O15" s="5">
        <f t="shared" si="4"/>
        <v>0.46323529411764713</v>
      </c>
      <c r="P15" s="5">
        <f t="shared" si="6"/>
        <v>4.8553921568627452</v>
      </c>
      <c r="Q15" s="5">
        <f t="shared" si="7"/>
        <v>1.26</v>
      </c>
      <c r="R15" s="5">
        <f t="shared" si="8"/>
        <v>8.64</v>
      </c>
    </row>
    <row r="16" spans="2:18" x14ac:dyDescent="0.25">
      <c r="B16" s="4">
        <v>8</v>
      </c>
      <c r="C16" s="10">
        <v>5804</v>
      </c>
      <c r="D16" s="14">
        <f t="shared" si="9"/>
        <v>15</v>
      </c>
      <c r="E16" s="10">
        <f t="shared" si="0"/>
        <v>87060</v>
      </c>
      <c r="F16" s="12">
        <v>1000</v>
      </c>
      <c r="G16" s="14">
        <f t="shared" si="1"/>
        <v>87.06</v>
      </c>
      <c r="H16" s="5">
        <v>2</v>
      </c>
      <c r="I16" s="5">
        <f t="shared" si="2"/>
        <v>2.3709150326797386</v>
      </c>
      <c r="J16" s="5">
        <f t="shared" si="5"/>
        <v>20.279210548366894</v>
      </c>
      <c r="K16" s="5">
        <v>1765.8</v>
      </c>
      <c r="L16" s="23">
        <v>109</v>
      </c>
      <c r="M16" s="5">
        <f t="shared" si="3"/>
        <v>58.86</v>
      </c>
      <c r="N16" s="5">
        <v>4</v>
      </c>
      <c r="O16" s="5">
        <f t="shared" si="4"/>
        <v>0.80147058823529416</v>
      </c>
      <c r="P16" s="5">
        <f t="shared" si="6"/>
        <v>5.6568627450980395</v>
      </c>
      <c r="Q16" s="5">
        <f t="shared" si="7"/>
        <v>2.1800000000000002</v>
      </c>
      <c r="R16" s="5">
        <f t="shared" si="8"/>
        <v>10.82</v>
      </c>
    </row>
    <row r="17" spans="2:18" x14ac:dyDescent="0.25">
      <c r="B17" s="4">
        <v>9</v>
      </c>
      <c r="C17" s="10">
        <v>4289</v>
      </c>
      <c r="D17" s="14">
        <f t="shared" si="9"/>
        <v>15</v>
      </c>
      <c r="E17" s="10">
        <f t="shared" si="0"/>
        <v>64335</v>
      </c>
      <c r="F17" s="12">
        <v>950</v>
      </c>
      <c r="G17" s="14">
        <f t="shared" si="1"/>
        <v>67.721052631578942</v>
      </c>
      <c r="H17" s="5">
        <v>2</v>
      </c>
      <c r="I17" s="5">
        <f t="shared" si="2"/>
        <v>1.8442552459580321</v>
      </c>
      <c r="J17" s="5">
        <f t="shared" si="5"/>
        <v>22.123465794324925</v>
      </c>
      <c r="K17" s="5">
        <v>1279.8</v>
      </c>
      <c r="L17" s="23">
        <v>80</v>
      </c>
      <c r="M17" s="5">
        <f t="shared" si="3"/>
        <v>42.66</v>
      </c>
      <c r="N17" s="5">
        <v>4</v>
      </c>
      <c r="O17" s="5">
        <f t="shared" si="4"/>
        <v>0.58088235294117641</v>
      </c>
      <c r="P17" s="5">
        <f t="shared" si="6"/>
        <v>6.2377450980392162</v>
      </c>
      <c r="Q17" s="5">
        <f t="shared" si="7"/>
        <v>1.6</v>
      </c>
      <c r="R17" s="5">
        <f t="shared" si="8"/>
        <v>12.42</v>
      </c>
    </row>
    <row r="18" spans="2:18" x14ac:dyDescent="0.25">
      <c r="B18" s="4">
        <v>10</v>
      </c>
      <c r="C18" s="10">
        <v>4288</v>
      </c>
      <c r="D18" s="14">
        <f t="shared" si="9"/>
        <v>15</v>
      </c>
      <c r="E18" s="10">
        <f>D18*C18</f>
        <v>64320</v>
      </c>
      <c r="F18" s="12">
        <v>1000</v>
      </c>
      <c r="G18" s="14">
        <f t="shared" si="1"/>
        <v>64.319999999999993</v>
      </c>
      <c r="H18" s="5">
        <v>2</v>
      </c>
      <c r="I18" s="5">
        <f t="shared" si="2"/>
        <v>1.7516339869281043</v>
      </c>
      <c r="J18" s="5">
        <f t="shared" si="5"/>
        <v>23.875099781253031</v>
      </c>
      <c r="K18" s="5">
        <v>1215</v>
      </c>
      <c r="L18" s="23">
        <v>78</v>
      </c>
      <c r="M18" s="5">
        <f t="shared" si="3"/>
        <v>40.5</v>
      </c>
      <c r="N18" s="5">
        <v>4</v>
      </c>
      <c r="O18" s="5">
        <f t="shared" si="4"/>
        <v>0.55147058823529416</v>
      </c>
      <c r="P18" s="5">
        <f t="shared" si="6"/>
        <v>6.7892156862745106</v>
      </c>
      <c r="Q18" s="5">
        <f t="shared" si="7"/>
        <v>1.56</v>
      </c>
      <c r="R18" s="5">
        <f t="shared" si="8"/>
        <v>13.98</v>
      </c>
    </row>
    <row r="19" spans="2:18" x14ac:dyDescent="0.25">
      <c r="B19" s="4">
        <v>11</v>
      </c>
      <c r="C19" s="10">
        <v>4258</v>
      </c>
      <c r="D19" s="14">
        <f t="shared" si="9"/>
        <v>15</v>
      </c>
      <c r="E19" s="10">
        <f>D19*C19</f>
        <v>63870</v>
      </c>
      <c r="F19" s="12">
        <v>1000</v>
      </c>
      <c r="G19" s="14">
        <f t="shared" si="1"/>
        <v>63.87</v>
      </c>
      <c r="H19" s="5">
        <v>2</v>
      </c>
      <c r="I19" s="5">
        <f t="shared" si="2"/>
        <v>1.7393790849673201</v>
      </c>
      <c r="J19" s="5">
        <f t="shared" si="5"/>
        <v>25.614478866220352</v>
      </c>
      <c r="K19" s="5">
        <v>1279.8</v>
      </c>
      <c r="L19" s="23">
        <v>79</v>
      </c>
      <c r="M19" s="5">
        <f t="shared" si="3"/>
        <v>42.66</v>
      </c>
      <c r="N19" s="5">
        <v>4</v>
      </c>
      <c r="O19" s="5">
        <f t="shared" si="4"/>
        <v>0.58088235294117641</v>
      </c>
      <c r="P19" s="5">
        <f t="shared" si="6"/>
        <v>7.3700980392156872</v>
      </c>
      <c r="Q19" s="5">
        <f t="shared" si="7"/>
        <v>1.58</v>
      </c>
      <c r="R19" s="5">
        <f t="shared" si="8"/>
        <v>15.56</v>
      </c>
    </row>
    <row r="20" spans="2:18" x14ac:dyDescent="0.25">
      <c r="B20" s="4">
        <v>12</v>
      </c>
      <c r="C20" s="10">
        <v>7026</v>
      </c>
      <c r="D20" s="14">
        <f t="shared" si="9"/>
        <v>15</v>
      </c>
      <c r="E20" s="10">
        <f t="shared" si="0"/>
        <v>105390</v>
      </c>
      <c r="F20" s="12">
        <v>1000</v>
      </c>
      <c r="G20" s="14">
        <f t="shared" si="1"/>
        <v>105.39</v>
      </c>
      <c r="H20" s="5">
        <v>2</v>
      </c>
      <c r="I20" s="5">
        <f t="shared" si="2"/>
        <v>2.8700980392156858</v>
      </c>
      <c r="J20" s="5">
        <f t="shared" si="5"/>
        <v>28.48457690543604</v>
      </c>
      <c r="K20" s="5">
        <v>2057.4</v>
      </c>
      <c r="L20" s="23">
        <v>129</v>
      </c>
      <c r="M20" s="5">
        <f t="shared" si="3"/>
        <v>68.58</v>
      </c>
      <c r="N20" s="5">
        <v>4</v>
      </c>
      <c r="O20" s="5">
        <f t="shared" si="4"/>
        <v>0.93382352941176472</v>
      </c>
      <c r="P20" s="5">
        <f t="shared" si="6"/>
        <v>8.3039215686274517</v>
      </c>
      <c r="Q20" s="5">
        <f t="shared" si="7"/>
        <v>2.58</v>
      </c>
      <c r="R20" s="5">
        <f t="shared" si="8"/>
        <v>18.14</v>
      </c>
    </row>
    <row r="21" spans="2:18" x14ac:dyDescent="0.25">
      <c r="B21" s="4">
        <v>13</v>
      </c>
      <c r="C21" s="10">
        <v>5118</v>
      </c>
      <c r="D21" s="14">
        <f t="shared" si="9"/>
        <v>15</v>
      </c>
      <c r="E21" s="10">
        <f t="shared" si="0"/>
        <v>76770</v>
      </c>
      <c r="F21" s="12">
        <v>1000</v>
      </c>
      <c r="G21" s="14">
        <f t="shared" si="1"/>
        <v>76.77</v>
      </c>
      <c r="H21" s="5">
        <v>2</v>
      </c>
      <c r="I21" s="5">
        <f t="shared" si="2"/>
        <v>2.0906862745098036</v>
      </c>
      <c r="J21" s="5">
        <f t="shared" si="5"/>
        <v>30.575263179945843</v>
      </c>
      <c r="K21" s="5">
        <v>1587.6</v>
      </c>
      <c r="L21" s="23">
        <v>95</v>
      </c>
      <c r="M21" s="5">
        <f t="shared" si="3"/>
        <v>52.919999999999995</v>
      </c>
      <c r="N21" s="5">
        <v>4</v>
      </c>
      <c r="O21" s="5">
        <f t="shared" si="4"/>
        <v>0.72058823529411764</v>
      </c>
      <c r="P21" s="5">
        <f t="shared" si="6"/>
        <v>9.0245098039215694</v>
      </c>
      <c r="Q21" s="5">
        <f t="shared" si="7"/>
        <v>1.9</v>
      </c>
      <c r="R21" s="5">
        <f t="shared" si="8"/>
        <v>20.04</v>
      </c>
    </row>
    <row r="22" spans="2:18" x14ac:dyDescent="0.25">
      <c r="B22" s="4">
        <v>14</v>
      </c>
      <c r="C22" s="10">
        <v>4228</v>
      </c>
      <c r="D22" s="14">
        <f t="shared" si="9"/>
        <v>15</v>
      </c>
      <c r="E22" s="10">
        <f t="shared" si="0"/>
        <v>63420</v>
      </c>
      <c r="F22" s="12">
        <v>1000</v>
      </c>
      <c r="G22" s="14">
        <f t="shared" si="1"/>
        <v>63.42</v>
      </c>
      <c r="H22" s="5">
        <v>2</v>
      </c>
      <c r="I22" s="5">
        <f t="shared" si="2"/>
        <v>1.727124183006536</v>
      </c>
      <c r="J22" s="5">
        <f t="shared" si="5"/>
        <v>32.302387362952381</v>
      </c>
      <c r="K22" s="5">
        <v>1247.4000000000001</v>
      </c>
      <c r="L22" s="23">
        <v>78</v>
      </c>
      <c r="M22" s="5">
        <f t="shared" si="3"/>
        <v>41.580000000000005</v>
      </c>
      <c r="N22" s="5">
        <v>4</v>
      </c>
      <c r="O22" s="5">
        <f t="shared" si="4"/>
        <v>0.56617647058823539</v>
      </c>
      <c r="P22" s="5">
        <f t="shared" si="6"/>
        <v>9.5906862745098049</v>
      </c>
      <c r="Q22" s="5">
        <f t="shared" si="7"/>
        <v>1.56</v>
      </c>
      <c r="R22" s="5">
        <f t="shared" si="8"/>
        <v>21.599999999999998</v>
      </c>
    </row>
    <row r="23" spans="2:18" x14ac:dyDescent="0.25">
      <c r="B23" s="4">
        <v>15</v>
      </c>
      <c r="C23" s="10">
        <v>5415</v>
      </c>
      <c r="D23" s="14">
        <f t="shared" si="9"/>
        <v>15</v>
      </c>
      <c r="E23" s="10">
        <f t="shared" si="0"/>
        <v>81225</v>
      </c>
      <c r="F23" s="12">
        <v>1000</v>
      </c>
      <c r="G23" s="14">
        <f t="shared" si="1"/>
        <v>81.224999999999994</v>
      </c>
      <c r="H23" s="5">
        <v>2</v>
      </c>
      <c r="I23" s="5">
        <f t="shared" si="2"/>
        <v>2.2120098039215685</v>
      </c>
      <c r="J23" s="5">
        <f t="shared" si="5"/>
        <v>34.514397166873948</v>
      </c>
      <c r="K23" s="5">
        <v>1555.2</v>
      </c>
      <c r="L23" s="23">
        <v>95</v>
      </c>
      <c r="M23" s="5">
        <f t="shared" si="3"/>
        <v>51.84</v>
      </c>
      <c r="N23" s="5">
        <v>4</v>
      </c>
      <c r="O23" s="5">
        <f t="shared" si="4"/>
        <v>0.70588235294117652</v>
      </c>
      <c r="P23" s="5">
        <f t="shared" si="6"/>
        <v>10.296568627450981</v>
      </c>
      <c r="Q23" s="5">
        <f t="shared" si="7"/>
        <v>1.9</v>
      </c>
      <c r="R23" s="5">
        <f t="shared" si="8"/>
        <v>23.499999999999996</v>
      </c>
    </row>
    <row r="24" spans="2:18" x14ac:dyDescent="0.25">
      <c r="B24" s="4">
        <v>16</v>
      </c>
      <c r="C24" s="10">
        <v>2778</v>
      </c>
      <c r="D24" s="14">
        <f t="shared" si="9"/>
        <v>15</v>
      </c>
      <c r="E24" s="10">
        <f t="shared" si="0"/>
        <v>41670</v>
      </c>
      <c r="F24" s="12">
        <v>1000</v>
      </c>
      <c r="G24" s="14">
        <f t="shared" si="1"/>
        <v>41.67</v>
      </c>
      <c r="H24" s="5">
        <v>2</v>
      </c>
      <c r="I24" s="5">
        <f t="shared" si="2"/>
        <v>1.1348039215686274</v>
      </c>
      <c r="J24" s="5">
        <f t="shared" si="5"/>
        <v>35.649201088442574</v>
      </c>
      <c r="K24" s="5">
        <v>826.2</v>
      </c>
      <c r="L24" s="23">
        <v>55</v>
      </c>
      <c r="M24" s="5">
        <f t="shared" si="3"/>
        <v>27.540000000000003</v>
      </c>
      <c r="N24" s="5">
        <v>4</v>
      </c>
      <c r="O24" s="5">
        <f t="shared" si="4"/>
        <v>0.37500000000000006</v>
      </c>
      <c r="P24" s="5">
        <f t="shared" si="6"/>
        <v>10.671568627450981</v>
      </c>
      <c r="Q24" s="5">
        <f t="shared" si="7"/>
        <v>1.1000000000000001</v>
      </c>
      <c r="R24" s="5">
        <f t="shared" si="8"/>
        <v>24.599999999999998</v>
      </c>
    </row>
    <row r="25" spans="2:18" x14ac:dyDescent="0.25">
      <c r="B25" s="4">
        <v>17</v>
      </c>
      <c r="C25" s="10">
        <v>5655</v>
      </c>
      <c r="D25" s="14">
        <f t="shared" si="9"/>
        <v>15</v>
      </c>
      <c r="E25" s="10">
        <f t="shared" si="0"/>
        <v>84825</v>
      </c>
      <c r="F25" s="12">
        <v>1000</v>
      </c>
      <c r="G25" s="14">
        <f t="shared" si="1"/>
        <v>84.825000000000003</v>
      </c>
      <c r="H25" s="5">
        <v>2</v>
      </c>
      <c r="I25" s="5">
        <f t="shared" si="2"/>
        <v>2.3100490196078431</v>
      </c>
      <c r="J25" s="5">
        <f t="shared" si="5"/>
        <v>37.959250108050419</v>
      </c>
      <c r="K25" s="5">
        <v>1636.2</v>
      </c>
      <c r="L25" s="23">
        <v>103</v>
      </c>
      <c r="M25" s="5">
        <f t="shared" si="3"/>
        <v>54.54</v>
      </c>
      <c r="N25" s="5">
        <v>4</v>
      </c>
      <c r="O25" s="5">
        <f t="shared" si="4"/>
        <v>0.74264705882352944</v>
      </c>
      <c r="P25" s="5">
        <f t="shared" si="6"/>
        <v>11.41421568627451</v>
      </c>
      <c r="Q25" s="5">
        <f t="shared" si="7"/>
        <v>2.06</v>
      </c>
      <c r="R25" s="5">
        <f t="shared" si="8"/>
        <v>26.659999999999997</v>
      </c>
    </row>
    <row r="26" spans="2:18" x14ac:dyDescent="0.25">
      <c r="B26" s="4">
        <v>18</v>
      </c>
      <c r="C26" s="10">
        <v>4137</v>
      </c>
      <c r="D26" s="14">
        <f t="shared" si="9"/>
        <v>15</v>
      </c>
      <c r="E26" s="10">
        <f t="shared" si="0"/>
        <v>62055</v>
      </c>
      <c r="F26" s="12">
        <v>1000</v>
      </c>
      <c r="G26" s="14">
        <f t="shared" si="1"/>
        <v>62.055</v>
      </c>
      <c r="H26" s="5">
        <v>2</v>
      </c>
      <c r="I26" s="5">
        <f t="shared" si="2"/>
        <v>1.6899509803921566</v>
      </c>
      <c r="J26" s="5">
        <f t="shared" si="5"/>
        <v>39.649201088442574</v>
      </c>
      <c r="K26" s="5">
        <v>1247.4000000000001</v>
      </c>
      <c r="L26" s="23">
        <v>75</v>
      </c>
      <c r="M26" s="5">
        <f t="shared" si="3"/>
        <v>41.580000000000005</v>
      </c>
      <c r="N26" s="5">
        <v>4</v>
      </c>
      <c r="O26" s="5">
        <f t="shared" si="4"/>
        <v>0.56617647058823539</v>
      </c>
      <c r="P26" s="5">
        <f t="shared" si="6"/>
        <v>11.980392156862745</v>
      </c>
      <c r="Q26" s="5">
        <f t="shared" si="7"/>
        <v>1.5</v>
      </c>
      <c r="R26" s="5">
        <f t="shared" si="8"/>
        <v>28.159999999999997</v>
      </c>
    </row>
    <row r="27" spans="2:18" x14ac:dyDescent="0.25">
      <c r="B27" s="4">
        <v>19</v>
      </c>
      <c r="C27" s="10">
        <v>3338</v>
      </c>
      <c r="D27" s="14">
        <f t="shared" si="9"/>
        <v>15</v>
      </c>
      <c r="E27" s="10">
        <f t="shared" si="0"/>
        <v>50070</v>
      </c>
      <c r="F27" s="12">
        <v>1000</v>
      </c>
      <c r="G27" s="14">
        <f t="shared" si="1"/>
        <v>50.07</v>
      </c>
      <c r="H27" s="5">
        <v>2</v>
      </c>
      <c r="I27" s="5">
        <f t="shared" si="2"/>
        <v>1.363562091503268</v>
      </c>
      <c r="J27" s="5">
        <f t="shared" si="5"/>
        <v>41.012763179945843</v>
      </c>
      <c r="K27" s="5">
        <v>1004.4</v>
      </c>
      <c r="L27" s="23">
        <v>65</v>
      </c>
      <c r="M27" s="5">
        <f t="shared" si="3"/>
        <v>33.479999999999997</v>
      </c>
      <c r="N27" s="5">
        <v>4</v>
      </c>
      <c r="O27" s="5">
        <f t="shared" si="4"/>
        <v>0.45588235294117646</v>
      </c>
      <c r="P27" s="5">
        <f t="shared" si="6"/>
        <v>12.436274509803921</v>
      </c>
      <c r="Q27" s="5">
        <f t="shared" si="7"/>
        <v>1.3</v>
      </c>
      <c r="R27" s="5">
        <f t="shared" si="8"/>
        <v>29.459999999999997</v>
      </c>
    </row>
    <row r="28" spans="2:18" x14ac:dyDescent="0.25">
      <c r="B28" s="4">
        <v>20</v>
      </c>
      <c r="C28" s="10">
        <v>3761</v>
      </c>
      <c r="D28" s="14">
        <f t="shared" si="9"/>
        <v>15</v>
      </c>
      <c r="E28" s="10">
        <f t="shared" si="0"/>
        <v>56415</v>
      </c>
      <c r="F28" s="12">
        <v>1000</v>
      </c>
      <c r="G28" s="14">
        <f t="shared" si="1"/>
        <v>56.414999999999999</v>
      </c>
      <c r="H28" s="5">
        <v>2</v>
      </c>
      <c r="I28" s="5">
        <f t="shared" si="2"/>
        <v>1.5363562091503269</v>
      </c>
      <c r="J28" s="5">
        <f t="shared" si="5"/>
        <v>42.54911938909617</v>
      </c>
      <c r="K28" s="5">
        <v>1117.8</v>
      </c>
      <c r="L28" s="23">
        <v>71</v>
      </c>
      <c r="M28" s="5">
        <f t="shared" si="3"/>
        <v>37.26</v>
      </c>
      <c r="N28" s="5">
        <v>4</v>
      </c>
      <c r="O28" s="5">
        <f t="shared" si="4"/>
        <v>0.50735294117647056</v>
      </c>
      <c r="P28" s="5">
        <f t="shared" si="6"/>
        <v>12.943627450980392</v>
      </c>
      <c r="Q28" s="5">
        <f t="shared" si="7"/>
        <v>1.42</v>
      </c>
      <c r="R28" s="5">
        <f t="shared" si="8"/>
        <v>30.879999999999995</v>
      </c>
    </row>
    <row r="29" spans="2:18" x14ac:dyDescent="0.25">
      <c r="B29" s="4">
        <v>21</v>
      </c>
      <c r="C29" s="10">
        <v>3447</v>
      </c>
      <c r="D29" s="14">
        <f t="shared" si="9"/>
        <v>15</v>
      </c>
      <c r="E29" s="10">
        <f t="shared" si="0"/>
        <v>51705</v>
      </c>
      <c r="F29" s="12">
        <v>1000</v>
      </c>
      <c r="G29" s="14">
        <f t="shared" si="1"/>
        <v>51.704999999999998</v>
      </c>
      <c r="H29" s="5">
        <v>2</v>
      </c>
      <c r="I29" s="5">
        <f t="shared" si="2"/>
        <v>1.4080882352941175</v>
      </c>
      <c r="J29" s="5">
        <f t="shared" si="5"/>
        <v>43.957207624390286</v>
      </c>
      <c r="K29" s="5">
        <v>995.9</v>
      </c>
      <c r="L29" s="23">
        <v>64</v>
      </c>
      <c r="M29" s="5">
        <f t="shared" si="3"/>
        <v>33.196666666666665</v>
      </c>
      <c r="N29" s="5">
        <v>4</v>
      </c>
      <c r="O29" s="5">
        <f t="shared" si="4"/>
        <v>0.45202432824981842</v>
      </c>
      <c r="P29" s="5">
        <f t="shared" si="6"/>
        <v>13.39565177923021</v>
      </c>
      <c r="Q29" s="5">
        <f t="shared" si="7"/>
        <v>1.28</v>
      </c>
      <c r="R29" s="5">
        <f t="shared" si="8"/>
        <v>32.159999999999997</v>
      </c>
    </row>
    <row r="30" spans="2:18" x14ac:dyDescent="0.25">
      <c r="B30" s="4">
        <v>22</v>
      </c>
      <c r="C30" s="10">
        <v>2650</v>
      </c>
      <c r="D30" s="14">
        <f t="shared" si="9"/>
        <v>15</v>
      </c>
      <c r="E30" s="10">
        <f t="shared" si="0"/>
        <v>39750</v>
      </c>
      <c r="F30" s="12">
        <v>1000</v>
      </c>
      <c r="G30" s="14">
        <f t="shared" si="1"/>
        <v>39.75</v>
      </c>
      <c r="H30" s="5">
        <v>2</v>
      </c>
      <c r="I30" s="5">
        <f t="shared" si="2"/>
        <v>1.082516339869281</v>
      </c>
      <c r="J30" s="5">
        <f t="shared" si="5"/>
        <v>45.039723964259565</v>
      </c>
      <c r="K30" s="5">
        <v>820.9</v>
      </c>
      <c r="L30" s="23">
        <v>51</v>
      </c>
      <c r="M30" s="5">
        <f t="shared" si="3"/>
        <v>27.363333333333333</v>
      </c>
      <c r="N30" s="5">
        <v>4</v>
      </c>
      <c r="O30" s="5">
        <f t="shared" si="4"/>
        <v>0.37259440813362382</v>
      </c>
      <c r="P30" s="5">
        <f t="shared" si="6"/>
        <v>13.768246187363834</v>
      </c>
      <c r="Q30" s="5">
        <f t="shared" si="7"/>
        <v>1.02</v>
      </c>
      <c r="R30" s="5">
        <f t="shared" si="8"/>
        <v>33.18</v>
      </c>
    </row>
    <row r="31" spans="2:18" x14ac:dyDescent="0.25">
      <c r="B31" s="4">
        <v>23</v>
      </c>
      <c r="C31" s="10">
        <v>4278</v>
      </c>
      <c r="D31" s="14">
        <f t="shared" si="9"/>
        <v>15</v>
      </c>
      <c r="E31" s="10">
        <f t="shared" si="0"/>
        <v>64170</v>
      </c>
      <c r="F31" s="12">
        <v>1000</v>
      </c>
      <c r="G31" s="14">
        <f t="shared" si="1"/>
        <v>64.17</v>
      </c>
      <c r="H31" s="5">
        <v>2</v>
      </c>
      <c r="I31" s="5">
        <f t="shared" si="2"/>
        <v>1.7475490196078434</v>
      </c>
      <c r="J31" s="5">
        <f t="shared" si="5"/>
        <v>46.78727298386741</v>
      </c>
      <c r="K31" s="5">
        <v>1338.3</v>
      </c>
      <c r="L31" s="23">
        <v>81</v>
      </c>
      <c r="M31" s="5">
        <f t="shared" si="3"/>
        <v>44.61</v>
      </c>
      <c r="N31" s="5">
        <v>4</v>
      </c>
      <c r="O31" s="5">
        <f t="shared" si="4"/>
        <v>0.60743464052287588</v>
      </c>
      <c r="P31" s="5">
        <f t="shared" si="6"/>
        <v>14.375680827886709</v>
      </c>
      <c r="Q31" s="5">
        <f t="shared" si="7"/>
        <v>1.62</v>
      </c>
      <c r="R31" s="5">
        <f t="shared" si="8"/>
        <v>34.799999999999997</v>
      </c>
    </row>
    <row r="32" spans="2:18" x14ac:dyDescent="0.25">
      <c r="B32" s="4">
        <v>24</v>
      </c>
      <c r="C32" s="10">
        <v>3382</v>
      </c>
      <c r="D32" s="14">
        <f t="shared" si="9"/>
        <v>15</v>
      </c>
      <c r="E32" s="10">
        <f t="shared" si="0"/>
        <v>50730</v>
      </c>
      <c r="F32" s="12">
        <v>1000</v>
      </c>
      <c r="G32" s="14">
        <f t="shared" si="1"/>
        <v>50.73</v>
      </c>
      <c r="H32" s="5">
        <v>2</v>
      </c>
      <c r="I32" s="5">
        <f t="shared" si="2"/>
        <v>1.3815359477124183</v>
      </c>
      <c r="J32" s="5">
        <f t="shared" si="5"/>
        <v>48.168808931579832</v>
      </c>
      <c r="K32" s="5">
        <v>980.4</v>
      </c>
      <c r="L32" s="23">
        <v>62</v>
      </c>
      <c r="M32" s="5">
        <f t="shared" si="3"/>
        <v>32.68</v>
      </c>
      <c r="N32" s="5">
        <v>3</v>
      </c>
      <c r="O32" s="5">
        <f t="shared" si="4"/>
        <v>0.59331880900508349</v>
      </c>
      <c r="P32" s="5">
        <f t="shared" si="6"/>
        <v>14.968999636891793</v>
      </c>
      <c r="Q32" s="5">
        <f t="shared" si="7"/>
        <v>1.24</v>
      </c>
      <c r="R32" s="5">
        <f t="shared" si="8"/>
        <v>36.04</v>
      </c>
    </row>
    <row r="33" spans="2:18" x14ac:dyDescent="0.25">
      <c r="B33" s="4">
        <v>25</v>
      </c>
      <c r="C33" s="10">
        <v>3884</v>
      </c>
      <c r="D33" s="14">
        <f t="shared" si="9"/>
        <v>15</v>
      </c>
      <c r="E33" s="10">
        <f t="shared" si="0"/>
        <v>58260</v>
      </c>
      <c r="F33" s="12">
        <v>1000</v>
      </c>
      <c r="G33" s="14">
        <f t="shared" si="1"/>
        <v>58.26</v>
      </c>
      <c r="H33" s="5">
        <v>2</v>
      </c>
      <c r="I33" s="5">
        <f t="shared" si="2"/>
        <v>1.5866013071895424</v>
      </c>
      <c r="J33" s="5">
        <f t="shared" si="5"/>
        <v>49.755410238769372</v>
      </c>
      <c r="K33" s="5">
        <v>1175.5999999999999</v>
      </c>
      <c r="L33" s="23">
        <v>70</v>
      </c>
      <c r="M33" s="5">
        <f t="shared" si="3"/>
        <v>39.18666666666666</v>
      </c>
      <c r="N33" s="5">
        <v>3</v>
      </c>
      <c r="O33" s="5">
        <f t="shared" si="4"/>
        <v>0.71145001210360681</v>
      </c>
      <c r="P33" s="5">
        <f t="shared" si="6"/>
        <v>15.680449648995399</v>
      </c>
      <c r="Q33" s="5">
        <f t="shared" si="7"/>
        <v>1.4</v>
      </c>
      <c r="R33" s="5">
        <f t="shared" si="8"/>
        <v>37.44</v>
      </c>
    </row>
    <row r="34" spans="2:18" x14ac:dyDescent="0.25">
      <c r="B34" s="4">
        <v>26</v>
      </c>
      <c r="C34" s="10">
        <v>2606</v>
      </c>
      <c r="D34" s="14">
        <f t="shared" si="9"/>
        <v>15</v>
      </c>
      <c r="E34" s="10">
        <f t="shared" si="0"/>
        <v>39090</v>
      </c>
      <c r="F34" s="12">
        <v>1000</v>
      </c>
      <c r="G34" s="14">
        <f t="shared" si="1"/>
        <v>39.090000000000003</v>
      </c>
      <c r="H34" s="5">
        <v>2</v>
      </c>
      <c r="I34" s="5">
        <f t="shared" si="2"/>
        <v>1.0645424836601307</v>
      </c>
      <c r="J34" s="5">
        <f t="shared" si="5"/>
        <v>50.819952722429505</v>
      </c>
      <c r="K34" s="5">
        <v>771.6</v>
      </c>
      <c r="L34" s="23">
        <v>49</v>
      </c>
      <c r="M34" s="5">
        <f t="shared" si="3"/>
        <v>25.720000000000002</v>
      </c>
      <c r="N34" s="5">
        <v>3</v>
      </c>
      <c r="O34" s="5">
        <f t="shared" si="4"/>
        <v>0.46695715323166309</v>
      </c>
      <c r="P34" s="5">
        <f t="shared" si="6"/>
        <v>16.147406802227064</v>
      </c>
      <c r="Q34" s="5">
        <f t="shared" si="7"/>
        <v>0.98</v>
      </c>
      <c r="R34" s="5">
        <f t="shared" si="8"/>
        <v>38.419999999999995</v>
      </c>
    </row>
    <row r="35" spans="2:18" x14ac:dyDescent="0.25">
      <c r="B35" s="6">
        <v>27</v>
      </c>
      <c r="C35" s="11">
        <v>1910</v>
      </c>
      <c r="D35" s="15">
        <f t="shared" si="9"/>
        <v>15</v>
      </c>
      <c r="E35" s="11">
        <f t="shared" si="0"/>
        <v>28650</v>
      </c>
      <c r="F35" s="13">
        <v>1000</v>
      </c>
      <c r="G35" s="15">
        <f t="shared" si="1"/>
        <v>28.65</v>
      </c>
      <c r="H35" s="7">
        <v>2</v>
      </c>
      <c r="I35" s="7">
        <f t="shared" si="2"/>
        <v>0.78022875816993453</v>
      </c>
      <c r="J35" s="7">
        <f t="shared" si="5"/>
        <v>51.600181480599439</v>
      </c>
      <c r="K35" s="7">
        <v>562.14</v>
      </c>
      <c r="L35" s="24">
        <v>35</v>
      </c>
      <c r="M35" s="7">
        <f t="shared" si="3"/>
        <v>18.738</v>
      </c>
      <c r="N35" s="7">
        <v>3</v>
      </c>
      <c r="O35" s="7">
        <f t="shared" si="4"/>
        <v>0.34019607843137256</v>
      </c>
      <c r="P35" s="7">
        <f t="shared" si="6"/>
        <v>16.487602880658436</v>
      </c>
      <c r="Q35" s="7">
        <f t="shared" si="7"/>
        <v>0.7</v>
      </c>
      <c r="R35" s="7">
        <f t="shared" si="8"/>
        <v>39.119999999999997</v>
      </c>
    </row>
    <row r="36" spans="2:18" x14ac:dyDescent="0.25">
      <c r="C36" s="8">
        <f>SUM(C9:C35)</f>
        <v>105893</v>
      </c>
      <c r="D36" s="2"/>
      <c r="E36" s="8">
        <f>SUM(E9:E35)</f>
        <v>1566382.5</v>
      </c>
      <c r="F36" s="2"/>
      <c r="G36" s="9">
        <f>SUM(G9:G35)</f>
        <v>1612.0781477732794</v>
      </c>
      <c r="H36" s="2"/>
      <c r="I36" s="9">
        <f>SUM(I9:I35)</f>
        <v>51.600181480599439</v>
      </c>
      <c r="K36" s="9">
        <f>SUM(K9:K35)</f>
        <v>31560.440000000002</v>
      </c>
      <c r="L36" s="25">
        <f>SUM(L9:L35)</f>
        <v>2056</v>
      </c>
      <c r="M36" s="9">
        <f>SUM(M9:M35)</f>
        <v>1052.0146666666667</v>
      </c>
      <c r="O36" s="9">
        <f>SUM(O9:O35)</f>
        <v>16.487602880658436</v>
      </c>
    </row>
  </sheetData>
  <pageMargins left="0.7" right="0.7" top="0.75" bottom="0.75" header="0.3" footer="0.3"/>
  <headerFooter>
    <oddFooter>&amp;C_x000D_&amp;1#&amp;"Arial"&amp;10&amp;K000000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Paki</dc:creator>
  <cp:lastModifiedBy>Eden Paki</cp:lastModifiedBy>
  <dcterms:created xsi:type="dcterms:W3CDTF">2026-05-22T03:43:07Z</dcterms:created>
  <dcterms:modified xsi:type="dcterms:W3CDTF">2026-05-22T04:33:05Z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742a09-bfb0-4510-9e26-b9837db26482_Enabled">
    <vt:lpwstr>true</vt:lpwstr>
  </property>
  <property fmtid="{D5CDD505-2E9C-101B-9397-08002B2CF9AE}" pid="3" name="MSIP_Label_77742a09-bfb0-4510-9e26-b9837db26482_SetDate">
    <vt:lpwstr>2026-05-22T04:23:31Z</vt:lpwstr>
  </property>
  <property fmtid="{D5CDD505-2E9C-101B-9397-08002B2CF9AE}" pid="4" name="MSIP_Label_77742a09-bfb0-4510-9e26-b9837db26482_Method">
    <vt:lpwstr>Privileged</vt:lpwstr>
  </property>
  <property fmtid="{D5CDD505-2E9C-101B-9397-08002B2CF9AE}" pid="5" name="MSIP_Label_77742a09-bfb0-4510-9e26-b9837db26482_Name">
    <vt:lpwstr>General</vt:lpwstr>
  </property>
  <property fmtid="{D5CDD505-2E9C-101B-9397-08002B2CF9AE}" pid="6" name="MSIP_Label_77742a09-bfb0-4510-9e26-b9837db26482_SiteId">
    <vt:lpwstr>a21a716e-fb9a-45c0-b997-e26360b0a3a1</vt:lpwstr>
  </property>
  <property fmtid="{D5CDD505-2E9C-101B-9397-08002B2CF9AE}" pid="7" name="MSIP_Label_77742a09-bfb0-4510-9e26-b9837db26482_ActionId">
    <vt:lpwstr>f330ad34-833e-4475-9ebd-e19355e201f2</vt:lpwstr>
  </property>
  <property fmtid="{D5CDD505-2E9C-101B-9397-08002B2CF9AE}" pid="8" name="MSIP_Label_77742a09-bfb0-4510-9e26-b9837db26482_ContentBits">
    <vt:lpwstr>2</vt:lpwstr>
  </property>
  <property fmtid="{D5CDD505-2E9C-101B-9397-08002B2CF9AE}" pid="9" name="MSIP_Label_77742a09-bfb0-4510-9e26-b9837db26482_Tag">
    <vt:lpwstr>10, 0, 1, 1</vt:lpwstr>
  </property>
</Properties>
</file>