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test\"/>
    </mc:Choice>
  </mc:AlternateContent>
  <xr:revisionPtr revIDLastSave="0" documentId="13_ncr:1_{C9A1B4FF-354C-48E7-9ACB-04191574E8B8}" xr6:coauthVersionLast="47" xr6:coauthVersionMax="47" xr10:uidLastSave="{00000000-0000-0000-0000-000000000000}"/>
  <bookViews>
    <workbookView xWindow="-120" yWindow="-120" windowWidth="29040" windowHeight="15720" xr2:uid="{2C01266C-0691-154C-A53A-A41DFE56575F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6" l="1"/>
  <c r="T41" i="6" s="1"/>
  <c r="AO49" i="6"/>
  <c r="AN49" i="6"/>
  <c r="AM49" i="6"/>
  <c r="AL49" i="6"/>
  <c r="AK49" i="6"/>
  <c r="AP49" i="6" s="1"/>
  <c r="R49" i="6"/>
  <c r="AO48" i="6"/>
  <c r="AN48" i="6"/>
  <c r="AM48" i="6"/>
  <c r="AL48" i="6"/>
  <c r="AK48" i="6"/>
  <c r="AP48" i="6" s="1"/>
  <c r="R48" i="6"/>
  <c r="AO47" i="6"/>
  <c r="AN47" i="6"/>
  <c r="AM47" i="6"/>
  <c r="AL47" i="6"/>
  <c r="AK47" i="6"/>
  <c r="AP47" i="6" s="1"/>
  <c r="R47" i="6"/>
  <c r="W47" i="6" s="1"/>
  <c r="AO46" i="6"/>
  <c r="AN46" i="6"/>
  <c r="AM46" i="6"/>
  <c r="AL46" i="6"/>
  <c r="AK46" i="6"/>
  <c r="AP46" i="6" s="1"/>
  <c r="R46" i="6"/>
  <c r="T46" i="6" s="1"/>
  <c r="AO45" i="6"/>
  <c r="AN45" i="6"/>
  <c r="AM45" i="6"/>
  <c r="AL45" i="6"/>
  <c r="AK45" i="6"/>
  <c r="AP45" i="6" s="1"/>
  <c r="R45" i="6"/>
  <c r="S45" i="6" s="1"/>
  <c r="Y45" i="6" s="1"/>
  <c r="N44" i="6"/>
  <c r="AL44" i="6" s="1"/>
  <c r="AO43" i="6"/>
  <c r="AN43" i="6"/>
  <c r="AM43" i="6"/>
  <c r="AL43" i="6"/>
  <c r="AK43" i="6"/>
  <c r="AP43" i="6" s="1"/>
  <c r="R43" i="6"/>
  <c r="U43" i="6" s="1"/>
  <c r="AO42" i="6"/>
  <c r="AN42" i="6"/>
  <c r="AM42" i="6"/>
  <c r="AL42" i="6"/>
  <c r="AK42" i="6"/>
  <c r="AP42" i="6" s="1"/>
  <c r="R42" i="6"/>
  <c r="AO41" i="6"/>
  <c r="AN41" i="6"/>
  <c r="AM41" i="6"/>
  <c r="AL41" i="6"/>
  <c r="AK41" i="6"/>
  <c r="AP41" i="6" s="1"/>
  <c r="AO40" i="6"/>
  <c r="AN40" i="6"/>
  <c r="AM40" i="6"/>
  <c r="AL40" i="6"/>
  <c r="AK40" i="6"/>
  <c r="AP40" i="6" s="1"/>
  <c r="R40" i="6"/>
  <c r="W40" i="6" s="1"/>
  <c r="AO39" i="6"/>
  <c r="AN39" i="6"/>
  <c r="AM39" i="6"/>
  <c r="AL39" i="6"/>
  <c r="AK39" i="6"/>
  <c r="AP39" i="6" s="1"/>
  <c r="R39" i="6"/>
  <c r="S39" i="6" s="1"/>
  <c r="Y39" i="6" s="1"/>
  <c r="AO38" i="6"/>
  <c r="AN38" i="6"/>
  <c r="AM38" i="6"/>
  <c r="AL38" i="6"/>
  <c r="AK38" i="6"/>
  <c r="AP38" i="6" s="1"/>
  <c r="R38" i="6"/>
  <c r="W38" i="6" s="1"/>
  <c r="AO37" i="6"/>
  <c r="AN37" i="6"/>
  <c r="AM37" i="6"/>
  <c r="AL37" i="6"/>
  <c r="AK37" i="6"/>
  <c r="AP37" i="6" s="1"/>
  <c r="R37" i="6"/>
  <c r="AO36" i="6"/>
  <c r="AN36" i="6"/>
  <c r="AM36" i="6"/>
  <c r="AL36" i="6"/>
  <c r="AK36" i="6"/>
  <c r="AP36" i="6" s="1"/>
  <c r="R36" i="6"/>
  <c r="W36" i="6" s="1"/>
  <c r="AO35" i="6"/>
  <c r="AN35" i="6"/>
  <c r="AM35" i="6"/>
  <c r="AL35" i="6"/>
  <c r="AK35" i="6"/>
  <c r="AP35" i="6" s="1"/>
  <c r="R35" i="6"/>
  <c r="S35" i="6" s="1"/>
  <c r="AO34" i="6"/>
  <c r="AN34" i="6"/>
  <c r="AM34" i="6"/>
  <c r="AL34" i="6"/>
  <c r="AK34" i="6"/>
  <c r="AP34" i="6" s="1"/>
  <c r="R34" i="6"/>
  <c r="AO33" i="6"/>
  <c r="AN33" i="6"/>
  <c r="AM33" i="6"/>
  <c r="AL33" i="6"/>
  <c r="AK33" i="6"/>
  <c r="AP33" i="6" s="1"/>
  <c r="R33" i="6"/>
  <c r="S33" i="6" s="1"/>
  <c r="AO32" i="6"/>
  <c r="AN32" i="6"/>
  <c r="AM32" i="6"/>
  <c r="AL32" i="6"/>
  <c r="AK32" i="6"/>
  <c r="AP32" i="6" s="1"/>
  <c r="R32" i="6"/>
  <c r="AO31" i="6"/>
  <c r="AN31" i="6"/>
  <c r="AM31" i="6"/>
  <c r="AL31" i="6"/>
  <c r="AK31" i="6"/>
  <c r="AP31" i="6" s="1"/>
  <c r="R31" i="6"/>
  <c r="S31" i="6" s="1"/>
  <c r="Y31" i="6" s="1"/>
  <c r="AO30" i="6"/>
  <c r="AN30" i="6"/>
  <c r="AM30" i="6"/>
  <c r="AL30" i="6"/>
  <c r="AK30" i="6"/>
  <c r="AP30" i="6" s="1"/>
  <c r="R30" i="6"/>
  <c r="AO29" i="6"/>
  <c r="AN29" i="6"/>
  <c r="AM29" i="6"/>
  <c r="AL29" i="6"/>
  <c r="AK29" i="6"/>
  <c r="AP29" i="6" s="1"/>
  <c r="R29" i="6"/>
  <c r="S29" i="6" s="1"/>
  <c r="Y29" i="6" s="1"/>
  <c r="AO28" i="6"/>
  <c r="AN28" i="6"/>
  <c r="AM28" i="6"/>
  <c r="AL28" i="6"/>
  <c r="AK28" i="6"/>
  <c r="AP28" i="6" s="1"/>
  <c r="R28" i="6"/>
  <c r="W28" i="6" s="1"/>
  <c r="AO27" i="6"/>
  <c r="AN27" i="6"/>
  <c r="AM27" i="6"/>
  <c r="AL27" i="6"/>
  <c r="AK27" i="6"/>
  <c r="AP27" i="6" s="1"/>
  <c r="R27" i="6"/>
  <c r="S27" i="6" s="1"/>
  <c r="Y27" i="6" s="1"/>
  <c r="AO26" i="6"/>
  <c r="AN26" i="6"/>
  <c r="AM26" i="6"/>
  <c r="AL26" i="6"/>
  <c r="AK26" i="6"/>
  <c r="AP26" i="6" s="1"/>
  <c r="R26" i="6"/>
  <c r="V26" i="6" s="1"/>
  <c r="AO25" i="6"/>
  <c r="AN25" i="6"/>
  <c r="AM25" i="6"/>
  <c r="AL25" i="6"/>
  <c r="AK25" i="6"/>
  <c r="AP25" i="6" s="1"/>
  <c r="R25" i="6"/>
  <c r="T25" i="6" s="1"/>
  <c r="AO24" i="6"/>
  <c r="AN24" i="6"/>
  <c r="AM24" i="6"/>
  <c r="AL24" i="6"/>
  <c r="AK24" i="6"/>
  <c r="AP24" i="6" s="1"/>
  <c r="R24" i="6"/>
  <c r="W24" i="6" s="1"/>
  <c r="AO23" i="6"/>
  <c r="AN23" i="6"/>
  <c r="AM23" i="6"/>
  <c r="AL23" i="6"/>
  <c r="AK23" i="6"/>
  <c r="AP23" i="6" s="1"/>
  <c r="R23" i="6"/>
  <c r="S23" i="6" s="1"/>
  <c r="Y23" i="6" s="1"/>
  <c r="AO22" i="6"/>
  <c r="AN22" i="6"/>
  <c r="AM22" i="6"/>
  <c r="AL22" i="6"/>
  <c r="AK22" i="6"/>
  <c r="AP22" i="6" s="1"/>
  <c r="R22" i="6"/>
  <c r="V22" i="6" s="1"/>
  <c r="AO21" i="6"/>
  <c r="AN21" i="6"/>
  <c r="AM21" i="6"/>
  <c r="AL21" i="6"/>
  <c r="AK21" i="6"/>
  <c r="AP21" i="6" s="1"/>
  <c r="R21" i="6"/>
  <c r="S21" i="6" s="1"/>
  <c r="Y21" i="6" s="1"/>
  <c r="AO20" i="6"/>
  <c r="AN20" i="6"/>
  <c r="AM20" i="6"/>
  <c r="AL20" i="6"/>
  <c r="AK20" i="6"/>
  <c r="AP20" i="6" s="1"/>
  <c r="R20" i="6"/>
  <c r="W20" i="6" s="1"/>
  <c r="AO19" i="6"/>
  <c r="AN19" i="6"/>
  <c r="AM19" i="6"/>
  <c r="AL19" i="6"/>
  <c r="AK19" i="6"/>
  <c r="AP19" i="6" s="1"/>
  <c r="R19" i="6"/>
  <c r="S19" i="6" s="1"/>
  <c r="AO18" i="6"/>
  <c r="AN18" i="6"/>
  <c r="AM18" i="6"/>
  <c r="AL18" i="6"/>
  <c r="AK18" i="6"/>
  <c r="AP18" i="6" s="1"/>
  <c r="R18" i="6"/>
  <c r="S18" i="6" s="1"/>
  <c r="Y18" i="6" s="1"/>
  <c r="AO17" i="6"/>
  <c r="AN17" i="6"/>
  <c r="AM17" i="6"/>
  <c r="AL17" i="6"/>
  <c r="AK17" i="6"/>
  <c r="AP17" i="6" s="1"/>
  <c r="R17" i="6"/>
  <c r="U17" i="6" s="1"/>
  <c r="AO16" i="6"/>
  <c r="AN16" i="6"/>
  <c r="AM16" i="6"/>
  <c r="AL16" i="6"/>
  <c r="AK16" i="6"/>
  <c r="AP16" i="6" s="1"/>
  <c r="R16" i="6"/>
  <c r="W16" i="6" s="1"/>
  <c r="AO15" i="6"/>
  <c r="AN15" i="6"/>
  <c r="AM15" i="6"/>
  <c r="AL15" i="6"/>
  <c r="AK15" i="6"/>
  <c r="AP15" i="6" s="1"/>
  <c r="R15" i="6"/>
  <c r="W15" i="6" s="1"/>
  <c r="AO14" i="6"/>
  <c r="AN14" i="6"/>
  <c r="AM14" i="6"/>
  <c r="AL14" i="6"/>
  <c r="AK14" i="6"/>
  <c r="AP14" i="6" s="1"/>
  <c r="R14" i="6"/>
  <c r="V14" i="6" s="1"/>
  <c r="AO13" i="6"/>
  <c r="AN13" i="6"/>
  <c r="AM13" i="6"/>
  <c r="AL13" i="6"/>
  <c r="AK13" i="6"/>
  <c r="AP13" i="6" s="1"/>
  <c r="R13" i="6"/>
  <c r="AO12" i="6"/>
  <c r="AN12" i="6"/>
  <c r="AM12" i="6"/>
  <c r="AL12" i="6"/>
  <c r="AK12" i="6"/>
  <c r="AP12" i="6" s="1"/>
  <c r="R12" i="6"/>
  <c r="V12" i="6" s="1"/>
  <c r="AO11" i="6"/>
  <c r="AN11" i="6"/>
  <c r="AM11" i="6"/>
  <c r="AL11" i="6"/>
  <c r="AK11" i="6"/>
  <c r="AP11" i="6" s="1"/>
  <c r="R11" i="6"/>
  <c r="W11" i="6" s="1"/>
  <c r="AO10" i="6"/>
  <c r="AN10" i="6"/>
  <c r="AM10" i="6"/>
  <c r="AL10" i="6"/>
  <c r="AK10" i="6"/>
  <c r="AP10" i="6" s="1"/>
  <c r="R10" i="6"/>
  <c r="V10" i="6" s="1"/>
  <c r="AO9" i="6"/>
  <c r="AN9" i="6"/>
  <c r="AM9" i="6"/>
  <c r="AL9" i="6"/>
  <c r="AK9" i="6"/>
  <c r="AP9" i="6" s="1"/>
  <c r="R9" i="6"/>
  <c r="W9" i="6" s="1"/>
  <c r="AO8" i="6"/>
  <c r="AN8" i="6"/>
  <c r="AM8" i="6"/>
  <c r="AL8" i="6"/>
  <c r="AK8" i="6"/>
  <c r="AP8" i="6" s="1"/>
  <c r="R8" i="6"/>
  <c r="W8" i="6" s="1"/>
  <c r="AO7" i="6"/>
  <c r="AN7" i="6"/>
  <c r="AM7" i="6"/>
  <c r="AL7" i="6"/>
  <c r="AK7" i="6"/>
  <c r="AP7" i="6" s="1"/>
  <c r="R7" i="6"/>
  <c r="V7" i="6" s="1"/>
  <c r="AO6" i="6"/>
  <c r="AN6" i="6"/>
  <c r="AM6" i="6"/>
  <c r="AL6" i="6"/>
  <c r="AK6" i="6"/>
  <c r="AP6" i="6" s="1"/>
  <c r="R6" i="6"/>
  <c r="S6" i="6" s="1"/>
  <c r="Y6" i="6" s="1"/>
  <c r="AO5" i="6"/>
  <c r="AN5" i="6"/>
  <c r="AM5" i="6"/>
  <c r="AL5" i="6"/>
  <c r="AK5" i="6"/>
  <c r="AP5" i="6" s="1"/>
  <c r="R5" i="6"/>
  <c r="V5" i="6" s="1"/>
  <c r="W46" i="6" l="1"/>
  <c r="AQ48" i="6"/>
  <c r="AU48" i="6" s="1"/>
  <c r="T35" i="6"/>
  <c r="AQ30" i="6"/>
  <c r="AQ43" i="6"/>
  <c r="AR43" i="6" s="1"/>
  <c r="V35" i="6"/>
  <c r="S8" i="6"/>
  <c r="Y8" i="6" s="1"/>
  <c r="V8" i="6"/>
  <c r="AQ32" i="6"/>
  <c r="AU32" i="6" s="1"/>
  <c r="S16" i="6"/>
  <c r="Y16" i="6" s="1"/>
  <c r="U16" i="6"/>
  <c r="AQ14" i="6"/>
  <c r="AU14" i="6" s="1"/>
  <c r="T24" i="6"/>
  <c r="S41" i="6"/>
  <c r="Y41" i="6" s="1"/>
  <c r="Z41" i="6" s="1"/>
  <c r="T23" i="6"/>
  <c r="Z23" i="6" s="1"/>
  <c r="AD23" i="6" s="1"/>
  <c r="V16" i="6"/>
  <c r="W35" i="6"/>
  <c r="AQ35" i="6"/>
  <c r="AR35" i="6" s="1"/>
  <c r="AS35" i="6" s="1"/>
  <c r="AT35" i="6" s="1"/>
  <c r="W39" i="6"/>
  <c r="AQ40" i="6"/>
  <c r="AU40" i="6" s="1"/>
  <c r="U14" i="6"/>
  <c r="T16" i="6"/>
  <c r="T20" i="6"/>
  <c r="U35" i="6"/>
  <c r="AQ39" i="6"/>
  <c r="AU39" i="6" s="1"/>
  <c r="AQ49" i="6"/>
  <c r="AR49" i="6" s="1"/>
  <c r="AS49" i="6" s="1"/>
  <c r="AT49" i="6" s="1"/>
  <c r="V18" i="6"/>
  <c r="U27" i="6"/>
  <c r="S36" i="6"/>
  <c r="Y36" i="6" s="1"/>
  <c r="W14" i="6"/>
  <c r="V20" i="6"/>
  <c r="S11" i="6"/>
  <c r="Y11" i="6" s="1"/>
  <c r="U11" i="6"/>
  <c r="S25" i="6"/>
  <c r="Y25" i="6" s="1"/>
  <c r="Z25" i="6" s="1"/>
  <c r="V27" i="6"/>
  <c r="V36" i="6"/>
  <c r="S43" i="6"/>
  <c r="Y43" i="6" s="1"/>
  <c r="AM44" i="6"/>
  <c r="AQ10" i="6"/>
  <c r="AU10" i="6" s="1"/>
  <c r="V11" i="6"/>
  <c r="AQ26" i="6"/>
  <c r="AU26" i="6" s="1"/>
  <c r="V43" i="6"/>
  <c r="U46" i="6"/>
  <c r="AQ47" i="6"/>
  <c r="AU47" i="6" s="1"/>
  <c r="T8" i="6"/>
  <c r="AQ9" i="6"/>
  <c r="AU9" i="6" s="1"/>
  <c r="AQ23" i="6"/>
  <c r="AU23" i="6" s="1"/>
  <c r="T39" i="6"/>
  <c r="Z39" i="6" s="1"/>
  <c r="AQ46" i="6"/>
  <c r="AU46" i="6" s="1"/>
  <c r="AQ24" i="6"/>
  <c r="AR24" i="6" s="1"/>
  <c r="AS24" i="6" s="1"/>
  <c r="AT24" i="6" s="1"/>
  <c r="T31" i="6"/>
  <c r="Z31" i="6" s="1"/>
  <c r="AQ8" i="6"/>
  <c r="AR8" i="6" s="1"/>
  <c r="AS8" i="6" s="1"/>
  <c r="AT8" i="6" s="1"/>
  <c r="W10" i="6"/>
  <c r="W12" i="6"/>
  <c r="AQ12" i="6"/>
  <c r="AR12" i="6" s="1"/>
  <c r="AS12" i="6" s="1"/>
  <c r="AT12" i="6" s="1"/>
  <c r="S28" i="6"/>
  <c r="Y28" i="6" s="1"/>
  <c r="W5" i="6"/>
  <c r="W7" i="6"/>
  <c r="T11" i="6"/>
  <c r="S14" i="6"/>
  <c r="Y14" i="6" s="1"/>
  <c r="AQ15" i="6"/>
  <c r="AU15" i="6" s="1"/>
  <c r="T27" i="6"/>
  <c r="AQ41" i="6"/>
  <c r="AR41" i="6" s="1"/>
  <c r="AS41" i="6" s="1"/>
  <c r="AT41" i="6" s="1"/>
  <c r="W43" i="6"/>
  <c r="R44" i="6"/>
  <c r="T44" i="6" s="1"/>
  <c r="V46" i="6"/>
  <c r="S40" i="6"/>
  <c r="Y40" i="6" s="1"/>
  <c r="U5" i="6"/>
  <c r="S7" i="6"/>
  <c r="U8" i="6"/>
  <c r="S12" i="6"/>
  <c r="T15" i="6"/>
  <c r="T18" i="6"/>
  <c r="Z18" i="6" s="1"/>
  <c r="AD18" i="6" s="1"/>
  <c r="W27" i="6"/>
  <c r="V28" i="6"/>
  <c r="U31" i="6"/>
  <c r="T40" i="6"/>
  <c r="AN44" i="6"/>
  <c r="T47" i="6"/>
  <c r="V31" i="6"/>
  <c r="U40" i="6"/>
  <c r="AO44" i="6"/>
  <c r="U47" i="6"/>
  <c r="S15" i="6"/>
  <c r="Y15" i="6" s="1"/>
  <c r="S47" i="6"/>
  <c r="Y47" i="6" s="1"/>
  <c r="U15" i="6"/>
  <c r="U7" i="6"/>
  <c r="S10" i="6"/>
  <c r="Y10" i="6" s="1"/>
  <c r="AQ11" i="6"/>
  <c r="AR11" i="6" s="1"/>
  <c r="AS11" i="6" s="1"/>
  <c r="AT11" i="6" s="1"/>
  <c r="U12" i="6"/>
  <c r="V15" i="6"/>
  <c r="AQ16" i="6"/>
  <c r="AR16" i="6" s="1"/>
  <c r="AS16" i="6" s="1"/>
  <c r="AT16" i="6" s="1"/>
  <c r="T19" i="6"/>
  <c r="W23" i="6"/>
  <c r="W31" i="6"/>
  <c r="T36" i="6"/>
  <c r="U39" i="6"/>
  <c r="V40" i="6"/>
  <c r="T43" i="6"/>
  <c r="S46" i="6"/>
  <c r="Y46" i="6" s="1"/>
  <c r="Z46" i="6" s="1"/>
  <c r="V47" i="6"/>
  <c r="T7" i="6"/>
  <c r="T12" i="6"/>
  <c r="U10" i="6"/>
  <c r="V19" i="6"/>
  <c r="U36" i="6"/>
  <c r="V39" i="6"/>
  <c r="AQ6" i="6"/>
  <c r="AQ20" i="6"/>
  <c r="AQ22" i="6"/>
  <c r="V6" i="6"/>
  <c r="T6" i="6"/>
  <c r="Z6" i="6" s="1"/>
  <c r="AQ38" i="6"/>
  <c r="AQ27" i="6"/>
  <c r="T13" i="6"/>
  <c r="S13" i="6"/>
  <c r="V13" i="6"/>
  <c r="T17" i="6"/>
  <c r="S17" i="6"/>
  <c r="V17" i="6"/>
  <c r="W6" i="6"/>
  <c r="W13" i="6"/>
  <c r="AR14" i="6"/>
  <c r="AS14" i="6" s="1"/>
  <c r="AT14" i="6" s="1"/>
  <c r="W17" i="6"/>
  <c r="AU30" i="6"/>
  <c r="AR30" i="6"/>
  <c r="AS30" i="6" s="1"/>
  <c r="AT30" i="6" s="1"/>
  <c r="AU43" i="6"/>
  <c r="T9" i="6"/>
  <c r="S9" i="6"/>
  <c r="V9" i="6"/>
  <c r="Y19" i="6"/>
  <c r="W49" i="6"/>
  <c r="V49" i="6"/>
  <c r="U49" i="6"/>
  <c r="T49" i="6"/>
  <c r="S49" i="6"/>
  <c r="U6" i="6"/>
  <c r="U9" i="6"/>
  <c r="U13" i="6"/>
  <c r="AQ7" i="6"/>
  <c r="AQ13" i="6"/>
  <c r="AQ31" i="6"/>
  <c r="W48" i="6"/>
  <c r="V48" i="6"/>
  <c r="U48" i="6"/>
  <c r="T48" i="6"/>
  <c r="S48" i="6"/>
  <c r="AQ5" i="6"/>
  <c r="S5" i="6"/>
  <c r="T5" i="6"/>
  <c r="W32" i="6"/>
  <c r="V32" i="6"/>
  <c r="U32" i="6"/>
  <c r="T32" i="6"/>
  <c r="S32" i="6"/>
  <c r="Y35" i="6"/>
  <c r="AQ36" i="6"/>
  <c r="U22" i="6"/>
  <c r="S22" i="6"/>
  <c r="T10" i="6"/>
  <c r="T14" i="6"/>
  <c r="AQ17" i="6"/>
  <c r="U18" i="6"/>
  <c r="AQ18" i="6"/>
  <c r="U19" i="6"/>
  <c r="AQ19" i="6"/>
  <c r="U20" i="6"/>
  <c r="T22" i="6"/>
  <c r="S24" i="6"/>
  <c r="AQ28" i="6"/>
  <c r="AQ34" i="6"/>
  <c r="AR47" i="6"/>
  <c r="AS47" i="6" s="1"/>
  <c r="AT47" i="6" s="1"/>
  <c r="W18" i="6"/>
  <c r="W19" i="6"/>
  <c r="AQ21" i="6"/>
  <c r="W22" i="6"/>
  <c r="U24" i="6"/>
  <c r="W25" i="6"/>
  <c r="V25" i="6"/>
  <c r="U25" i="6"/>
  <c r="AQ25" i="6"/>
  <c r="T28" i="6"/>
  <c r="AQ33" i="6"/>
  <c r="V34" i="6"/>
  <c r="U34" i="6"/>
  <c r="T34" i="6"/>
  <c r="S34" i="6"/>
  <c r="AQ42" i="6"/>
  <c r="W21" i="6"/>
  <c r="U21" i="6"/>
  <c r="V24" i="6"/>
  <c r="U26" i="6"/>
  <c r="T26" i="6"/>
  <c r="S26" i="6"/>
  <c r="U28" i="6"/>
  <c r="W29" i="6"/>
  <c r="V29" i="6"/>
  <c r="U29" i="6"/>
  <c r="AQ29" i="6"/>
  <c r="W33" i="6"/>
  <c r="V33" i="6"/>
  <c r="U33" i="6"/>
  <c r="W34" i="6"/>
  <c r="AQ37" i="6"/>
  <c r="V38" i="6"/>
  <c r="U38" i="6"/>
  <c r="T38" i="6"/>
  <c r="S38" i="6"/>
  <c r="AR40" i="6"/>
  <c r="AQ45" i="6"/>
  <c r="U30" i="6"/>
  <c r="T30" i="6"/>
  <c r="S30" i="6"/>
  <c r="W37" i="6"/>
  <c r="V37" i="6"/>
  <c r="U37" i="6"/>
  <c r="V42" i="6"/>
  <c r="U42" i="6"/>
  <c r="T42" i="6"/>
  <c r="S42" i="6"/>
  <c r="T21" i="6"/>
  <c r="U23" i="6"/>
  <c r="W26" i="6"/>
  <c r="T29" i="6"/>
  <c r="V30" i="6"/>
  <c r="T33" i="6"/>
  <c r="S37" i="6"/>
  <c r="W41" i="6"/>
  <c r="V41" i="6"/>
  <c r="U41" i="6"/>
  <c r="W42" i="6"/>
  <c r="W45" i="6"/>
  <c r="V45" i="6"/>
  <c r="U45" i="6"/>
  <c r="T45" i="6"/>
  <c r="S20" i="6"/>
  <c r="V21" i="6"/>
  <c r="V23" i="6"/>
  <c r="W30" i="6"/>
  <c r="Y33" i="6"/>
  <c r="T37" i="6"/>
  <c r="AR48" i="6"/>
  <c r="AK44" i="6"/>
  <c r="AP44" i="6" s="1"/>
  <c r="Z14" i="6" l="1"/>
  <c r="AR10" i="6"/>
  <c r="AS10" i="6" s="1"/>
  <c r="AT10" i="6" s="1"/>
  <c r="AU41" i="6"/>
  <c r="AR32" i="6"/>
  <c r="AS32" i="6" s="1"/>
  <c r="AT32" i="6" s="1"/>
  <c r="AR26" i="6"/>
  <c r="AR46" i="6"/>
  <c r="AS46" i="6" s="1"/>
  <c r="AT46" i="6" s="1"/>
  <c r="AU49" i="6"/>
  <c r="X35" i="6"/>
  <c r="AU35" i="6"/>
  <c r="X8" i="6"/>
  <c r="Z16" i="6"/>
  <c r="AV35" i="6"/>
  <c r="X25" i="6"/>
  <c r="AR23" i="6"/>
  <c r="AS23" i="6" s="1"/>
  <c r="AT23" i="6" s="1"/>
  <c r="Z47" i="6"/>
  <c r="AA47" i="6" s="1"/>
  <c r="X36" i="6"/>
  <c r="AU12" i="6"/>
  <c r="X31" i="6"/>
  <c r="X16" i="6"/>
  <c r="X47" i="6"/>
  <c r="X27" i="6"/>
  <c r="AD39" i="6"/>
  <c r="AA39" i="6"/>
  <c r="AB39" i="6" s="1"/>
  <c r="AC39" i="6" s="1"/>
  <c r="X29" i="6"/>
  <c r="AV30" i="6"/>
  <c r="AV12" i="6"/>
  <c r="AR39" i="6"/>
  <c r="AS39" i="6" s="1"/>
  <c r="AT39" i="6" s="1"/>
  <c r="AU16" i="6"/>
  <c r="X43" i="6"/>
  <c r="AU24" i="6"/>
  <c r="X39" i="6"/>
  <c r="AV11" i="6"/>
  <c r="X11" i="6"/>
  <c r="AR15" i="6"/>
  <c r="AS15" i="6" s="1"/>
  <c r="AT15" i="6" s="1"/>
  <c r="X40" i="6"/>
  <c r="X46" i="6"/>
  <c r="AR9" i="6"/>
  <c r="AS9" i="6" s="1"/>
  <c r="AT9" i="6" s="1"/>
  <c r="AV49" i="6"/>
  <c r="Z27" i="6"/>
  <c r="AA27" i="6" s="1"/>
  <c r="AB27" i="6" s="1"/>
  <c r="AC27" i="6" s="1"/>
  <c r="AU11" i="6"/>
  <c r="AV24" i="6"/>
  <c r="X41" i="6"/>
  <c r="U44" i="6"/>
  <c r="Z29" i="6"/>
  <c r="X33" i="6"/>
  <c r="X28" i="6"/>
  <c r="AA18" i="6"/>
  <c r="AB18" i="6" s="1"/>
  <c r="AC18" i="6" s="1"/>
  <c r="AV16" i="6"/>
  <c r="Z43" i="6"/>
  <c r="X23" i="6"/>
  <c r="X10" i="6"/>
  <c r="X6" i="6"/>
  <c r="AU8" i="6"/>
  <c r="AA46" i="6"/>
  <c r="AB46" i="6" s="1"/>
  <c r="AC46" i="6" s="1"/>
  <c r="AD46" i="6"/>
  <c r="X12" i="6"/>
  <c r="Y12" i="6"/>
  <c r="Z12" i="6" s="1"/>
  <c r="AD12" i="6" s="1"/>
  <c r="S44" i="6"/>
  <c r="Y44" i="6" s="1"/>
  <c r="V44" i="6"/>
  <c r="AV8" i="6"/>
  <c r="X15" i="6"/>
  <c r="X19" i="6"/>
  <c r="W44" i="6"/>
  <c r="Y7" i="6"/>
  <c r="Z7" i="6" s="1"/>
  <c r="AA7" i="6" s="1"/>
  <c r="AB7" i="6" s="1"/>
  <c r="AC7" i="6" s="1"/>
  <c r="X7" i="6"/>
  <c r="AD6" i="6"/>
  <c r="AA6" i="6"/>
  <c r="AB6" i="6" s="1"/>
  <c r="AC6" i="6" s="1"/>
  <c r="AD14" i="6"/>
  <c r="AA14" i="6"/>
  <c r="AB14" i="6" s="1"/>
  <c r="AC14" i="6" s="1"/>
  <c r="Y30" i="6"/>
  <c r="X30" i="6"/>
  <c r="X45" i="6"/>
  <c r="AR37" i="6"/>
  <c r="AU37" i="6"/>
  <c r="AR25" i="6"/>
  <c r="AS25" i="6" s="1"/>
  <c r="AT25" i="6" s="1"/>
  <c r="AU25" i="6"/>
  <c r="Z35" i="6"/>
  <c r="AR7" i="6"/>
  <c r="AU7" i="6"/>
  <c r="Y17" i="6"/>
  <c r="X17" i="6"/>
  <c r="Z10" i="6"/>
  <c r="AU22" i="6"/>
  <c r="AR22" i="6"/>
  <c r="AQ44" i="6"/>
  <c r="Z33" i="6"/>
  <c r="Z40" i="6"/>
  <c r="AV41" i="6"/>
  <c r="Y34" i="6"/>
  <c r="X34" i="6"/>
  <c r="AR28" i="6"/>
  <c r="AS28" i="6" s="1"/>
  <c r="AT28" i="6" s="1"/>
  <c r="AU28" i="6"/>
  <c r="AU18" i="6"/>
  <c r="AR18" i="6"/>
  <c r="AS18" i="6" s="1"/>
  <c r="AT18" i="6" s="1"/>
  <c r="X18" i="6"/>
  <c r="AR5" i="6"/>
  <c r="AU5" i="6"/>
  <c r="AS43" i="6"/>
  <c r="AT43" i="6" s="1"/>
  <c r="AA23" i="6"/>
  <c r="X37" i="6"/>
  <c r="Y37" i="6"/>
  <c r="X21" i="6"/>
  <c r="Z21" i="6"/>
  <c r="Y24" i="6"/>
  <c r="X24" i="6"/>
  <c r="AU17" i="6"/>
  <c r="AR17" i="6"/>
  <c r="AS17" i="6" s="1"/>
  <c r="AT17" i="6" s="1"/>
  <c r="Y32" i="6"/>
  <c r="X32" i="6"/>
  <c r="AD41" i="6"/>
  <c r="AA41" i="6"/>
  <c r="AB41" i="6" s="1"/>
  <c r="AC41" i="6" s="1"/>
  <c r="AS26" i="6"/>
  <c r="AT26" i="6" s="1"/>
  <c r="Y13" i="6"/>
  <c r="X13" i="6"/>
  <c r="AR38" i="6"/>
  <c r="AU38" i="6"/>
  <c r="AS48" i="6"/>
  <c r="AT48" i="6" s="1"/>
  <c r="Y38" i="6"/>
  <c r="X38" i="6"/>
  <c r="X26" i="6"/>
  <c r="Y26" i="6"/>
  <c r="AV32" i="6"/>
  <c r="Z15" i="6"/>
  <c r="Z19" i="6"/>
  <c r="Z45" i="6"/>
  <c r="AR20" i="6"/>
  <c r="AS20" i="6" s="1"/>
  <c r="AT20" i="6" s="1"/>
  <c r="AU20" i="6"/>
  <c r="AV47" i="6"/>
  <c r="AU42" i="6"/>
  <c r="AR42" i="6"/>
  <c r="AR33" i="6"/>
  <c r="AS33" i="6" s="1"/>
  <c r="AT33" i="6" s="1"/>
  <c r="AU33" i="6"/>
  <c r="AU36" i="6"/>
  <c r="AR36" i="6"/>
  <c r="AS36" i="6" s="1"/>
  <c r="AT36" i="6" s="1"/>
  <c r="Y48" i="6"/>
  <c r="X48" i="6"/>
  <c r="AU13" i="6"/>
  <c r="AR13" i="6"/>
  <c r="AS13" i="6" s="1"/>
  <c r="AT13" i="6" s="1"/>
  <c r="X14" i="6"/>
  <c r="AU27" i="6"/>
  <c r="AR27" i="6"/>
  <c r="AS27" i="6" s="1"/>
  <c r="AT27" i="6" s="1"/>
  <c r="Y20" i="6"/>
  <c r="X20" i="6"/>
  <c r="AR21" i="6"/>
  <c r="AU21" i="6"/>
  <c r="Z8" i="6"/>
  <c r="AV14" i="6"/>
  <c r="Y49" i="6"/>
  <c r="X49" i="6"/>
  <c r="Y9" i="6"/>
  <c r="X9" i="6"/>
  <c r="AA31" i="6"/>
  <c r="AB31" i="6" s="1"/>
  <c r="AC31" i="6" s="1"/>
  <c r="AD31" i="6"/>
  <c r="AS40" i="6"/>
  <c r="AT40" i="6" s="1"/>
  <c r="Y22" i="6"/>
  <c r="X22" i="6"/>
  <c r="AD16" i="6"/>
  <c r="AA16" i="6"/>
  <c r="AB16" i="6" s="1"/>
  <c r="AC16" i="6" s="1"/>
  <c r="X42" i="6"/>
  <c r="Y42" i="6"/>
  <c r="Z36" i="6"/>
  <c r="AR45" i="6"/>
  <c r="AU45" i="6"/>
  <c r="AR29" i="6"/>
  <c r="AU29" i="6"/>
  <c r="AR34" i="6"/>
  <c r="AU34" i="6"/>
  <c r="AU19" i="6"/>
  <c r="AR19" i="6"/>
  <c r="AS19" i="6" s="1"/>
  <c r="AT19" i="6" s="1"/>
  <c r="X5" i="6"/>
  <c r="Y5" i="6"/>
  <c r="AU31" i="6"/>
  <c r="AR31" i="6"/>
  <c r="Z11" i="6"/>
  <c r="AD25" i="6"/>
  <c r="AA25" i="6"/>
  <c r="Z28" i="6"/>
  <c r="AU6" i="6"/>
  <c r="AR6" i="6"/>
  <c r="AV10" i="6" l="1"/>
  <c r="AV46" i="6"/>
  <c r="AE39" i="6"/>
  <c r="AE16" i="6"/>
  <c r="AD47" i="6"/>
  <c r="AV23" i="6"/>
  <c r="AD7" i="6"/>
  <c r="AV28" i="6"/>
  <c r="AV13" i="6"/>
  <c r="AE6" i="6"/>
  <c r="AD27" i="6"/>
  <c r="AE46" i="6"/>
  <c r="AV15" i="6"/>
  <c r="AA29" i="6"/>
  <c r="AB29" i="6" s="1"/>
  <c r="AC29" i="6" s="1"/>
  <c r="AD29" i="6"/>
  <c r="AV18" i="6"/>
  <c r="AA12" i="6"/>
  <c r="AB12" i="6" s="1"/>
  <c r="AC12" i="6" s="1"/>
  <c r="X44" i="6"/>
  <c r="AV39" i="6"/>
  <c r="AV33" i="6"/>
  <c r="AV48" i="6"/>
  <c r="AV36" i="6"/>
  <c r="AE27" i="6"/>
  <c r="AE18" i="6"/>
  <c r="AE31" i="6"/>
  <c r="AE7" i="6"/>
  <c r="AE41" i="6"/>
  <c r="AA43" i="6"/>
  <c r="AB43" i="6" s="1"/>
  <c r="AC43" i="6" s="1"/>
  <c r="AD43" i="6"/>
  <c r="AV9" i="6"/>
  <c r="Z22" i="6"/>
  <c r="Z9" i="6"/>
  <c r="AD15" i="6"/>
  <c r="AA15" i="6"/>
  <c r="AB15" i="6" s="1"/>
  <c r="AC15" i="6" s="1"/>
  <c r="AV43" i="6"/>
  <c r="AS7" i="6"/>
  <c r="AT7" i="6" s="1"/>
  <c r="AB25" i="6"/>
  <c r="AC25" i="6" s="1"/>
  <c r="AS45" i="6"/>
  <c r="AT45" i="6" s="1"/>
  <c r="AS6" i="6"/>
  <c r="AT6" i="6" s="1"/>
  <c r="AD11" i="6"/>
  <c r="AA11" i="6"/>
  <c r="AD36" i="6"/>
  <c r="AA36" i="6"/>
  <c r="AV40" i="6"/>
  <c r="AS21" i="6"/>
  <c r="AT21" i="6" s="1"/>
  <c r="Z38" i="6"/>
  <c r="AB47" i="6"/>
  <c r="AC47" i="6" s="1"/>
  <c r="AE47" i="6" s="1"/>
  <c r="AR44" i="6"/>
  <c r="AU44" i="6"/>
  <c r="AE14" i="6"/>
  <c r="AD21" i="6"/>
  <c r="AA21" i="6"/>
  <c r="AB21" i="6" s="1"/>
  <c r="AC21" i="6" s="1"/>
  <c r="AS22" i="6"/>
  <c r="AT22" i="6" s="1"/>
  <c r="AA35" i="6"/>
  <c r="AB35" i="6" s="1"/>
  <c r="AC35" i="6" s="1"/>
  <c r="AD35" i="6"/>
  <c r="Z32" i="6"/>
  <c r="AD45" i="6"/>
  <c r="AA45" i="6"/>
  <c r="AB45" i="6" s="1"/>
  <c r="AC45" i="6" s="1"/>
  <c r="AV26" i="6"/>
  <c r="Z37" i="6"/>
  <c r="AD10" i="6"/>
  <c r="AA10" i="6"/>
  <c r="AB10" i="6" s="1"/>
  <c r="AC10" i="6" s="1"/>
  <c r="Z42" i="6"/>
  <c r="Z34" i="6"/>
  <c r="AA28" i="6"/>
  <c r="AB28" i="6" s="1"/>
  <c r="AC28" i="6" s="1"/>
  <c r="AD28" i="6"/>
  <c r="AS42" i="6"/>
  <c r="AT42" i="6" s="1"/>
  <c r="Z44" i="6"/>
  <c r="AS38" i="6"/>
  <c r="AT38" i="6" s="1"/>
  <c r="AD40" i="6"/>
  <c r="AA40" i="6"/>
  <c r="Z30" i="6"/>
  <c r="AS34" i="6"/>
  <c r="AT34" i="6" s="1"/>
  <c r="Z49" i="6"/>
  <c r="AS5" i="6"/>
  <c r="AT5" i="6" s="1"/>
  <c r="AS37" i="6"/>
  <c r="AT37" i="6" s="1"/>
  <c r="AS31" i="6"/>
  <c r="AT31" i="6" s="1"/>
  <c r="AV31" i="6"/>
  <c r="Z5" i="6"/>
  <c r="AS29" i="6"/>
  <c r="AT29" i="6" s="1"/>
  <c r="AV29" i="6" s="1"/>
  <c r="AV19" i="6"/>
  <c r="AV27" i="6"/>
  <c r="AD8" i="6"/>
  <c r="AA8" i="6"/>
  <c r="Z20" i="6"/>
  <c r="Z48" i="6"/>
  <c r="AA19" i="6"/>
  <c r="AD19" i="6"/>
  <c r="Z26" i="6"/>
  <c r="AB23" i="6"/>
  <c r="AC23" i="6" s="1"/>
  <c r="AD33" i="6"/>
  <c r="AA33" i="6"/>
  <c r="Z17" i="6"/>
  <c r="AV25" i="6"/>
  <c r="AV20" i="6"/>
  <c r="Z13" i="6"/>
  <c r="Z24" i="6"/>
  <c r="AV17" i="6"/>
  <c r="AV34" i="6" l="1"/>
  <c r="AE43" i="6"/>
  <c r="AE23" i="6"/>
  <c r="AV5" i="6"/>
  <c r="AV38" i="6"/>
  <c r="AE15" i="6"/>
  <c r="AE25" i="6"/>
  <c r="AV22" i="6"/>
  <c r="AE12" i="6"/>
  <c r="AE29" i="6"/>
  <c r="AV45" i="6"/>
  <c r="AV7" i="6"/>
  <c r="AE45" i="6"/>
  <c r="AE21" i="6"/>
  <c r="AV6" i="6"/>
  <c r="AD32" i="6"/>
  <c r="AA32" i="6"/>
  <c r="AB32" i="6" s="1"/>
  <c r="AC32" i="6" s="1"/>
  <c r="AV21" i="6"/>
  <c r="AD49" i="6"/>
  <c r="AA49" i="6"/>
  <c r="AB49" i="6" s="1"/>
  <c r="AC49" i="6" s="1"/>
  <c r="AA9" i="6"/>
  <c r="AB9" i="6" s="1"/>
  <c r="AC9" i="6" s="1"/>
  <c r="AD9" i="6"/>
  <c r="AB40" i="6"/>
  <c r="AC40" i="6" s="1"/>
  <c r="AA13" i="6"/>
  <c r="AB13" i="6" s="1"/>
  <c r="AC13" i="6" s="1"/>
  <c r="AD13" i="6"/>
  <c r="AA26" i="6"/>
  <c r="AB26" i="6" s="1"/>
  <c r="AC26" i="6" s="1"/>
  <c r="AD26" i="6"/>
  <c r="AD34" i="6"/>
  <c r="AA34" i="6"/>
  <c r="AB36" i="6"/>
  <c r="AC36" i="6" s="1"/>
  <c r="AB33" i="6"/>
  <c r="AC33" i="6" s="1"/>
  <c r="AD37" i="6"/>
  <c r="AA37" i="6"/>
  <c r="AB37" i="6" s="1"/>
  <c r="AC37" i="6" s="1"/>
  <c r="AS44" i="6"/>
  <c r="AT44" i="6" s="1"/>
  <c r="AA24" i="6"/>
  <c r="AB24" i="6" s="1"/>
  <c r="AC24" i="6" s="1"/>
  <c r="AD24" i="6"/>
  <c r="AD48" i="6"/>
  <c r="AA48" i="6"/>
  <c r="AB48" i="6" s="1"/>
  <c r="AC48" i="6" s="1"/>
  <c r="AD5" i="6"/>
  <c r="AA5" i="6"/>
  <c r="AB5" i="6" s="1"/>
  <c r="AC5" i="6" s="1"/>
  <c r="AB8" i="6"/>
  <c r="AC8" i="6" s="1"/>
  <c r="AE26" i="6"/>
  <c r="AD44" i="6"/>
  <c r="AA44" i="6"/>
  <c r="AB44" i="6" s="1"/>
  <c r="AC44" i="6" s="1"/>
  <c r="AA17" i="6"/>
  <c r="AB17" i="6" s="1"/>
  <c r="AC17" i="6" s="1"/>
  <c r="AD17" i="6"/>
  <c r="AD42" i="6"/>
  <c r="AA42" i="6"/>
  <c r="AD38" i="6"/>
  <c r="AA38" i="6"/>
  <c r="AB38" i="6" s="1"/>
  <c r="AC38" i="6" s="1"/>
  <c r="AB11" i="6"/>
  <c r="AC11" i="6" s="1"/>
  <c r="AA22" i="6"/>
  <c r="AD22" i="6"/>
  <c r="AA20" i="6"/>
  <c r="AB20" i="6" s="1"/>
  <c r="AC20" i="6" s="1"/>
  <c r="AD20" i="6"/>
  <c r="AE28" i="6"/>
  <c r="AB19" i="6"/>
  <c r="AC19" i="6" s="1"/>
  <c r="AV37" i="6"/>
  <c r="AA30" i="6"/>
  <c r="AD30" i="6"/>
  <c r="AV42" i="6"/>
  <c r="AE10" i="6"/>
  <c r="AE35" i="6"/>
  <c r="AE49" i="6" l="1"/>
  <c r="AE38" i="6"/>
  <c r="AE5" i="6"/>
  <c r="AV44" i="6"/>
  <c r="AE44" i="6"/>
  <c r="AE32" i="6"/>
  <c r="AE19" i="6"/>
  <c r="AE11" i="6"/>
  <c r="AE36" i="6"/>
  <c r="AE8" i="6"/>
  <c r="AE40" i="6"/>
  <c r="AE48" i="6"/>
  <c r="AE9" i="6"/>
  <c r="AB42" i="6"/>
  <c r="AC42" i="6" s="1"/>
  <c r="AB22" i="6"/>
  <c r="AC22" i="6" s="1"/>
  <c r="AB34" i="6"/>
  <c r="AC34" i="6" s="1"/>
  <c r="AE13" i="6"/>
  <c r="AE24" i="6"/>
  <c r="AB30" i="6"/>
  <c r="AC30" i="6" s="1"/>
  <c r="AE37" i="6"/>
  <c r="AE17" i="6"/>
  <c r="AE33" i="6"/>
  <c r="AE20" i="6"/>
  <c r="AE42" i="6" l="1"/>
  <c r="AE30" i="6"/>
  <c r="AE22" i="6"/>
  <c r="AE34" i="6"/>
</calcChain>
</file>

<file path=xl/sharedStrings.xml><?xml version="1.0" encoding="utf-8"?>
<sst xmlns="http://schemas.openxmlformats.org/spreadsheetml/2006/main" count="172" uniqueCount="41">
  <si>
    <t>Composite LF DS Week-2</t>
  </si>
  <si>
    <t>Composite LF DS Week-1</t>
  </si>
  <si>
    <t>December</t>
  </si>
  <si>
    <t>Composite LF DS Week-4</t>
  </si>
  <si>
    <t>Composite LF DS Week-3</t>
  </si>
  <si>
    <t>November</t>
  </si>
  <si>
    <t>October</t>
  </si>
  <si>
    <t>Leach Feed DS (06-18)</t>
  </si>
  <si>
    <t>September</t>
  </si>
  <si>
    <t>August</t>
  </si>
  <si>
    <t>July</t>
  </si>
  <si>
    <t>-400#</t>
  </si>
  <si>
    <t>+400#</t>
  </si>
  <si>
    <t>+300#</t>
  </si>
  <si>
    <t>+200#</t>
  </si>
  <si>
    <t>+100#</t>
  </si>
  <si>
    <t>&lt;38</t>
  </si>
  <si>
    <t xml:space="preserve">Total </t>
  </si>
  <si>
    <t>Total</t>
  </si>
  <si>
    <t>P80
(µm)</t>
  </si>
  <si>
    <t>% Passing 75µm</t>
  </si>
  <si>
    <t>%Cum. Passing Au</t>
  </si>
  <si>
    <t>% Dist. Retained Au</t>
  </si>
  <si>
    <t>Au Assay</t>
  </si>
  <si>
    <t>Cum. Weight Passing (%)</t>
  </si>
  <si>
    <t>Weight Retained Percentage (%)</t>
  </si>
  <si>
    <t>Weight Retained  (gram)</t>
  </si>
  <si>
    <t>Sample</t>
  </si>
  <si>
    <t>Date</t>
  </si>
  <si>
    <t xml:space="preserve">Month </t>
  </si>
  <si>
    <t>PercentSolids</t>
  </si>
  <si>
    <t>Throughput</t>
  </si>
  <si>
    <t>Shift</t>
  </si>
  <si>
    <t>AM/PM</t>
  </si>
  <si>
    <t>Grade_Au</t>
  </si>
  <si>
    <t>Grade_Cu</t>
  </si>
  <si>
    <t>Grade_Ag</t>
  </si>
  <si>
    <t xml:space="preserve">NaCN_conc_tailing </t>
  </si>
  <si>
    <t xml:space="preserve">NaCN_Added </t>
  </si>
  <si>
    <t>AU_tailing</t>
  </si>
  <si>
    <t>Au P80
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</si>
</sst>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4" fontId="5" fillId="0" borderId="0" xfId="1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1" fontId="6" fillId="0" borderId="0" xfId="2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1" fontId="6" fillId="0" borderId="0" xfId="2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2" fontId="6" fillId="0" borderId="0" xfId="1" quotePrefix="1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4" fillId="2" borderId="0" xfId="1" applyFont="1" applyFill="1" applyAlignment="1">
      <alignment horizontal="center" vertical="center"/>
    </xf>
  </cellXfs>
  <cellStyles count="4">
    <cellStyle name="Normal" xfId="0" builtinId="0"/>
    <cellStyle name="Normal 2" xfId="1" xr:uid="{2F9C695D-3031-4CD6-BFD1-41F98BC856E8}"/>
    <cellStyle name="Normal 2 2" xfId="3" xr:uid="{FE35D746-218A-4356-A965-3F025ED58E43}"/>
    <cellStyle name="Percent 2" xfId="2" xr:uid="{6E95F951-FD55-41BE-8CC0-A488609BF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D856-3519-4599-80AC-905DEC1EFB8B}">
  <dimension ref="A1:AV49"/>
  <sheetViews>
    <sheetView tabSelected="1" topLeftCell="A2" zoomScaleNormal="100" workbookViewId="0">
      <selection activeCell="F4" sqref="F4"/>
    </sheetView>
  </sheetViews>
  <sheetFormatPr defaultColWidth="8.625" defaultRowHeight="13.5" x14ac:dyDescent="0.25"/>
  <cols>
    <col min="1" max="1" width="10.125" style="17" bestFit="1" customWidth="1"/>
    <col min="2" max="3" width="10.875" style="12" customWidth="1"/>
    <col min="4" max="4" width="22" style="14" bestFit="1" customWidth="1"/>
    <col min="5" max="5" width="10" style="14" customWidth="1"/>
    <col min="6" max="6" width="13.625" style="14" customWidth="1"/>
    <col min="7" max="7" width="10" style="14" customWidth="1"/>
    <col min="8" max="8" width="8.625" style="14"/>
    <col min="9" max="10" width="10" style="14" customWidth="1"/>
    <col min="11" max="11" width="11.5" style="14" customWidth="1"/>
    <col min="12" max="12" width="17.75" style="14" customWidth="1"/>
    <col min="13" max="18" width="8.625" style="14" customWidth="1"/>
    <col min="19" max="30" width="8.375" style="14" customWidth="1"/>
    <col min="31" max="36" width="8.625" style="14" customWidth="1"/>
    <col min="37" max="47" width="8.375" style="14" customWidth="1"/>
    <col min="48" max="48" width="8.625" style="14" customWidth="1"/>
    <col min="49" max="16384" width="8.625" style="14"/>
  </cols>
  <sheetData>
    <row r="1" spans="1:48" s="1" customFormat="1" ht="15" customHeight="1" x14ac:dyDescent="0.25">
      <c r="C1" s="2"/>
      <c r="D1" s="2"/>
      <c r="E1" s="2"/>
      <c r="F1" s="2"/>
      <c r="G1" s="2"/>
      <c r="I1" s="2"/>
      <c r="J1" s="2"/>
      <c r="K1" s="2"/>
      <c r="L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s="1" customFormat="1" ht="54" x14ac:dyDescent="0.25">
      <c r="A2" s="2"/>
      <c r="B2" s="2"/>
      <c r="C2" s="2"/>
      <c r="D2" s="2"/>
      <c r="E2" s="2"/>
      <c r="F2" s="2"/>
      <c r="G2" s="2"/>
      <c r="I2" s="2"/>
      <c r="J2" s="2"/>
      <c r="K2" s="2"/>
      <c r="L2" s="2"/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24</v>
      </c>
      <c r="Z2" s="2" t="s">
        <v>24</v>
      </c>
      <c r="AA2" s="2" t="s">
        <v>24</v>
      </c>
      <c r="AB2" s="2" t="s">
        <v>24</v>
      </c>
      <c r="AC2" s="2" t="s">
        <v>24</v>
      </c>
      <c r="AD2" s="2"/>
      <c r="AE2" s="2"/>
      <c r="AF2" s="2" t="s">
        <v>23</v>
      </c>
      <c r="AG2" s="2" t="s">
        <v>23</v>
      </c>
      <c r="AH2" s="2" t="s">
        <v>23</v>
      </c>
      <c r="AI2" s="2" t="s">
        <v>23</v>
      </c>
      <c r="AJ2" s="2" t="s">
        <v>23</v>
      </c>
      <c r="AK2" s="2" t="s">
        <v>22</v>
      </c>
      <c r="AL2" s="2" t="s">
        <v>22</v>
      </c>
      <c r="AM2" s="2" t="s">
        <v>22</v>
      </c>
      <c r="AN2" s="2" t="s">
        <v>22</v>
      </c>
      <c r="AO2" s="2" t="s">
        <v>22</v>
      </c>
      <c r="AP2" s="2" t="s">
        <v>21</v>
      </c>
      <c r="AQ2" s="2" t="s">
        <v>21</v>
      </c>
      <c r="AR2" s="2" t="s">
        <v>21</v>
      </c>
      <c r="AS2" s="2" t="s">
        <v>21</v>
      </c>
      <c r="AT2" s="2" t="s">
        <v>21</v>
      </c>
      <c r="AU2" s="2"/>
      <c r="AV2" s="2"/>
    </row>
    <row r="3" spans="1:48" s="1" customFormat="1" x14ac:dyDescent="0.25">
      <c r="A3" s="2"/>
      <c r="B3" s="2"/>
      <c r="C3" s="2"/>
      <c r="D3" s="2"/>
      <c r="E3" s="2"/>
      <c r="F3" s="2"/>
      <c r="G3" s="2"/>
      <c r="I3" s="2"/>
      <c r="J3" s="2"/>
      <c r="K3" s="2"/>
      <c r="L3" s="2"/>
      <c r="M3" s="2">
        <v>150</v>
      </c>
      <c r="N3" s="2">
        <v>75</v>
      </c>
      <c r="O3" s="2">
        <v>46</v>
      </c>
      <c r="P3" s="2">
        <v>38</v>
      </c>
      <c r="Q3" s="2" t="s">
        <v>16</v>
      </c>
      <c r="R3" s="2" t="s">
        <v>18</v>
      </c>
      <c r="S3" s="2">
        <v>150</v>
      </c>
      <c r="T3" s="2">
        <v>75</v>
      </c>
      <c r="U3" s="2">
        <v>46</v>
      </c>
      <c r="V3" s="2">
        <v>38</v>
      </c>
      <c r="W3" s="2" t="s">
        <v>16</v>
      </c>
      <c r="X3" s="2" t="s">
        <v>17</v>
      </c>
      <c r="Y3" s="2">
        <v>150</v>
      </c>
      <c r="Z3" s="2">
        <v>75</v>
      </c>
      <c r="AA3" s="2">
        <v>46</v>
      </c>
      <c r="AB3" s="2">
        <v>38</v>
      </c>
      <c r="AC3" s="2" t="s">
        <v>16</v>
      </c>
      <c r="AD3" s="2"/>
      <c r="AE3" s="2"/>
      <c r="AF3" s="2">
        <v>150</v>
      </c>
      <c r="AG3" s="2">
        <v>75</v>
      </c>
      <c r="AH3" s="2">
        <v>46</v>
      </c>
      <c r="AI3" s="2">
        <v>38</v>
      </c>
      <c r="AJ3" s="2" t="s">
        <v>16</v>
      </c>
      <c r="AK3" s="2">
        <v>150</v>
      </c>
      <c r="AL3" s="2">
        <v>75</v>
      </c>
      <c r="AM3" s="2">
        <v>46</v>
      </c>
      <c r="AN3" s="2">
        <v>38</v>
      </c>
      <c r="AO3" s="2" t="s">
        <v>16</v>
      </c>
      <c r="AP3" s="2">
        <v>150</v>
      </c>
      <c r="AQ3" s="2">
        <v>75</v>
      </c>
      <c r="AR3" s="2">
        <v>46</v>
      </c>
      <c r="AS3" s="2">
        <v>38</v>
      </c>
      <c r="AT3" s="2" t="s">
        <v>16</v>
      </c>
      <c r="AU3" s="2"/>
      <c r="AV3" s="2"/>
    </row>
    <row r="4" spans="1:48" s="1" customFormat="1" ht="31.5" customHeight="1" x14ac:dyDescent="0.25">
      <c r="A4" s="2" t="s">
        <v>29</v>
      </c>
      <c r="B4" s="2" t="s">
        <v>28</v>
      </c>
      <c r="C4" s="2" t="s">
        <v>32</v>
      </c>
      <c r="D4" s="2" t="s">
        <v>27</v>
      </c>
      <c r="E4" s="3" t="s">
        <v>31</v>
      </c>
      <c r="F4" s="3" t="s">
        <v>30</v>
      </c>
      <c r="G4" s="3" t="s">
        <v>34</v>
      </c>
      <c r="H4" s="2" t="s">
        <v>39</v>
      </c>
      <c r="I4" s="3" t="s">
        <v>36</v>
      </c>
      <c r="J4" s="3" t="s">
        <v>35</v>
      </c>
      <c r="K4" s="3" t="s">
        <v>38</v>
      </c>
      <c r="L4" s="3" t="s">
        <v>37</v>
      </c>
      <c r="M4" s="2" t="s">
        <v>15</v>
      </c>
      <c r="N4" s="2" t="s">
        <v>14</v>
      </c>
      <c r="O4" s="2" t="s">
        <v>13</v>
      </c>
      <c r="P4" s="2" t="s">
        <v>12</v>
      </c>
      <c r="Q4" s="2" t="s">
        <v>11</v>
      </c>
      <c r="R4" s="2"/>
      <c r="S4" s="2" t="s">
        <v>15</v>
      </c>
      <c r="T4" s="2" t="s">
        <v>14</v>
      </c>
      <c r="U4" s="2" t="s">
        <v>13</v>
      </c>
      <c r="V4" s="2" t="s">
        <v>12</v>
      </c>
      <c r="W4" s="2" t="s">
        <v>11</v>
      </c>
      <c r="X4" s="2"/>
      <c r="Y4" s="2" t="s">
        <v>15</v>
      </c>
      <c r="Z4" s="2" t="s">
        <v>14</v>
      </c>
      <c r="AA4" s="2" t="s">
        <v>13</v>
      </c>
      <c r="AB4" s="2" t="s">
        <v>12</v>
      </c>
      <c r="AC4" s="2" t="s">
        <v>11</v>
      </c>
      <c r="AD4" s="2" t="s">
        <v>20</v>
      </c>
      <c r="AE4" s="2" t="s">
        <v>19</v>
      </c>
      <c r="AF4" s="2" t="s">
        <v>15</v>
      </c>
      <c r="AG4" s="2" t="s">
        <v>14</v>
      </c>
      <c r="AH4" s="2" t="s">
        <v>13</v>
      </c>
      <c r="AI4" s="2" t="s">
        <v>12</v>
      </c>
      <c r="AJ4" s="2" t="s">
        <v>11</v>
      </c>
      <c r="AK4" s="2" t="s">
        <v>15</v>
      </c>
      <c r="AL4" s="2" t="s">
        <v>14</v>
      </c>
      <c r="AM4" s="2" t="s">
        <v>13</v>
      </c>
      <c r="AN4" s="2" t="s">
        <v>12</v>
      </c>
      <c r="AO4" s="2" t="s">
        <v>11</v>
      </c>
      <c r="AP4" s="2" t="s">
        <v>15</v>
      </c>
      <c r="AQ4" s="2" t="s">
        <v>14</v>
      </c>
      <c r="AR4" s="2" t="s">
        <v>13</v>
      </c>
      <c r="AS4" s="2" t="s">
        <v>12</v>
      </c>
      <c r="AT4" s="2" t="s">
        <v>11</v>
      </c>
      <c r="AU4" s="2" t="s">
        <v>20</v>
      </c>
      <c r="AV4" s="2" t="s">
        <v>40</v>
      </c>
    </row>
    <row r="5" spans="1:48" x14ac:dyDescent="0.25">
      <c r="A5" s="18" t="s">
        <v>10</v>
      </c>
      <c r="B5" s="4">
        <v>45478</v>
      </c>
      <c r="C5" s="14" t="s">
        <v>33</v>
      </c>
      <c r="D5" s="15" t="s">
        <v>7</v>
      </c>
      <c r="E5" s="16">
        <v>570.06389999999999</v>
      </c>
      <c r="F5" s="16">
        <v>38</v>
      </c>
      <c r="G5" s="16">
        <v>0.41666666666666669</v>
      </c>
      <c r="H5" s="16">
        <v>2.3343706170520447E-2</v>
      </c>
      <c r="I5" s="16">
        <v>9</v>
      </c>
      <c r="J5" s="16">
        <v>78.666666666666671</v>
      </c>
      <c r="K5" s="16">
        <v>2.1580952853440234</v>
      </c>
      <c r="L5" s="16">
        <v>287.5</v>
      </c>
      <c r="M5" s="5">
        <v>1.6</v>
      </c>
      <c r="N5" s="5">
        <v>9.9</v>
      </c>
      <c r="O5" s="5"/>
      <c r="P5" s="5">
        <v>53.2</v>
      </c>
      <c r="Q5" s="5">
        <v>246.2</v>
      </c>
      <c r="R5" s="5">
        <f t="shared" ref="R5:R49" si="0">SUM(M5:Q5)</f>
        <v>310.89999999999998</v>
      </c>
      <c r="S5" s="6">
        <f t="shared" ref="S5:W49" si="1">M5/$R5</f>
        <v>5.1463493084593125E-3</v>
      </c>
      <c r="T5" s="6">
        <f t="shared" si="1"/>
        <v>3.1843036346091994E-2</v>
      </c>
      <c r="U5" s="6">
        <f t="shared" si="1"/>
        <v>0</v>
      </c>
      <c r="V5" s="6">
        <f t="shared" si="1"/>
        <v>0.17111611450627212</v>
      </c>
      <c r="W5" s="6">
        <f t="shared" si="1"/>
        <v>0.79189449983917659</v>
      </c>
      <c r="X5" s="6">
        <f t="shared" ref="X5:X49" si="2">SUM(S5:W5)</f>
        <v>1</v>
      </c>
      <c r="Y5" s="7">
        <f t="shared" ref="Y5:Y49" si="3">1-S5</f>
        <v>0.99485365069154064</v>
      </c>
      <c r="Z5" s="7">
        <f t="shared" ref="Z5:AC49" si="4">Y5-T5</f>
        <v>0.96301061434544866</v>
      </c>
      <c r="AA5" s="7">
        <f t="shared" si="4"/>
        <v>0.96301061434544866</v>
      </c>
      <c r="AB5" s="7">
        <f t="shared" si="4"/>
        <v>0.79189449983917659</v>
      </c>
      <c r="AC5" s="7">
        <f t="shared" si="4"/>
        <v>0</v>
      </c>
      <c r="AD5" s="7">
        <f t="shared" ref="AD5:AD49" si="5">Z5</f>
        <v>0.96301061434544866</v>
      </c>
      <c r="AE5" s="8">
        <f t="shared" ref="AE5:AE49" si="6">FORECAST(0.8,$Y$3:$AC$3,Y5:AC5)</f>
        <v>31.7429695337824</v>
      </c>
      <c r="AF5" s="9"/>
      <c r="AG5" s="9"/>
      <c r="AH5" s="9"/>
      <c r="AI5" s="9">
        <v>0.56999999999999995</v>
      </c>
      <c r="AJ5" s="9">
        <v>0.5</v>
      </c>
      <c r="AK5" s="10">
        <f t="shared" ref="AK5:AO49" si="7">M5*AF5/SUMPRODUCT($M5:$Q5,$AF5:$AJ5)</f>
        <v>0</v>
      </c>
      <c r="AL5" s="10">
        <f t="shared" si="7"/>
        <v>0</v>
      </c>
      <c r="AM5" s="10">
        <f t="shared" si="7"/>
        <v>0</v>
      </c>
      <c r="AN5" s="10">
        <f t="shared" si="7"/>
        <v>0.19764834706434459</v>
      </c>
      <c r="AO5" s="10">
        <f>Q5*AJ5/SUMPRODUCT($M5:$Q5,$AF5:$AJ5)</f>
        <v>0.80235165293565547</v>
      </c>
      <c r="AP5" s="10">
        <f t="shared" ref="AP5:AP49" si="8">1-AK5</f>
        <v>1</v>
      </c>
      <c r="AQ5" s="10">
        <f t="shared" ref="AQ5:AT49" si="9">AP5-AL5</f>
        <v>1</v>
      </c>
      <c r="AR5" s="10">
        <f t="shared" si="9"/>
        <v>1</v>
      </c>
      <c r="AS5" s="10">
        <f t="shared" si="9"/>
        <v>0.80235165293565536</v>
      </c>
      <c r="AT5" s="10">
        <f t="shared" si="9"/>
        <v>0</v>
      </c>
      <c r="AU5" s="10">
        <f t="shared" ref="AU5:AU49" si="10">AQ5</f>
        <v>1</v>
      </c>
      <c r="AV5" s="11">
        <f>FORECAST(0.8,$AP$3:$AT$3,AP5:AT5)</f>
        <v>37.377329288132614</v>
      </c>
    </row>
    <row r="6" spans="1:48" x14ac:dyDescent="0.25">
      <c r="A6" s="18"/>
      <c r="B6" s="4">
        <v>45483</v>
      </c>
      <c r="C6" s="14" t="s">
        <v>33</v>
      </c>
      <c r="D6" s="15" t="s">
        <v>7</v>
      </c>
      <c r="E6" s="16">
        <v>728.47</v>
      </c>
      <c r="F6" s="16">
        <v>35</v>
      </c>
      <c r="G6" s="16">
        <v>0.56666666666666676</v>
      </c>
      <c r="H6" s="16">
        <v>5.6778003905714469E-2</v>
      </c>
      <c r="I6" s="16">
        <v>14.333333333333334</v>
      </c>
      <c r="J6" s="16">
        <v>98.666666666666671</v>
      </c>
      <c r="K6" s="16">
        <v>2.1580952853440234</v>
      </c>
      <c r="L6" s="16">
        <v>333.33333333333331</v>
      </c>
      <c r="M6" s="5"/>
      <c r="N6" s="5">
        <v>10.6</v>
      </c>
      <c r="O6" s="5"/>
      <c r="P6" s="5">
        <v>44.3</v>
      </c>
      <c r="Q6" s="5">
        <v>155.1</v>
      </c>
      <c r="R6" s="5">
        <f t="shared" si="0"/>
        <v>210</v>
      </c>
      <c r="S6" s="6">
        <f t="shared" si="1"/>
        <v>0</v>
      </c>
      <c r="T6" s="6">
        <f t="shared" si="1"/>
        <v>5.0476190476190473E-2</v>
      </c>
      <c r="U6" s="6">
        <f t="shared" si="1"/>
        <v>0</v>
      </c>
      <c r="V6" s="6">
        <f t="shared" si="1"/>
        <v>0.21095238095238095</v>
      </c>
      <c r="W6" s="6">
        <f t="shared" si="1"/>
        <v>0.73857142857142855</v>
      </c>
      <c r="X6" s="6">
        <f t="shared" si="2"/>
        <v>1</v>
      </c>
      <c r="Y6" s="7">
        <f t="shared" si="3"/>
        <v>1</v>
      </c>
      <c r="Z6" s="7">
        <f t="shared" si="4"/>
        <v>0.94952380952380955</v>
      </c>
      <c r="AA6" s="7">
        <f t="shared" si="4"/>
        <v>0.94952380952380955</v>
      </c>
      <c r="AB6" s="7">
        <f t="shared" si="4"/>
        <v>0.73857142857142866</v>
      </c>
      <c r="AC6" s="7">
        <f t="shared" si="4"/>
        <v>0</v>
      </c>
      <c r="AD6" s="7">
        <f t="shared" si="5"/>
        <v>0.94952380952380955</v>
      </c>
      <c r="AE6" s="8">
        <f t="shared" si="6"/>
        <v>45.051305817795566</v>
      </c>
      <c r="AF6" s="9"/>
      <c r="AG6" s="9">
        <v>0.37</v>
      </c>
      <c r="AH6" s="9"/>
      <c r="AI6" s="9">
        <v>0.83</v>
      </c>
      <c r="AJ6" s="9">
        <v>0.76</v>
      </c>
      <c r="AK6" s="10">
        <f t="shared" si="7"/>
        <v>0</v>
      </c>
      <c r="AL6" s="10">
        <f t="shared" si="7"/>
        <v>2.473402410337586E-2</v>
      </c>
      <c r="AM6" s="10">
        <f t="shared" si="7"/>
        <v>0</v>
      </c>
      <c r="AN6" s="10">
        <f t="shared" si="7"/>
        <v>0.23188305258975703</v>
      </c>
      <c r="AO6" s="10">
        <f t="shared" si="7"/>
        <v>0.74338292330686717</v>
      </c>
      <c r="AP6" s="10">
        <f t="shared" si="8"/>
        <v>1</v>
      </c>
      <c r="AQ6" s="10">
        <f t="shared" si="9"/>
        <v>0.97526597589662412</v>
      </c>
      <c r="AR6" s="10">
        <f t="shared" si="9"/>
        <v>0.97526597589662412</v>
      </c>
      <c r="AS6" s="10">
        <f t="shared" si="9"/>
        <v>0.74338292330686706</v>
      </c>
      <c r="AT6" s="10">
        <f t="shared" si="9"/>
        <v>0</v>
      </c>
      <c r="AU6" s="10">
        <f t="shared" si="10"/>
        <v>0.97526597589662412</v>
      </c>
      <c r="AV6" s="11">
        <f>FORECAST(0.8,$AP$3:$AT$3,AP6:AT6)</f>
        <v>46.416103181372648</v>
      </c>
    </row>
    <row r="7" spans="1:48" x14ac:dyDescent="0.25">
      <c r="A7" s="18"/>
      <c r="B7" s="4">
        <v>45484</v>
      </c>
      <c r="C7" s="14" t="s">
        <v>33</v>
      </c>
      <c r="D7" s="15" t="s">
        <v>7</v>
      </c>
      <c r="E7" s="16">
        <v>835.0200000000001</v>
      </c>
      <c r="F7" s="16">
        <v>32</v>
      </c>
      <c r="G7" s="16">
        <v>0.56166666666666665</v>
      </c>
      <c r="H7" s="16">
        <v>4.3495801639268708E-2</v>
      </c>
      <c r="I7" s="16">
        <v>12.666666666666666</v>
      </c>
      <c r="J7" s="16">
        <v>99</v>
      </c>
      <c r="K7" s="16">
        <v>2.1580952853440234</v>
      </c>
      <c r="L7" s="16">
        <v>500</v>
      </c>
      <c r="M7" s="5"/>
      <c r="N7" s="5"/>
      <c r="O7" s="5"/>
      <c r="P7" s="5">
        <v>17</v>
      </c>
      <c r="Q7" s="5">
        <v>67.900000000000006</v>
      </c>
      <c r="R7" s="5">
        <f t="shared" si="0"/>
        <v>84.9</v>
      </c>
      <c r="S7" s="6">
        <f t="shared" si="1"/>
        <v>0</v>
      </c>
      <c r="T7" s="6">
        <f t="shared" si="1"/>
        <v>0</v>
      </c>
      <c r="U7" s="6">
        <f t="shared" si="1"/>
        <v>0</v>
      </c>
      <c r="V7" s="6">
        <f t="shared" si="1"/>
        <v>0.20023557126030622</v>
      </c>
      <c r="W7" s="6">
        <f t="shared" si="1"/>
        <v>0.79976442873969378</v>
      </c>
      <c r="X7" s="6">
        <f t="shared" si="2"/>
        <v>1</v>
      </c>
      <c r="Y7" s="7">
        <f t="shared" si="3"/>
        <v>1</v>
      </c>
      <c r="Z7" s="7">
        <f t="shared" si="4"/>
        <v>1</v>
      </c>
      <c r="AA7" s="7">
        <f t="shared" si="4"/>
        <v>1</v>
      </c>
      <c r="AB7" s="7">
        <f t="shared" si="4"/>
        <v>0.79976442873969378</v>
      </c>
      <c r="AC7" s="7">
        <f t="shared" si="4"/>
        <v>0</v>
      </c>
      <c r="AD7" s="7">
        <f t="shared" si="5"/>
        <v>1</v>
      </c>
      <c r="AE7" s="8">
        <f t="shared" si="6"/>
        <v>38.06156862745101</v>
      </c>
      <c r="AF7" s="9"/>
      <c r="AG7" s="9"/>
      <c r="AH7" s="9"/>
      <c r="AI7" s="9">
        <v>0.3</v>
      </c>
      <c r="AJ7" s="9">
        <v>0.51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N7" s="10">
        <f t="shared" si="7"/>
        <v>0.12836970474967904</v>
      </c>
      <c r="AO7" s="10">
        <f t="shared" si="7"/>
        <v>0.87163029525032087</v>
      </c>
      <c r="AP7" s="10">
        <f t="shared" si="8"/>
        <v>1</v>
      </c>
      <c r="AQ7" s="10">
        <f t="shared" si="9"/>
        <v>1</v>
      </c>
      <c r="AR7" s="10">
        <f t="shared" si="9"/>
        <v>1</v>
      </c>
      <c r="AS7" s="10">
        <f t="shared" si="9"/>
        <v>0.87163029525032099</v>
      </c>
      <c r="AT7" s="10">
        <f t="shared" si="9"/>
        <v>0</v>
      </c>
      <c r="AU7" s="10">
        <f t="shared" si="10"/>
        <v>1</v>
      </c>
      <c r="AV7" s="11">
        <f>FORECAST(0.8,$AP$3:$AT$3,AP7:AT7)</f>
        <v>8.7980000000000018</v>
      </c>
    </row>
    <row r="8" spans="1:48" x14ac:dyDescent="0.25">
      <c r="A8" s="18"/>
      <c r="B8" s="4">
        <v>45485</v>
      </c>
      <c r="C8" s="14" t="s">
        <v>33</v>
      </c>
      <c r="D8" s="15" t="s">
        <v>7</v>
      </c>
      <c r="E8" s="16">
        <v>995.75000000000011</v>
      </c>
      <c r="F8" s="16">
        <v>34</v>
      </c>
      <c r="G8" s="16">
        <v>0.58666666666666667</v>
      </c>
      <c r="H8" s="16">
        <v>3.3414612913324537E-2</v>
      </c>
      <c r="I8" s="16">
        <v>12.333333333333334</v>
      </c>
      <c r="J8" s="16">
        <v>101.66666666666667</v>
      </c>
      <c r="K8" s="16">
        <v>2.1580952853440234</v>
      </c>
      <c r="L8" s="16">
        <v>445.45454545454544</v>
      </c>
      <c r="M8" s="5"/>
      <c r="N8" s="5"/>
      <c r="O8" s="5"/>
      <c r="P8" s="5">
        <v>35.5</v>
      </c>
      <c r="Q8" s="5">
        <v>118</v>
      </c>
      <c r="R8" s="5">
        <f t="shared" si="0"/>
        <v>153.5</v>
      </c>
      <c r="S8" s="6">
        <f t="shared" si="1"/>
        <v>0</v>
      </c>
      <c r="T8" s="6">
        <f t="shared" si="1"/>
        <v>0</v>
      </c>
      <c r="U8" s="6">
        <f t="shared" si="1"/>
        <v>0</v>
      </c>
      <c r="V8" s="6">
        <f t="shared" si="1"/>
        <v>0.23127035830618892</v>
      </c>
      <c r="W8" s="6">
        <f t="shared" si="1"/>
        <v>0.76872964169381108</v>
      </c>
      <c r="X8" s="6">
        <f t="shared" si="2"/>
        <v>1</v>
      </c>
      <c r="Y8" s="7">
        <f t="shared" si="3"/>
        <v>1</v>
      </c>
      <c r="Z8" s="7">
        <f t="shared" si="4"/>
        <v>1</v>
      </c>
      <c r="AA8" s="7">
        <f t="shared" si="4"/>
        <v>1</v>
      </c>
      <c r="AB8" s="7">
        <f t="shared" si="4"/>
        <v>0.76872964169381108</v>
      </c>
      <c r="AC8" s="7">
        <f t="shared" si="4"/>
        <v>0</v>
      </c>
      <c r="AD8" s="7">
        <f t="shared" si="5"/>
        <v>1</v>
      </c>
      <c r="AE8" s="8">
        <f t="shared" si="6"/>
        <v>45.076056338028195</v>
      </c>
      <c r="AF8" s="9"/>
      <c r="AG8" s="9"/>
      <c r="AH8" s="9"/>
      <c r="AI8" s="9">
        <v>0.28999999999999998</v>
      </c>
      <c r="AJ8" s="9">
        <v>0.64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N8" s="10">
        <f t="shared" si="7"/>
        <v>0.11996737167161918</v>
      </c>
      <c r="AO8" s="10">
        <f t="shared" si="7"/>
        <v>0.88003262832838081</v>
      </c>
      <c r="AP8" s="10">
        <f t="shared" si="8"/>
        <v>1</v>
      </c>
      <c r="AQ8" s="10">
        <f t="shared" si="9"/>
        <v>1</v>
      </c>
      <c r="AR8" s="10">
        <f t="shared" si="9"/>
        <v>1</v>
      </c>
      <c r="AS8" s="10">
        <f t="shared" si="9"/>
        <v>0.88003262832838081</v>
      </c>
      <c r="AT8" s="10">
        <f t="shared" si="9"/>
        <v>0</v>
      </c>
      <c r="AU8" s="10">
        <f t="shared" si="10"/>
        <v>1</v>
      </c>
      <c r="AV8" s="11">
        <f>FORECAST(0.8,$AP$3:$AT$3,AP8:AT8)</f>
        <v>3.0873887000162199</v>
      </c>
    </row>
    <row r="9" spans="1:48" x14ac:dyDescent="0.25">
      <c r="A9" s="18"/>
      <c r="B9" s="4">
        <v>45486</v>
      </c>
      <c r="C9" s="14" t="s">
        <v>33</v>
      </c>
      <c r="D9" s="15" t="s">
        <v>7</v>
      </c>
      <c r="E9" s="16">
        <v>508.6400000000001</v>
      </c>
      <c r="F9" s="16">
        <v>33</v>
      </c>
      <c r="G9" s="16">
        <v>0.5905555555555555</v>
      </c>
      <c r="H9" s="16">
        <v>4.4464618933632877E-2</v>
      </c>
      <c r="I9" s="16">
        <v>12.444444444444445</v>
      </c>
      <c r="J9" s="16">
        <v>95.222222222222229</v>
      </c>
      <c r="K9" s="16">
        <v>2.1580952853440234</v>
      </c>
      <c r="L9" s="16">
        <v>316.66666666666669</v>
      </c>
      <c r="M9" s="5"/>
      <c r="N9" s="5"/>
      <c r="O9" s="5"/>
      <c r="P9" s="5">
        <v>10.999999999999998</v>
      </c>
      <c r="Q9" s="5">
        <v>73.3</v>
      </c>
      <c r="R9" s="5">
        <f t="shared" si="0"/>
        <v>84.3</v>
      </c>
      <c r="S9" s="6">
        <f t="shared" si="1"/>
        <v>0</v>
      </c>
      <c r="T9" s="6">
        <f t="shared" si="1"/>
        <v>0</v>
      </c>
      <c r="U9" s="6">
        <f t="shared" si="1"/>
        <v>0</v>
      </c>
      <c r="V9" s="6">
        <f t="shared" si="1"/>
        <v>0.13048635824436536</v>
      </c>
      <c r="W9" s="6">
        <f t="shared" si="1"/>
        <v>0.86951364175563461</v>
      </c>
      <c r="X9" s="6">
        <f t="shared" si="2"/>
        <v>1</v>
      </c>
      <c r="Y9" s="7">
        <f t="shared" si="3"/>
        <v>1</v>
      </c>
      <c r="Z9" s="7">
        <f t="shared" si="4"/>
        <v>1</v>
      </c>
      <c r="AA9" s="7">
        <f t="shared" si="4"/>
        <v>1</v>
      </c>
      <c r="AB9" s="7">
        <f t="shared" si="4"/>
        <v>0.86951364175563461</v>
      </c>
      <c r="AC9" s="7">
        <f t="shared" si="4"/>
        <v>0</v>
      </c>
      <c r="AD9" s="7">
        <f t="shared" si="5"/>
        <v>1</v>
      </c>
      <c r="AE9" s="8">
        <f t="shared" si="6"/>
        <v>10.120606060606065</v>
      </c>
      <c r="AF9" s="9"/>
      <c r="AG9" s="9"/>
      <c r="AH9" s="9"/>
      <c r="AI9" s="9">
        <v>0.21</v>
      </c>
      <c r="AJ9" s="9">
        <v>0.53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N9" s="10">
        <f t="shared" si="7"/>
        <v>5.6123812531888514E-2</v>
      </c>
      <c r="AO9" s="10">
        <f t="shared" si="7"/>
        <v>0.94387618746811142</v>
      </c>
      <c r="AP9" s="10">
        <f t="shared" si="8"/>
        <v>1</v>
      </c>
      <c r="AQ9" s="10">
        <f t="shared" si="9"/>
        <v>1</v>
      </c>
      <c r="AR9" s="10">
        <f t="shared" si="9"/>
        <v>1</v>
      </c>
      <c r="AS9" s="10">
        <f t="shared" si="9"/>
        <v>0.94387618746811153</v>
      </c>
      <c r="AT9" s="10">
        <f t="shared" si="9"/>
        <v>0</v>
      </c>
      <c r="AU9" s="10">
        <f t="shared" si="10"/>
        <v>1</v>
      </c>
      <c r="AV9" s="11">
        <f>FORECAST(0.8,$AR$3:$AS$3,AR9:AS9)</f>
        <v>17.491601731601705</v>
      </c>
    </row>
    <row r="10" spans="1:48" x14ac:dyDescent="0.25">
      <c r="A10" s="18"/>
      <c r="B10" s="4">
        <v>45487</v>
      </c>
      <c r="C10" s="14" t="s">
        <v>33</v>
      </c>
      <c r="D10" s="15" t="s">
        <v>7</v>
      </c>
      <c r="E10" s="16">
        <v>1007.6270000000001</v>
      </c>
      <c r="F10" s="16">
        <v>39</v>
      </c>
      <c r="G10" s="16">
        <v>0.69</v>
      </c>
      <c r="H10" s="16">
        <v>5.5041131315269103E-2</v>
      </c>
      <c r="I10" s="16">
        <v>14.5</v>
      </c>
      <c r="J10" s="16">
        <v>95.5</v>
      </c>
      <c r="K10" s="16">
        <v>2.1580952853440234</v>
      </c>
      <c r="L10" s="16">
        <v>250</v>
      </c>
      <c r="M10" s="5">
        <v>67.599999999999994</v>
      </c>
      <c r="N10" s="5">
        <v>41.1</v>
      </c>
      <c r="O10" s="5"/>
      <c r="P10" s="5">
        <v>91.9</v>
      </c>
      <c r="Q10" s="5">
        <v>205.4</v>
      </c>
      <c r="R10" s="5">
        <f t="shared" si="0"/>
        <v>406</v>
      </c>
      <c r="S10" s="6">
        <f t="shared" si="1"/>
        <v>0.16650246305418717</v>
      </c>
      <c r="T10" s="6">
        <f t="shared" si="1"/>
        <v>0.10123152709359606</v>
      </c>
      <c r="U10" s="6">
        <f t="shared" si="1"/>
        <v>0</v>
      </c>
      <c r="V10" s="6">
        <f t="shared" si="1"/>
        <v>0.22635467980295568</v>
      </c>
      <c r="W10" s="6">
        <f t="shared" si="1"/>
        <v>0.50591133004926114</v>
      </c>
      <c r="X10" s="6">
        <f t="shared" si="2"/>
        <v>1</v>
      </c>
      <c r="Y10" s="7">
        <f t="shared" si="3"/>
        <v>0.83349753694581286</v>
      </c>
      <c r="Z10" s="7">
        <f t="shared" si="4"/>
        <v>0.73226600985221679</v>
      </c>
      <c r="AA10" s="7">
        <f t="shared" si="4"/>
        <v>0.73226600985221679</v>
      </c>
      <c r="AB10" s="7">
        <f t="shared" si="4"/>
        <v>0.50591133004926114</v>
      </c>
      <c r="AC10" s="7">
        <f t="shared" si="4"/>
        <v>0</v>
      </c>
      <c r="AD10" s="7">
        <f t="shared" si="5"/>
        <v>0.73226600985221679</v>
      </c>
      <c r="AE10" s="8">
        <f t="shared" si="6"/>
        <v>105.19656710567079</v>
      </c>
      <c r="AF10" s="9">
        <v>0.68</v>
      </c>
      <c r="AG10" s="9">
        <v>1.03</v>
      </c>
      <c r="AH10" s="9"/>
      <c r="AI10" s="9">
        <v>0.56999999999999995</v>
      </c>
      <c r="AJ10" s="9">
        <v>0.5</v>
      </c>
      <c r="AK10" s="10">
        <f t="shared" si="7"/>
        <v>0.18887026263024684</v>
      </c>
      <c r="AL10" s="10">
        <f t="shared" si="7"/>
        <v>0.17393501627058477</v>
      </c>
      <c r="AM10" s="10">
        <f t="shared" si="7"/>
        <v>0</v>
      </c>
      <c r="AN10" s="10">
        <f t="shared" si="7"/>
        <v>0.21522778818656935</v>
      </c>
      <c r="AO10" s="10">
        <f t="shared" si="7"/>
        <v>0.42196693291259901</v>
      </c>
      <c r="AP10" s="10">
        <f t="shared" si="8"/>
        <v>0.81112973736975313</v>
      </c>
      <c r="AQ10" s="10">
        <f t="shared" si="9"/>
        <v>0.63719472109916842</v>
      </c>
      <c r="AR10" s="10">
        <f t="shared" si="9"/>
        <v>0.63719472109916842</v>
      </c>
      <c r="AS10" s="10">
        <f t="shared" si="9"/>
        <v>0.42196693291259907</v>
      </c>
      <c r="AT10" s="10">
        <f t="shared" si="9"/>
        <v>0</v>
      </c>
      <c r="AU10" s="10">
        <f t="shared" si="10"/>
        <v>0.63719472109916842</v>
      </c>
      <c r="AV10" s="11">
        <f t="shared" ref="AV10:AV24" si="11">FORECAST(0.8,$AP$3:$AT$3,AP10:AT10)</f>
        <v>125.22450335244633</v>
      </c>
    </row>
    <row r="11" spans="1:48" x14ac:dyDescent="0.25">
      <c r="A11" s="18"/>
      <c r="B11" s="4">
        <v>45488</v>
      </c>
      <c r="C11" s="14" t="s">
        <v>33</v>
      </c>
      <c r="D11" s="15" t="s">
        <v>7</v>
      </c>
      <c r="E11" s="16">
        <v>991.57500000000005</v>
      </c>
      <c r="F11" s="16">
        <v>42</v>
      </c>
      <c r="G11" s="16">
        <v>0.71499999999999997</v>
      </c>
      <c r="H11" s="16">
        <v>6.7579571194014504E-2</v>
      </c>
      <c r="I11" s="16">
        <v>21.5</v>
      </c>
      <c r="J11" s="16">
        <v>99</v>
      </c>
      <c r="K11" s="16">
        <v>2.1580952853440234</v>
      </c>
      <c r="L11" s="16">
        <v>291.66666666666669</v>
      </c>
      <c r="M11" s="5">
        <v>131</v>
      </c>
      <c r="N11" s="5">
        <v>72.3</v>
      </c>
      <c r="O11" s="5"/>
      <c r="P11" s="5">
        <v>89.7</v>
      </c>
      <c r="Q11" s="5">
        <v>204.9</v>
      </c>
      <c r="R11" s="5">
        <f t="shared" si="0"/>
        <v>497.9</v>
      </c>
      <c r="S11" s="6">
        <f t="shared" si="1"/>
        <v>0.26310504117292632</v>
      </c>
      <c r="T11" s="6">
        <f t="shared" si="1"/>
        <v>0.14520988150230971</v>
      </c>
      <c r="U11" s="6">
        <f t="shared" si="1"/>
        <v>0</v>
      </c>
      <c r="V11" s="6">
        <f t="shared" si="1"/>
        <v>0.18015665796344649</v>
      </c>
      <c r="W11" s="6">
        <f t="shared" si="1"/>
        <v>0.41152841936131757</v>
      </c>
      <c r="X11" s="6">
        <f t="shared" si="2"/>
        <v>1</v>
      </c>
      <c r="Y11" s="7">
        <f t="shared" si="3"/>
        <v>0.73689495882707368</v>
      </c>
      <c r="Z11" s="7">
        <f t="shared" si="4"/>
        <v>0.59168507732476394</v>
      </c>
      <c r="AA11" s="7">
        <f t="shared" si="4"/>
        <v>0.59168507732476394</v>
      </c>
      <c r="AB11" s="7">
        <f t="shared" si="4"/>
        <v>0.41152841936131745</v>
      </c>
      <c r="AC11" s="7">
        <f t="shared" si="4"/>
        <v>0</v>
      </c>
      <c r="AD11" s="7">
        <f t="shared" si="5"/>
        <v>0.59168507732476394</v>
      </c>
      <c r="AE11" s="8">
        <f t="shared" si="6"/>
        <v>149.15000966078156</v>
      </c>
      <c r="AF11" s="9">
        <v>1.1299999999999999</v>
      </c>
      <c r="AG11" s="9">
        <v>0.93</v>
      </c>
      <c r="AH11" s="9"/>
      <c r="AI11" s="9">
        <v>0.98</v>
      </c>
      <c r="AJ11" s="9">
        <v>0.79</v>
      </c>
      <c r="AK11" s="10">
        <f t="shared" si="7"/>
        <v>0.31831259703341175</v>
      </c>
      <c r="AL11" s="10">
        <f t="shared" si="7"/>
        <v>0.14458569689880144</v>
      </c>
      <c r="AM11" s="10">
        <f t="shared" si="7"/>
        <v>0</v>
      </c>
      <c r="AN11" s="10">
        <f t="shared" si="7"/>
        <v>0.18902646189839289</v>
      </c>
      <c r="AO11" s="10">
        <f t="shared" si="7"/>
        <v>0.34807524416939406</v>
      </c>
      <c r="AP11" s="10">
        <f t="shared" si="8"/>
        <v>0.68168740296658825</v>
      </c>
      <c r="AQ11" s="10">
        <f t="shared" si="9"/>
        <v>0.53710170606778684</v>
      </c>
      <c r="AR11" s="10">
        <f t="shared" si="9"/>
        <v>0.53710170606778684</v>
      </c>
      <c r="AS11" s="10">
        <f t="shared" si="9"/>
        <v>0.34807524416939395</v>
      </c>
      <c r="AT11" s="10">
        <f t="shared" si="9"/>
        <v>0</v>
      </c>
      <c r="AU11" s="10">
        <f t="shared" si="10"/>
        <v>0.53710170606778684</v>
      </c>
      <c r="AV11" s="11">
        <f t="shared" si="11"/>
        <v>164.79785405491893</v>
      </c>
    </row>
    <row r="12" spans="1:48" x14ac:dyDescent="0.25">
      <c r="A12" s="18"/>
      <c r="B12" s="4">
        <v>45500</v>
      </c>
      <c r="C12" s="14" t="s">
        <v>33</v>
      </c>
      <c r="D12" s="15" t="s">
        <v>7</v>
      </c>
      <c r="E12" s="16">
        <v>813.97</v>
      </c>
      <c r="F12" s="16">
        <v>37.229999999999997</v>
      </c>
      <c r="G12" s="16">
        <v>0.6</v>
      </c>
      <c r="H12" s="16">
        <v>6.5023205367141901E-2</v>
      </c>
      <c r="I12" s="16">
        <v>16.5</v>
      </c>
      <c r="J12" s="16">
        <v>99.5</v>
      </c>
      <c r="K12" s="16">
        <v>2.1580952853440234</v>
      </c>
      <c r="L12" s="16">
        <v>75</v>
      </c>
      <c r="M12" s="5">
        <v>21</v>
      </c>
      <c r="N12" s="5">
        <v>53.3</v>
      </c>
      <c r="O12" s="5">
        <v>44.4</v>
      </c>
      <c r="P12" s="5">
        <v>27.1</v>
      </c>
      <c r="Q12" s="5">
        <v>184.6</v>
      </c>
      <c r="R12" s="5">
        <f t="shared" si="0"/>
        <v>330.4</v>
      </c>
      <c r="S12" s="6">
        <f t="shared" si="1"/>
        <v>6.3559322033898316E-2</v>
      </c>
      <c r="T12" s="6">
        <f t="shared" si="1"/>
        <v>0.16131961259079902</v>
      </c>
      <c r="U12" s="6">
        <f t="shared" si="1"/>
        <v>0.13438256658595643</v>
      </c>
      <c r="V12" s="6">
        <f t="shared" si="1"/>
        <v>8.2021791767554489E-2</v>
      </c>
      <c r="W12" s="6">
        <f t="shared" si="1"/>
        <v>0.55871670702179177</v>
      </c>
      <c r="X12" s="6">
        <f t="shared" si="2"/>
        <v>1</v>
      </c>
      <c r="Y12" s="7">
        <f t="shared" si="3"/>
        <v>0.93644067796610164</v>
      </c>
      <c r="Z12" s="7">
        <f t="shared" si="4"/>
        <v>0.77512106537530268</v>
      </c>
      <c r="AA12" s="7">
        <f t="shared" si="4"/>
        <v>0.6407384987893463</v>
      </c>
      <c r="AB12" s="7">
        <f t="shared" si="4"/>
        <v>0.55871670702179177</v>
      </c>
      <c r="AC12" s="7">
        <f t="shared" si="4"/>
        <v>0</v>
      </c>
      <c r="AD12" s="7">
        <f t="shared" si="5"/>
        <v>0.77512106537530268</v>
      </c>
      <c r="AE12" s="8">
        <f t="shared" si="6"/>
        <v>98.789363217329395</v>
      </c>
      <c r="AF12" s="9">
        <v>0.42</v>
      </c>
      <c r="AG12" s="9">
        <v>0.56000000000000005</v>
      </c>
      <c r="AH12" s="9">
        <v>0.52</v>
      </c>
      <c r="AI12" s="9">
        <v>0.48</v>
      </c>
      <c r="AJ12" s="9">
        <v>0.73</v>
      </c>
      <c r="AK12" s="10">
        <f t="shared" si="7"/>
        <v>4.2095818100247234E-2</v>
      </c>
      <c r="AL12" s="10">
        <f t="shared" si="7"/>
        <v>0.14245759395194779</v>
      </c>
      <c r="AM12" s="10">
        <f t="shared" si="7"/>
        <v>0.11019367894540909</v>
      </c>
      <c r="AN12" s="10">
        <f t="shared" si="7"/>
        <v>6.2084172545126534E-2</v>
      </c>
      <c r="AO12" s="10">
        <f t="shared" si="7"/>
        <v>0.64316873645726935</v>
      </c>
      <c r="AP12" s="10">
        <f t="shared" si="8"/>
        <v>0.95790418189975279</v>
      </c>
      <c r="AQ12" s="10">
        <f t="shared" si="9"/>
        <v>0.815446587947805</v>
      </c>
      <c r="AR12" s="10">
        <f t="shared" si="9"/>
        <v>0.7052529090023959</v>
      </c>
      <c r="AS12" s="10">
        <f t="shared" si="9"/>
        <v>0.64316873645726935</v>
      </c>
      <c r="AT12" s="10">
        <f t="shared" si="9"/>
        <v>0</v>
      </c>
      <c r="AU12" s="10">
        <f t="shared" si="10"/>
        <v>0.815446587947805</v>
      </c>
      <c r="AV12" s="11">
        <f t="shared" si="11"/>
        <v>84.280799019372239</v>
      </c>
    </row>
    <row r="13" spans="1:48" x14ac:dyDescent="0.25">
      <c r="A13" s="18"/>
      <c r="B13" s="4">
        <v>45501</v>
      </c>
      <c r="C13" s="14" t="s">
        <v>33</v>
      </c>
      <c r="D13" s="15" t="s">
        <v>7</v>
      </c>
      <c r="E13" s="16">
        <v>790.71999999999991</v>
      </c>
      <c r="F13" s="16">
        <v>39.229999999999997</v>
      </c>
      <c r="G13" s="16">
        <v>0.67</v>
      </c>
      <c r="H13" s="16">
        <v>4.9994650797027945E-2</v>
      </c>
      <c r="I13" s="16">
        <v>13</v>
      </c>
      <c r="J13" s="16">
        <v>90</v>
      </c>
      <c r="K13" s="16">
        <v>2.1580952853440234</v>
      </c>
      <c r="L13" s="16">
        <v>120.83333333333333</v>
      </c>
      <c r="M13" s="5">
        <v>7.5</v>
      </c>
      <c r="N13" s="5">
        <v>53.4</v>
      </c>
      <c r="O13" s="5">
        <v>41.6</v>
      </c>
      <c r="P13" s="5">
        <v>24.4</v>
      </c>
      <c r="Q13" s="5">
        <v>185</v>
      </c>
      <c r="R13" s="5">
        <f t="shared" si="0"/>
        <v>311.89999999999998</v>
      </c>
      <c r="S13" s="6">
        <f t="shared" si="1"/>
        <v>2.4046168643796089E-2</v>
      </c>
      <c r="T13" s="6">
        <f t="shared" si="1"/>
        <v>0.17120872074382815</v>
      </c>
      <c r="U13" s="6">
        <f t="shared" si="1"/>
        <v>0.133376082077589</v>
      </c>
      <c r="V13" s="6">
        <f t="shared" si="1"/>
        <v>7.8230201987816606E-2</v>
      </c>
      <c r="W13" s="6">
        <f t="shared" si="1"/>
        <v>0.59313882654697025</v>
      </c>
      <c r="X13" s="6">
        <f t="shared" si="2"/>
        <v>1</v>
      </c>
      <c r="Y13" s="7">
        <f t="shared" si="3"/>
        <v>0.97595383135620395</v>
      </c>
      <c r="Z13" s="7">
        <f t="shared" si="4"/>
        <v>0.80474511061237575</v>
      </c>
      <c r="AA13" s="7">
        <f t="shared" si="4"/>
        <v>0.67136902853478675</v>
      </c>
      <c r="AB13" s="7">
        <f t="shared" si="4"/>
        <v>0.59313882654697014</v>
      </c>
      <c r="AC13" s="7">
        <f t="shared" si="4"/>
        <v>0</v>
      </c>
      <c r="AD13" s="7">
        <f t="shared" si="5"/>
        <v>0.80474511061237575</v>
      </c>
      <c r="AE13" s="8">
        <f t="shared" si="6"/>
        <v>88.689760120725879</v>
      </c>
      <c r="AF13" s="9">
        <v>0.39</v>
      </c>
      <c r="AG13" s="9">
        <v>0.39</v>
      </c>
      <c r="AH13" s="9">
        <v>0.51</v>
      </c>
      <c r="AI13" s="9">
        <v>0.22</v>
      </c>
      <c r="AJ13" s="9">
        <v>0.55000000000000004</v>
      </c>
      <c r="AK13" s="10">
        <f t="shared" si="7"/>
        <v>1.9232665943386924E-2</v>
      </c>
      <c r="AL13" s="10">
        <f t="shared" si="7"/>
        <v>0.13693658151691487</v>
      </c>
      <c r="AM13" s="10">
        <f t="shared" si="7"/>
        <v>0.13950093697603314</v>
      </c>
      <c r="AN13" s="10">
        <f t="shared" si="7"/>
        <v>3.5296051550119993E-2</v>
      </c>
      <c r="AO13" s="10">
        <f t="shared" si="7"/>
        <v>0.66903376401354508</v>
      </c>
      <c r="AP13" s="10">
        <f t="shared" si="8"/>
        <v>0.98076733405661309</v>
      </c>
      <c r="AQ13" s="10">
        <f t="shared" si="9"/>
        <v>0.84383075253969819</v>
      </c>
      <c r="AR13" s="10">
        <f t="shared" si="9"/>
        <v>0.70432981556366503</v>
      </c>
      <c r="AS13" s="10">
        <f t="shared" si="9"/>
        <v>0.66903376401354508</v>
      </c>
      <c r="AT13" s="10">
        <f t="shared" si="9"/>
        <v>0</v>
      </c>
      <c r="AU13" s="10">
        <f t="shared" si="10"/>
        <v>0.84383075253969819</v>
      </c>
      <c r="AV13" s="11">
        <f t="shared" si="11"/>
        <v>77.427238598013446</v>
      </c>
    </row>
    <row r="14" spans="1:48" x14ac:dyDescent="0.25">
      <c r="A14" s="18"/>
      <c r="B14" s="4">
        <v>45502</v>
      </c>
      <c r="C14" s="14" t="s">
        <v>33</v>
      </c>
      <c r="D14" s="15" t="s">
        <v>7</v>
      </c>
      <c r="E14" s="16">
        <v>989.22559999999999</v>
      </c>
      <c r="F14" s="16">
        <v>34.71</v>
      </c>
      <c r="G14" s="16">
        <v>0.53370238797352743</v>
      </c>
      <c r="H14" s="16">
        <v>5.349783163735973E-2</v>
      </c>
      <c r="I14" s="16">
        <v>12.029487149957955</v>
      </c>
      <c r="J14" s="16">
        <v>81.255394816408128</v>
      </c>
      <c r="K14" s="16">
        <v>2.1580952853440234</v>
      </c>
      <c r="L14" s="16">
        <v>158.33333333333334</v>
      </c>
      <c r="M14" s="5">
        <v>40.5</v>
      </c>
      <c r="N14" s="5">
        <v>28.8</v>
      </c>
      <c r="O14" s="5">
        <v>33.1</v>
      </c>
      <c r="P14" s="5">
        <v>15.1</v>
      </c>
      <c r="Q14" s="5">
        <v>193.5</v>
      </c>
      <c r="R14" s="5">
        <f t="shared" si="0"/>
        <v>311</v>
      </c>
      <c r="S14" s="6">
        <f t="shared" si="1"/>
        <v>0.13022508038585209</v>
      </c>
      <c r="T14" s="6">
        <f t="shared" si="1"/>
        <v>9.2604501607717049E-2</v>
      </c>
      <c r="U14" s="6">
        <f t="shared" si="1"/>
        <v>0.10643086816720258</v>
      </c>
      <c r="V14" s="6">
        <f t="shared" si="1"/>
        <v>4.855305466237942E-2</v>
      </c>
      <c r="W14" s="6">
        <f t="shared" si="1"/>
        <v>0.62218649517684887</v>
      </c>
      <c r="X14" s="6">
        <f t="shared" si="2"/>
        <v>1</v>
      </c>
      <c r="Y14" s="7">
        <f t="shared" si="3"/>
        <v>0.86977491961414788</v>
      </c>
      <c r="Z14" s="7">
        <f t="shared" si="4"/>
        <v>0.77717041800643083</v>
      </c>
      <c r="AA14" s="7">
        <f t="shared" si="4"/>
        <v>0.67073954983922823</v>
      </c>
      <c r="AB14" s="7">
        <f t="shared" si="4"/>
        <v>0.62218649517684876</v>
      </c>
      <c r="AC14" s="7">
        <f t="shared" si="4"/>
        <v>0</v>
      </c>
      <c r="AD14" s="7">
        <f t="shared" si="5"/>
        <v>0.77717041800643083</v>
      </c>
      <c r="AE14" s="8">
        <f t="shared" si="6"/>
        <v>105.78380982952064</v>
      </c>
      <c r="AF14" s="9">
        <v>0.49</v>
      </c>
      <c r="AG14" s="9">
        <v>0.45</v>
      </c>
      <c r="AH14" s="9">
        <v>0.6</v>
      </c>
      <c r="AI14" s="9">
        <v>0.72</v>
      </c>
      <c r="AJ14" s="9">
        <v>0.6</v>
      </c>
      <c r="AK14" s="10">
        <f t="shared" si="7"/>
        <v>0.11047278678668648</v>
      </c>
      <c r="AL14" s="10">
        <f t="shared" si="7"/>
        <v>7.2145493411713627E-2</v>
      </c>
      <c r="AM14" s="10">
        <f t="shared" si="7"/>
        <v>0.11055628851517225</v>
      </c>
      <c r="AN14" s="10">
        <f t="shared" si="7"/>
        <v>6.0522052806493094E-2</v>
      </c>
      <c r="AO14" s="10">
        <f t="shared" si="7"/>
        <v>0.64630337847993446</v>
      </c>
      <c r="AP14" s="10">
        <f t="shared" si="8"/>
        <v>0.88952721321331352</v>
      </c>
      <c r="AQ14" s="10">
        <f t="shared" si="9"/>
        <v>0.8173817198015999</v>
      </c>
      <c r="AR14" s="10">
        <f t="shared" si="9"/>
        <v>0.70682543128642761</v>
      </c>
      <c r="AS14" s="10">
        <f t="shared" si="9"/>
        <v>0.64630337847993446</v>
      </c>
      <c r="AT14" s="10">
        <f t="shared" si="9"/>
        <v>0</v>
      </c>
      <c r="AU14" s="10">
        <f t="shared" si="10"/>
        <v>0.8173817198015999</v>
      </c>
      <c r="AV14" s="11">
        <f t="shared" si="11"/>
        <v>92.351729830984141</v>
      </c>
    </row>
    <row r="15" spans="1:48" x14ac:dyDescent="0.25">
      <c r="A15" s="18"/>
      <c r="B15" s="4">
        <v>45503</v>
      </c>
      <c r="C15" s="14" t="s">
        <v>33</v>
      </c>
      <c r="D15" s="15" t="s">
        <v>7</v>
      </c>
      <c r="E15" s="16">
        <v>408.16359999999997</v>
      </c>
      <c r="F15" s="16">
        <v>33.229999999999997</v>
      </c>
      <c r="G15" s="16">
        <v>0.5</v>
      </c>
      <c r="H15" s="16">
        <v>3.0002988061764893E-2</v>
      </c>
      <c r="I15" s="16">
        <v>11</v>
      </c>
      <c r="J15" s="16">
        <v>89</v>
      </c>
      <c r="K15" s="16">
        <v>2.1580952853440234</v>
      </c>
      <c r="L15" s="16">
        <v>158.33333333333334</v>
      </c>
      <c r="M15" s="5"/>
      <c r="N15" s="5">
        <v>53.8</v>
      </c>
      <c r="O15" s="5">
        <v>49.2</v>
      </c>
      <c r="P15" s="5">
        <v>20.8</v>
      </c>
      <c r="Q15" s="5">
        <v>243.2</v>
      </c>
      <c r="R15" s="5">
        <f t="shared" si="0"/>
        <v>367</v>
      </c>
      <c r="S15" s="6">
        <f t="shared" si="1"/>
        <v>0</v>
      </c>
      <c r="T15" s="6">
        <f t="shared" si="1"/>
        <v>0.14659400544959128</v>
      </c>
      <c r="U15" s="6">
        <f t="shared" si="1"/>
        <v>0.1340599455040872</v>
      </c>
      <c r="V15" s="6">
        <f t="shared" si="1"/>
        <v>5.6675749318801094E-2</v>
      </c>
      <c r="W15" s="6">
        <f t="shared" si="1"/>
        <v>0.66267029972752045</v>
      </c>
      <c r="X15" s="6">
        <f t="shared" si="2"/>
        <v>1</v>
      </c>
      <c r="Y15" s="7">
        <f t="shared" si="3"/>
        <v>1</v>
      </c>
      <c r="Z15" s="7">
        <f t="shared" si="4"/>
        <v>0.85340599455040866</v>
      </c>
      <c r="AA15" s="7">
        <f t="shared" si="4"/>
        <v>0.71934604904632149</v>
      </c>
      <c r="AB15" s="7">
        <f t="shared" si="4"/>
        <v>0.66267029972752045</v>
      </c>
      <c r="AC15" s="7">
        <f t="shared" si="4"/>
        <v>0</v>
      </c>
      <c r="AD15" s="7">
        <f t="shared" si="5"/>
        <v>0.85340599455040866</v>
      </c>
      <c r="AE15" s="8">
        <f t="shared" si="6"/>
        <v>74.336464099875457</v>
      </c>
      <c r="AF15" s="9"/>
      <c r="AG15" s="9">
        <v>0.22</v>
      </c>
      <c r="AH15" s="9">
        <v>0.24</v>
      </c>
      <c r="AI15" s="9">
        <v>0.3</v>
      </c>
      <c r="AJ15" s="9">
        <v>0.54</v>
      </c>
      <c r="AK15" s="10">
        <f t="shared" si="7"/>
        <v>0</v>
      </c>
      <c r="AL15" s="10">
        <f t="shared" si="7"/>
        <v>7.3418852194625711E-2</v>
      </c>
      <c r="AM15" s="10">
        <f t="shared" si="7"/>
        <v>7.3245167853509666E-2</v>
      </c>
      <c r="AN15" s="10">
        <f t="shared" si="7"/>
        <v>3.8706796020147385E-2</v>
      </c>
      <c r="AO15" s="10">
        <f t="shared" si="7"/>
        <v>0.81462918393171735</v>
      </c>
      <c r="AP15" s="10">
        <f t="shared" si="8"/>
        <v>1</v>
      </c>
      <c r="AQ15" s="10">
        <f t="shared" si="9"/>
        <v>0.92658114780537426</v>
      </c>
      <c r="AR15" s="10">
        <f t="shared" si="9"/>
        <v>0.85333597995186461</v>
      </c>
      <c r="AS15" s="10">
        <f t="shared" si="9"/>
        <v>0.81462918393171724</v>
      </c>
      <c r="AT15" s="10">
        <f t="shared" si="9"/>
        <v>0</v>
      </c>
      <c r="AU15" s="10">
        <f t="shared" si="10"/>
        <v>0.92658114780537426</v>
      </c>
      <c r="AV15" s="11">
        <f t="shared" si="11"/>
        <v>18.433203290391305</v>
      </c>
    </row>
    <row r="16" spans="1:48" x14ac:dyDescent="0.25">
      <c r="A16" s="18"/>
      <c r="B16" s="4">
        <v>45504</v>
      </c>
      <c r="C16" s="14" t="s">
        <v>33</v>
      </c>
      <c r="D16" s="15" t="s">
        <v>7</v>
      </c>
      <c r="E16" s="16">
        <v>681.79655999999989</v>
      </c>
      <c r="F16" s="16">
        <v>36.770000000000003</v>
      </c>
      <c r="G16" s="16">
        <v>0.52953176741149877</v>
      </c>
      <c r="H16" s="16">
        <v>4.0002914620861224E-2</v>
      </c>
      <c r="I16" s="16">
        <v>12</v>
      </c>
      <c r="J16" s="16">
        <v>93</v>
      </c>
      <c r="K16" s="16">
        <v>2.1580952853440234</v>
      </c>
      <c r="L16" s="16">
        <v>200</v>
      </c>
      <c r="M16" s="5">
        <v>16.3</v>
      </c>
      <c r="N16" s="5">
        <v>39.200000000000003</v>
      </c>
      <c r="O16" s="5">
        <v>23</v>
      </c>
      <c r="P16" s="5">
        <v>12.3</v>
      </c>
      <c r="Q16" s="5">
        <v>227.8</v>
      </c>
      <c r="R16" s="5">
        <f t="shared" si="0"/>
        <v>318.60000000000002</v>
      </c>
      <c r="S16" s="6">
        <f t="shared" si="1"/>
        <v>5.1161330822347771E-2</v>
      </c>
      <c r="T16" s="6">
        <f t="shared" si="1"/>
        <v>0.12303829252981795</v>
      </c>
      <c r="U16" s="6">
        <f t="shared" si="1"/>
        <v>7.21908349026993E-2</v>
      </c>
      <c r="V16" s="6">
        <f t="shared" si="1"/>
        <v>3.8606403013182675E-2</v>
      </c>
      <c r="W16" s="6">
        <f t="shared" si="1"/>
        <v>0.71500313873195231</v>
      </c>
      <c r="X16" s="6">
        <f t="shared" si="2"/>
        <v>1</v>
      </c>
      <c r="Y16" s="7">
        <f t="shared" si="3"/>
        <v>0.94883866917765225</v>
      </c>
      <c r="Z16" s="7">
        <f t="shared" si="4"/>
        <v>0.82580037664783434</v>
      </c>
      <c r="AA16" s="7">
        <f t="shared" si="4"/>
        <v>0.75360954174513506</v>
      </c>
      <c r="AB16" s="7">
        <f t="shared" si="4"/>
        <v>0.71500313873195243</v>
      </c>
      <c r="AC16" s="7">
        <f t="shared" si="4"/>
        <v>0</v>
      </c>
      <c r="AD16" s="7">
        <f t="shared" si="5"/>
        <v>0.82580037664783434</v>
      </c>
      <c r="AE16" s="8">
        <f t="shared" si="6"/>
        <v>71.948483905198714</v>
      </c>
      <c r="AF16" s="9">
        <v>0.33</v>
      </c>
      <c r="AG16" s="9">
        <v>0.44</v>
      </c>
      <c r="AH16" s="9">
        <v>0.6</v>
      </c>
      <c r="AI16" s="9">
        <v>0.52</v>
      </c>
      <c r="AJ16" s="9">
        <v>0.44</v>
      </c>
      <c r="AK16" s="10">
        <f t="shared" si="7"/>
        <v>3.7600922722029993E-2</v>
      </c>
      <c r="AL16" s="10">
        <f t="shared" si="7"/>
        <v>0.12056901191849288</v>
      </c>
      <c r="AM16" s="10">
        <f t="shared" si="7"/>
        <v>9.6466394044248699E-2</v>
      </c>
      <c r="AN16" s="10">
        <f t="shared" si="7"/>
        <v>4.4710076543986579E-2</v>
      </c>
      <c r="AO16" s="10">
        <f t="shared" si="7"/>
        <v>0.70065359477124178</v>
      </c>
      <c r="AP16" s="10">
        <f t="shared" si="8"/>
        <v>0.96239907727797003</v>
      </c>
      <c r="AQ16" s="10">
        <f t="shared" si="9"/>
        <v>0.84183006535947713</v>
      </c>
      <c r="AR16" s="10">
        <f t="shared" si="9"/>
        <v>0.7453636713152284</v>
      </c>
      <c r="AS16" s="10">
        <f t="shared" si="9"/>
        <v>0.70065359477124178</v>
      </c>
      <c r="AT16" s="10">
        <f t="shared" si="9"/>
        <v>0</v>
      </c>
      <c r="AU16" s="10">
        <f t="shared" si="10"/>
        <v>0.84183006535947713</v>
      </c>
      <c r="AV16" s="11">
        <f t="shared" si="11"/>
        <v>71.855363578450977</v>
      </c>
    </row>
    <row r="17" spans="1:48" x14ac:dyDescent="0.25">
      <c r="A17" s="18" t="s">
        <v>9</v>
      </c>
      <c r="B17" s="4">
        <v>45505</v>
      </c>
      <c r="C17" s="14" t="s">
        <v>33</v>
      </c>
      <c r="D17" s="15" t="s">
        <v>7</v>
      </c>
      <c r="E17" s="16">
        <v>692.02510921044666</v>
      </c>
      <c r="F17" s="16">
        <v>33.5</v>
      </c>
      <c r="G17" s="16">
        <v>0.52953176741149877</v>
      </c>
      <c r="H17" s="16">
        <v>4.0135381158381417E-2</v>
      </c>
      <c r="I17" s="16">
        <v>14.486200128959632</v>
      </c>
      <c r="J17" s="16">
        <v>94.927769685335221</v>
      </c>
      <c r="K17" s="16">
        <v>1.0110066782092506</v>
      </c>
      <c r="L17" s="16">
        <v>213.63636363636363</v>
      </c>
      <c r="M17" s="5">
        <v>69.2</v>
      </c>
      <c r="N17" s="5">
        <v>64.3</v>
      </c>
      <c r="O17" s="5">
        <v>46.8</v>
      </c>
      <c r="P17" s="5">
        <v>15.2</v>
      </c>
      <c r="Q17" s="5">
        <v>258.5</v>
      </c>
      <c r="R17" s="5">
        <f t="shared" si="0"/>
        <v>454</v>
      </c>
      <c r="S17" s="6">
        <f t="shared" si="1"/>
        <v>0.15242290748898679</v>
      </c>
      <c r="T17" s="6">
        <f t="shared" si="1"/>
        <v>0.14162995594713657</v>
      </c>
      <c r="U17" s="6">
        <f t="shared" si="1"/>
        <v>0.10308370044052863</v>
      </c>
      <c r="V17" s="6">
        <f t="shared" si="1"/>
        <v>3.3480176211453744E-2</v>
      </c>
      <c r="W17" s="6">
        <f t="shared" si="1"/>
        <v>0.56938325991189431</v>
      </c>
      <c r="X17" s="6">
        <f t="shared" si="2"/>
        <v>1</v>
      </c>
      <c r="Y17" s="7">
        <f t="shared" si="3"/>
        <v>0.84757709251101321</v>
      </c>
      <c r="Z17" s="7">
        <f t="shared" si="4"/>
        <v>0.70594713656387664</v>
      </c>
      <c r="AA17" s="7">
        <f t="shared" si="4"/>
        <v>0.60286343612334803</v>
      </c>
      <c r="AB17" s="7">
        <f t="shared" si="4"/>
        <v>0.56938325991189431</v>
      </c>
      <c r="AC17" s="7">
        <f t="shared" si="4"/>
        <v>0</v>
      </c>
      <c r="AD17" s="7">
        <f t="shared" si="5"/>
        <v>0.70594713656387664</v>
      </c>
      <c r="AE17" s="8">
        <f t="shared" si="6"/>
        <v>124.95539514873758</v>
      </c>
      <c r="AF17" s="9">
        <v>0.36</v>
      </c>
      <c r="AG17" s="9">
        <v>0.39</v>
      </c>
      <c r="AH17" s="9">
        <v>0.45</v>
      </c>
      <c r="AI17" s="9">
        <v>0.42</v>
      </c>
      <c r="AJ17" s="9">
        <v>0.66</v>
      </c>
      <c r="AK17" s="10">
        <f t="shared" si="7"/>
        <v>0.10043419890906012</v>
      </c>
      <c r="AL17" s="10">
        <f t="shared" si="7"/>
        <v>0.10109940615135278</v>
      </c>
      <c r="AM17" s="10">
        <f t="shared" si="7"/>
        <v>8.4904633470809496E-2</v>
      </c>
      <c r="AN17" s="10">
        <f t="shared" si="7"/>
        <v>2.5737472938159912E-2</v>
      </c>
      <c r="AO17" s="10">
        <f t="shared" si="7"/>
        <v>0.68782428853061772</v>
      </c>
      <c r="AP17" s="10">
        <f t="shared" si="8"/>
        <v>0.89956580109093986</v>
      </c>
      <c r="AQ17" s="10">
        <f t="shared" si="9"/>
        <v>0.79846639493958704</v>
      </c>
      <c r="AR17" s="10">
        <f t="shared" si="9"/>
        <v>0.71356176146877759</v>
      </c>
      <c r="AS17" s="10">
        <f t="shared" si="9"/>
        <v>0.68782428853061772</v>
      </c>
      <c r="AT17" s="10">
        <f t="shared" si="9"/>
        <v>0</v>
      </c>
      <c r="AU17" s="10">
        <f t="shared" si="10"/>
        <v>0.79846639493958704</v>
      </c>
      <c r="AV17" s="11">
        <f t="shared" si="11"/>
        <v>90.400199499115558</v>
      </c>
    </row>
    <row r="18" spans="1:48" x14ac:dyDescent="0.25">
      <c r="A18" s="18"/>
      <c r="B18" s="4">
        <v>45511</v>
      </c>
      <c r="C18" s="14" t="s">
        <v>33</v>
      </c>
      <c r="D18" s="15" t="s">
        <v>7</v>
      </c>
      <c r="E18" s="16">
        <v>925.92121121041635</v>
      </c>
      <c r="F18" s="16">
        <v>34.200000000000003</v>
      </c>
      <c r="G18" s="16">
        <v>0.51109430889050389</v>
      </c>
      <c r="H18" s="16">
        <v>4.5185873483554982E-2</v>
      </c>
      <c r="I18" s="16">
        <v>14.670699563855537</v>
      </c>
      <c r="J18" s="16">
        <v>83.363123209836829</v>
      </c>
      <c r="K18" s="16">
        <v>1.0110066782092506</v>
      </c>
      <c r="L18" s="16">
        <v>83.333333333333329</v>
      </c>
      <c r="M18" s="5">
        <v>10.9</v>
      </c>
      <c r="N18" s="5">
        <v>15.2</v>
      </c>
      <c r="O18" s="5">
        <v>49.8</v>
      </c>
      <c r="P18" s="5">
        <v>16.3</v>
      </c>
      <c r="Q18" s="5">
        <v>212.5</v>
      </c>
      <c r="R18" s="5">
        <f t="shared" si="0"/>
        <v>304.7</v>
      </c>
      <c r="S18" s="6">
        <f t="shared" si="1"/>
        <v>3.577289136855924E-2</v>
      </c>
      <c r="T18" s="6">
        <f t="shared" si="1"/>
        <v>4.9885132917623892E-2</v>
      </c>
      <c r="U18" s="6">
        <f t="shared" si="1"/>
        <v>0.16343944863800458</v>
      </c>
      <c r="V18" s="6">
        <f t="shared" si="1"/>
        <v>5.3495241220872992E-2</v>
      </c>
      <c r="W18" s="6">
        <f t="shared" si="1"/>
        <v>0.69740728585493927</v>
      </c>
      <c r="X18" s="6">
        <f t="shared" si="2"/>
        <v>1</v>
      </c>
      <c r="Y18" s="7">
        <f t="shared" si="3"/>
        <v>0.96422710863144079</v>
      </c>
      <c r="Z18" s="7">
        <f t="shared" si="4"/>
        <v>0.91434197571381692</v>
      </c>
      <c r="AA18" s="7">
        <f t="shared" si="4"/>
        <v>0.75090252707581229</v>
      </c>
      <c r="AB18" s="7">
        <f t="shared" si="4"/>
        <v>0.69740728585493927</v>
      </c>
      <c r="AC18" s="7">
        <f t="shared" si="4"/>
        <v>0</v>
      </c>
      <c r="AD18" s="7">
        <f t="shared" si="5"/>
        <v>0.91434197571381692</v>
      </c>
      <c r="AE18" s="8">
        <f t="shared" si="6"/>
        <v>66.072451345302454</v>
      </c>
      <c r="AF18" s="9">
        <v>0.46</v>
      </c>
      <c r="AG18" s="9">
        <v>0.72</v>
      </c>
      <c r="AH18" s="9">
        <v>0.57999999999999996</v>
      </c>
      <c r="AI18" s="9">
        <v>1.62</v>
      </c>
      <c r="AJ18" s="9">
        <v>0.52</v>
      </c>
      <c r="AK18" s="10">
        <f t="shared" si="7"/>
        <v>2.7587648832449328E-2</v>
      </c>
      <c r="AL18" s="10">
        <f t="shared" si="7"/>
        <v>6.0215243083830354E-2</v>
      </c>
      <c r="AM18" s="10">
        <f t="shared" si="7"/>
        <v>0.15892334441094261</v>
      </c>
      <c r="AN18" s="10">
        <f t="shared" si="7"/>
        <v>0.14528908158549203</v>
      </c>
      <c r="AO18" s="10">
        <f t="shared" si="7"/>
        <v>0.60798468208728573</v>
      </c>
      <c r="AP18" s="10">
        <f t="shared" si="8"/>
        <v>0.97241235116755065</v>
      </c>
      <c r="AQ18" s="10">
        <f t="shared" si="9"/>
        <v>0.91219710808372034</v>
      </c>
      <c r="AR18" s="10">
        <f t="shared" si="9"/>
        <v>0.75327376367277776</v>
      </c>
      <c r="AS18" s="10">
        <f t="shared" si="9"/>
        <v>0.60798468208728573</v>
      </c>
      <c r="AT18" s="10">
        <f t="shared" si="9"/>
        <v>0</v>
      </c>
      <c r="AU18" s="10">
        <f t="shared" si="10"/>
        <v>0.91219710808372034</v>
      </c>
      <c r="AV18" s="11">
        <f t="shared" si="11"/>
        <v>74.230490844665979</v>
      </c>
    </row>
    <row r="19" spans="1:48" x14ac:dyDescent="0.25">
      <c r="A19" s="18"/>
      <c r="B19" s="4">
        <v>45512</v>
      </c>
      <c r="C19" s="14" t="s">
        <v>33</v>
      </c>
      <c r="D19" s="15" t="s">
        <v>7</v>
      </c>
      <c r="E19" s="16">
        <v>706.67000505810347</v>
      </c>
      <c r="F19" s="16">
        <v>29.9</v>
      </c>
      <c r="G19" s="16">
        <v>0.47114311389743457</v>
      </c>
      <c r="H19" s="16">
        <v>5.0193778987304739E-2</v>
      </c>
      <c r="I19" s="16">
        <v>16.107895858681623</v>
      </c>
      <c r="J19" s="16">
        <v>89.527127222906543</v>
      </c>
      <c r="K19" s="16">
        <v>1.0110066782092506</v>
      </c>
      <c r="L19" s="16">
        <v>145.83333333333334</v>
      </c>
      <c r="M19" s="5">
        <v>4.0999999999999996</v>
      </c>
      <c r="N19" s="5">
        <v>25.3</v>
      </c>
      <c r="O19" s="5">
        <v>43.1</v>
      </c>
      <c r="P19" s="5">
        <v>16.2</v>
      </c>
      <c r="Q19" s="5">
        <v>208.5</v>
      </c>
      <c r="R19" s="5">
        <f t="shared" si="0"/>
        <v>297.2</v>
      </c>
      <c r="S19" s="6">
        <f t="shared" si="1"/>
        <v>1.3795423956931358E-2</v>
      </c>
      <c r="T19" s="6">
        <f t="shared" si="1"/>
        <v>8.5127860026917912E-2</v>
      </c>
      <c r="U19" s="6">
        <f t="shared" si="1"/>
        <v>0.14502018842530284</v>
      </c>
      <c r="V19" s="6">
        <f t="shared" si="1"/>
        <v>5.4508748317631223E-2</v>
      </c>
      <c r="W19" s="6">
        <f t="shared" si="1"/>
        <v>0.70154777927321677</v>
      </c>
      <c r="X19" s="6">
        <f t="shared" si="2"/>
        <v>1</v>
      </c>
      <c r="Y19" s="7">
        <f t="shared" si="3"/>
        <v>0.98620457604306866</v>
      </c>
      <c r="Z19" s="7">
        <f t="shared" si="4"/>
        <v>0.9010767160161508</v>
      </c>
      <c r="AA19" s="7">
        <f t="shared" si="4"/>
        <v>0.75605652759084796</v>
      </c>
      <c r="AB19" s="7">
        <f t="shared" si="4"/>
        <v>0.70154777927321677</v>
      </c>
      <c r="AC19" s="7">
        <f t="shared" si="4"/>
        <v>0</v>
      </c>
      <c r="AD19" s="7">
        <f t="shared" si="5"/>
        <v>0.9010767160161508</v>
      </c>
      <c r="AE19" s="8">
        <f t="shared" si="6"/>
        <v>64.138790052091508</v>
      </c>
      <c r="AF19" s="9">
        <v>0.39</v>
      </c>
      <c r="AG19" s="9">
        <v>0.39</v>
      </c>
      <c r="AH19" s="9">
        <v>0.33</v>
      </c>
      <c r="AI19" s="9">
        <v>0.28000000000000003</v>
      </c>
      <c r="AJ19" s="9">
        <v>0.5</v>
      </c>
      <c r="AK19" s="10">
        <f t="shared" si="7"/>
        <v>1.1890686001115449E-2</v>
      </c>
      <c r="AL19" s="10">
        <f t="shared" si="7"/>
        <v>7.3374233128834371E-2</v>
      </c>
      <c r="AM19" s="10">
        <f t="shared" si="7"/>
        <v>0.10576687116564418</v>
      </c>
      <c r="AN19" s="10">
        <f t="shared" si="7"/>
        <v>3.3731176798661465E-2</v>
      </c>
      <c r="AO19" s="10">
        <f t="shared" si="7"/>
        <v>0.77523703290574464</v>
      </c>
      <c r="AP19" s="10">
        <f t="shared" si="8"/>
        <v>0.98810931399888458</v>
      </c>
      <c r="AQ19" s="10">
        <f t="shared" si="9"/>
        <v>0.91473508087005018</v>
      </c>
      <c r="AR19" s="10">
        <f t="shared" si="9"/>
        <v>0.80896820970440597</v>
      </c>
      <c r="AS19" s="10">
        <f t="shared" si="9"/>
        <v>0.77523703290574453</v>
      </c>
      <c r="AT19" s="10">
        <f t="shared" si="9"/>
        <v>0</v>
      </c>
      <c r="AU19" s="10">
        <f t="shared" si="10"/>
        <v>0.91473508087005018</v>
      </c>
      <c r="AV19" s="11">
        <f t="shared" si="11"/>
        <v>41.87805477190517</v>
      </c>
    </row>
    <row r="20" spans="1:48" x14ac:dyDescent="0.25">
      <c r="A20" s="18"/>
      <c r="B20" s="4">
        <v>45514</v>
      </c>
      <c r="C20" s="14" t="s">
        <v>33</v>
      </c>
      <c r="D20" s="15" t="s">
        <v>7</v>
      </c>
      <c r="E20" s="16">
        <v>510.10002063064701</v>
      </c>
      <c r="F20" s="16">
        <v>32.444444444444443</v>
      </c>
      <c r="G20" s="16">
        <v>0.6081068167310314</v>
      </c>
      <c r="H20" s="16">
        <v>3.0056721817570006E-2</v>
      </c>
      <c r="I20" s="16">
        <v>15.411981137881289</v>
      </c>
      <c r="J20" s="16">
        <v>99.142701752973409</v>
      </c>
      <c r="K20" s="16">
        <v>1.0110066782092506</v>
      </c>
      <c r="L20" s="16">
        <v>130</v>
      </c>
      <c r="M20" s="5">
        <v>0.5</v>
      </c>
      <c r="N20" s="5">
        <v>8.6</v>
      </c>
      <c r="O20" s="5">
        <v>36.299999999999997</v>
      </c>
      <c r="P20" s="5">
        <v>14</v>
      </c>
      <c r="Q20" s="5">
        <v>105</v>
      </c>
      <c r="R20" s="5">
        <f t="shared" si="0"/>
        <v>164.4</v>
      </c>
      <c r="S20" s="6">
        <f t="shared" si="1"/>
        <v>3.0413625304136251E-3</v>
      </c>
      <c r="T20" s="6">
        <f t="shared" si="1"/>
        <v>5.2311435523114354E-2</v>
      </c>
      <c r="U20" s="6">
        <f t="shared" si="1"/>
        <v>0.22080291970802918</v>
      </c>
      <c r="V20" s="6">
        <f t="shared" si="1"/>
        <v>8.5158150851581502E-2</v>
      </c>
      <c r="W20" s="6">
        <f t="shared" si="1"/>
        <v>0.63868613138686126</v>
      </c>
      <c r="X20" s="6">
        <f t="shared" si="2"/>
        <v>1</v>
      </c>
      <c r="Y20" s="7">
        <f t="shared" si="3"/>
        <v>0.99695863746958635</v>
      </c>
      <c r="Z20" s="7">
        <f t="shared" si="4"/>
        <v>0.944647201946472</v>
      </c>
      <c r="AA20" s="7">
        <f t="shared" si="4"/>
        <v>0.72384428223844277</v>
      </c>
      <c r="AB20" s="7">
        <f t="shared" si="4"/>
        <v>0.63868613138686126</v>
      </c>
      <c r="AC20" s="7">
        <f t="shared" si="4"/>
        <v>0</v>
      </c>
      <c r="AD20" s="7">
        <f t="shared" si="5"/>
        <v>0.944647201946472</v>
      </c>
      <c r="AE20" s="8">
        <f t="shared" si="6"/>
        <v>70.592551046760576</v>
      </c>
      <c r="AF20" s="9">
        <v>0.24</v>
      </c>
      <c r="AG20" s="9">
        <v>0.24</v>
      </c>
      <c r="AH20" s="9">
        <v>0.28000000000000003</v>
      </c>
      <c r="AI20" s="9">
        <v>0.26</v>
      </c>
      <c r="AJ20" s="9">
        <v>0.64</v>
      </c>
      <c r="AK20" s="10">
        <f t="shared" si="7"/>
        <v>1.4425157474635764E-3</v>
      </c>
      <c r="AL20" s="10">
        <f t="shared" si="7"/>
        <v>2.4811270856373517E-2</v>
      </c>
      <c r="AM20" s="10">
        <f t="shared" si="7"/>
        <v>0.12218108381016492</v>
      </c>
      <c r="AN20" s="10">
        <f t="shared" si="7"/>
        <v>4.3756311006395154E-2</v>
      </c>
      <c r="AO20" s="10">
        <f t="shared" si="7"/>
        <v>0.80780881857960285</v>
      </c>
      <c r="AP20" s="10">
        <f t="shared" si="8"/>
        <v>0.99855748425253643</v>
      </c>
      <c r="AQ20" s="10">
        <f t="shared" si="9"/>
        <v>0.97374621339616296</v>
      </c>
      <c r="AR20" s="10">
        <f t="shared" si="9"/>
        <v>0.85156512958599806</v>
      </c>
      <c r="AS20" s="10">
        <f t="shared" si="9"/>
        <v>0.80780881857960285</v>
      </c>
      <c r="AT20" s="10">
        <f t="shared" si="9"/>
        <v>0</v>
      </c>
      <c r="AU20" s="10">
        <f t="shared" si="10"/>
        <v>0.97374621339616296</v>
      </c>
      <c r="AV20" s="11">
        <f t="shared" si="11"/>
        <v>26.379364833480508</v>
      </c>
    </row>
    <row r="21" spans="1:48" x14ac:dyDescent="0.25">
      <c r="A21" s="18"/>
      <c r="B21" s="4">
        <v>45515</v>
      </c>
      <c r="C21" s="14" t="s">
        <v>33</v>
      </c>
      <c r="D21" s="15" t="s">
        <v>7</v>
      </c>
      <c r="E21" s="16">
        <v>485.29001277676406</v>
      </c>
      <c r="F21" s="16">
        <v>28.5</v>
      </c>
      <c r="G21" s="16">
        <v>0.57574819193013327</v>
      </c>
      <c r="H21" s="16">
        <v>3.0045499692652088E-2</v>
      </c>
      <c r="I21" s="16">
        <v>13.817604072168205</v>
      </c>
      <c r="J21" s="16">
        <v>96.232333602023104</v>
      </c>
      <c r="K21" s="16">
        <v>1.0110066782092506</v>
      </c>
      <c r="L21" s="16">
        <v>122.22222222222223</v>
      </c>
      <c r="M21" s="5">
        <v>0.3</v>
      </c>
      <c r="N21" s="5">
        <v>4.4000000000000004</v>
      </c>
      <c r="O21" s="5">
        <v>66.599999999999994</v>
      </c>
      <c r="P21" s="5">
        <v>19</v>
      </c>
      <c r="Q21" s="5">
        <v>189.2</v>
      </c>
      <c r="R21" s="5">
        <f t="shared" si="0"/>
        <v>279.5</v>
      </c>
      <c r="S21" s="6">
        <f t="shared" si="1"/>
        <v>1.0733452593917709E-3</v>
      </c>
      <c r="T21" s="6">
        <f t="shared" si="1"/>
        <v>1.5742397137745976E-2</v>
      </c>
      <c r="U21" s="6">
        <f t="shared" si="1"/>
        <v>0.23828264758497314</v>
      </c>
      <c r="V21" s="6">
        <f t="shared" si="1"/>
        <v>6.7978533094812166E-2</v>
      </c>
      <c r="W21" s="6">
        <f t="shared" si="1"/>
        <v>0.67692307692307685</v>
      </c>
      <c r="X21" s="6">
        <f t="shared" si="2"/>
        <v>0.99999999999999989</v>
      </c>
      <c r="Y21" s="7">
        <f t="shared" si="3"/>
        <v>0.99892665474060827</v>
      </c>
      <c r="Z21" s="7">
        <f t="shared" si="4"/>
        <v>0.98318425760286232</v>
      </c>
      <c r="AA21" s="7">
        <f t="shared" si="4"/>
        <v>0.74490161001788913</v>
      </c>
      <c r="AB21" s="7">
        <f t="shared" si="4"/>
        <v>0.67692307692307696</v>
      </c>
      <c r="AC21" s="7">
        <f t="shared" si="4"/>
        <v>0</v>
      </c>
      <c r="AD21" s="7">
        <f t="shared" si="5"/>
        <v>0.98318425760286232</v>
      </c>
      <c r="AE21" s="8">
        <f t="shared" si="6"/>
        <v>64.262264141988595</v>
      </c>
      <c r="AF21" s="9"/>
      <c r="AG21" s="9">
        <v>0.3</v>
      </c>
      <c r="AH21" s="9">
        <v>0.28999999999999998</v>
      </c>
      <c r="AI21" s="9">
        <v>0.3</v>
      </c>
      <c r="AJ21" s="9">
        <v>0.76</v>
      </c>
      <c r="AK21" s="10">
        <f t="shared" si="7"/>
        <v>0</v>
      </c>
      <c r="AL21" s="10">
        <f t="shared" si="7"/>
        <v>7.7589551273761805E-3</v>
      </c>
      <c r="AM21" s="10">
        <f t="shared" si="7"/>
        <v>0.11352762070465418</v>
      </c>
      <c r="AN21" s="10">
        <f t="shared" si="7"/>
        <v>3.3504578959124412E-2</v>
      </c>
      <c r="AO21" s="10">
        <f t="shared" si="7"/>
        <v>0.84520884520884521</v>
      </c>
      <c r="AP21" s="10">
        <f t="shared" si="8"/>
        <v>1</v>
      </c>
      <c r="AQ21" s="10">
        <f t="shared" si="9"/>
        <v>0.99224104487262377</v>
      </c>
      <c r="AR21" s="10">
        <f t="shared" si="9"/>
        <v>0.8787134241679696</v>
      </c>
      <c r="AS21" s="10">
        <f t="shared" si="9"/>
        <v>0.84520884520884521</v>
      </c>
      <c r="AT21" s="10">
        <f t="shared" si="9"/>
        <v>0</v>
      </c>
      <c r="AU21" s="10">
        <f t="shared" si="10"/>
        <v>0.99224104487262377</v>
      </c>
      <c r="AV21" s="11">
        <f t="shared" si="11"/>
        <v>8.6469813637207267</v>
      </c>
    </row>
    <row r="22" spans="1:48" x14ac:dyDescent="0.25">
      <c r="A22" s="18"/>
      <c r="B22" s="4">
        <v>45516</v>
      </c>
      <c r="C22" s="14" t="s">
        <v>33</v>
      </c>
      <c r="D22" s="15" t="s">
        <v>7</v>
      </c>
      <c r="E22" s="16">
        <v>745.88314184810429</v>
      </c>
      <c r="F22" s="16">
        <v>32</v>
      </c>
      <c r="G22" s="16">
        <v>0.6450520117822518</v>
      </c>
      <c r="H22" s="16">
        <v>7.0397611039139718E-2</v>
      </c>
      <c r="I22" s="16">
        <v>18.864804112989411</v>
      </c>
      <c r="J22" s="16">
        <v>99.719565687786798</v>
      </c>
      <c r="K22" s="16">
        <v>1.0110066782092506</v>
      </c>
      <c r="L22" s="16">
        <v>150</v>
      </c>
      <c r="M22" s="5"/>
      <c r="N22" s="5">
        <v>34.200000000000003</v>
      </c>
      <c r="O22" s="5">
        <v>10.5</v>
      </c>
      <c r="P22" s="5">
        <v>9.9</v>
      </c>
      <c r="Q22" s="5">
        <v>123.7</v>
      </c>
      <c r="R22" s="5">
        <f t="shared" si="0"/>
        <v>178.3</v>
      </c>
      <c r="S22" s="6">
        <f t="shared" si="1"/>
        <v>0</v>
      </c>
      <c r="T22" s="6">
        <f t="shared" si="1"/>
        <v>0.19181155356141336</v>
      </c>
      <c r="U22" s="6">
        <f t="shared" si="1"/>
        <v>5.8889512058328652E-2</v>
      </c>
      <c r="V22" s="6">
        <f t="shared" si="1"/>
        <v>5.5524397083567018E-2</v>
      </c>
      <c r="W22" s="6">
        <f t="shared" si="1"/>
        <v>0.69377453729669092</v>
      </c>
      <c r="X22" s="6">
        <f t="shared" si="2"/>
        <v>1</v>
      </c>
      <c r="Y22" s="7">
        <f t="shared" si="3"/>
        <v>1</v>
      </c>
      <c r="Z22" s="7">
        <f t="shared" si="4"/>
        <v>0.80818844643858667</v>
      </c>
      <c r="AA22" s="7">
        <f t="shared" si="4"/>
        <v>0.74929893438025807</v>
      </c>
      <c r="AB22" s="7">
        <f t="shared" si="4"/>
        <v>0.69377453729669103</v>
      </c>
      <c r="AC22" s="7">
        <f t="shared" si="4"/>
        <v>0</v>
      </c>
      <c r="AD22" s="7">
        <f t="shared" si="5"/>
        <v>0.80818844643858667</v>
      </c>
      <c r="AE22" s="8">
        <f t="shared" si="6"/>
        <v>72.369337886498613</v>
      </c>
      <c r="AF22" s="9"/>
      <c r="AG22" s="9">
        <v>0.3</v>
      </c>
      <c r="AH22" s="9">
        <v>0.32</v>
      </c>
      <c r="AI22" s="9">
        <v>0.23</v>
      </c>
      <c r="AJ22" s="9">
        <v>0.6</v>
      </c>
      <c r="AK22" s="10">
        <f t="shared" si="7"/>
        <v>0</v>
      </c>
      <c r="AL22" s="10">
        <f t="shared" si="7"/>
        <v>0.11385199240986718</v>
      </c>
      <c r="AM22" s="10">
        <f t="shared" si="7"/>
        <v>3.7284863011418493E-2</v>
      </c>
      <c r="AN22" s="10">
        <f t="shared" si="7"/>
        <v>2.526715270148807E-2</v>
      </c>
      <c r="AO22" s="10">
        <f t="shared" si="7"/>
        <v>0.82359599187722632</v>
      </c>
      <c r="AP22" s="10">
        <f t="shared" si="8"/>
        <v>1</v>
      </c>
      <c r="AQ22" s="10">
        <f t="shared" si="9"/>
        <v>0.88614800759013279</v>
      </c>
      <c r="AR22" s="10">
        <f t="shared" si="9"/>
        <v>0.84886314457871426</v>
      </c>
      <c r="AS22" s="10">
        <f t="shared" si="9"/>
        <v>0.82359599187722621</v>
      </c>
      <c r="AT22" s="10">
        <f t="shared" si="9"/>
        <v>0</v>
      </c>
      <c r="AU22" s="10">
        <f t="shared" si="10"/>
        <v>0.88614800759013279</v>
      </c>
      <c r="AV22" s="11">
        <f t="shared" si="11"/>
        <v>18.66827261807839</v>
      </c>
    </row>
    <row r="23" spans="1:48" x14ac:dyDescent="0.25">
      <c r="A23" s="18"/>
      <c r="B23" s="4">
        <v>45517</v>
      </c>
      <c r="C23" s="14" t="s">
        <v>33</v>
      </c>
      <c r="D23" s="15" t="s">
        <v>7</v>
      </c>
      <c r="E23" s="16">
        <v>517.48001268694497</v>
      </c>
      <c r="F23" s="16">
        <v>32.5</v>
      </c>
      <c r="G23" s="16">
        <v>0.73773319838005258</v>
      </c>
      <c r="H23" s="16">
        <v>6.0016853280546789E-2</v>
      </c>
      <c r="I23" s="16">
        <v>20.741556445121617</v>
      </c>
      <c r="J23" s="16">
        <v>100.11287303467101</v>
      </c>
      <c r="K23" s="16">
        <v>1.0110066782092506</v>
      </c>
      <c r="L23" s="16">
        <v>158.33333333333334</v>
      </c>
      <c r="M23" s="5">
        <v>5.6</v>
      </c>
      <c r="N23" s="5">
        <v>47.5</v>
      </c>
      <c r="O23" s="5">
        <v>37.799999999999997</v>
      </c>
      <c r="P23" s="5">
        <v>15.4</v>
      </c>
      <c r="Q23" s="5">
        <v>210</v>
      </c>
      <c r="R23" s="5">
        <f t="shared" si="0"/>
        <v>316.3</v>
      </c>
      <c r="S23" s="6">
        <f t="shared" si="1"/>
        <v>1.7704710717673093E-2</v>
      </c>
      <c r="T23" s="6">
        <f t="shared" si="1"/>
        <v>0.15017388555169142</v>
      </c>
      <c r="U23" s="6">
        <f t="shared" si="1"/>
        <v>0.11950679734429338</v>
      </c>
      <c r="V23" s="6">
        <f t="shared" si="1"/>
        <v>4.8687954473601011E-2</v>
      </c>
      <c r="W23" s="6">
        <f t="shared" si="1"/>
        <v>0.66392665191274103</v>
      </c>
      <c r="X23" s="6">
        <f t="shared" si="2"/>
        <v>1</v>
      </c>
      <c r="Y23" s="7">
        <f t="shared" si="3"/>
        <v>0.9822952892823269</v>
      </c>
      <c r="Z23" s="7">
        <f t="shared" si="4"/>
        <v>0.83212140373063548</v>
      </c>
      <c r="AA23" s="7">
        <f t="shared" si="4"/>
        <v>0.71261460638634211</v>
      </c>
      <c r="AB23" s="7">
        <f t="shared" si="4"/>
        <v>0.66392665191274114</v>
      </c>
      <c r="AC23" s="7">
        <f t="shared" si="4"/>
        <v>0</v>
      </c>
      <c r="AD23" s="7">
        <f t="shared" si="5"/>
        <v>0.83212140373063548</v>
      </c>
      <c r="AE23" s="8">
        <f t="shared" si="6"/>
        <v>78.045786867264667</v>
      </c>
      <c r="AF23" s="9">
        <v>0.39</v>
      </c>
      <c r="AG23" s="9">
        <v>0.36</v>
      </c>
      <c r="AH23" s="9">
        <v>0.52</v>
      </c>
      <c r="AI23" s="9">
        <v>0.79</v>
      </c>
      <c r="AJ23" s="9">
        <v>0.82</v>
      </c>
      <c r="AK23" s="10">
        <f t="shared" si="7"/>
        <v>9.780301469732116E-3</v>
      </c>
      <c r="AL23" s="10">
        <f t="shared" si="7"/>
        <v>7.6576536232792661E-2</v>
      </c>
      <c r="AM23" s="10">
        <f t="shared" si="7"/>
        <v>8.8022713227589047E-2</v>
      </c>
      <c r="AN23" s="10">
        <f t="shared" si="7"/>
        <v>5.4481294725623144E-2</v>
      </c>
      <c r="AO23" s="10">
        <f t="shared" si="7"/>
        <v>0.77113915434426306</v>
      </c>
      <c r="AP23" s="10">
        <f t="shared" si="8"/>
        <v>0.99021969853026792</v>
      </c>
      <c r="AQ23" s="10">
        <f t="shared" si="9"/>
        <v>0.91364316229747522</v>
      </c>
      <c r="AR23" s="10">
        <f t="shared" si="9"/>
        <v>0.82562044906988619</v>
      </c>
      <c r="AS23" s="10">
        <f t="shared" si="9"/>
        <v>0.77113915434426306</v>
      </c>
      <c r="AT23" s="10">
        <f t="shared" si="9"/>
        <v>0</v>
      </c>
      <c r="AU23" s="10">
        <f t="shared" si="10"/>
        <v>0.91364316229747522</v>
      </c>
      <c r="AV23" s="11">
        <f t="shared" si="11"/>
        <v>39.892767313966715</v>
      </c>
    </row>
    <row r="24" spans="1:48" x14ac:dyDescent="0.25">
      <c r="A24" s="18"/>
      <c r="B24" s="4">
        <v>45518</v>
      </c>
      <c r="C24" s="14" t="s">
        <v>33</v>
      </c>
      <c r="D24" s="15" t="s">
        <v>7</v>
      </c>
      <c r="E24" s="16">
        <v>476.26420813138799</v>
      </c>
      <c r="F24" s="16">
        <v>37</v>
      </c>
      <c r="G24" s="16">
        <v>0.67112035410950943</v>
      </c>
      <c r="H24" s="16">
        <v>6.0479214719177277E-2</v>
      </c>
      <c r="I24" s="16">
        <v>20.969077185874017</v>
      </c>
      <c r="J24" s="16">
        <v>107.73712026352733</v>
      </c>
      <c r="K24" s="16">
        <v>1.0110066782092506</v>
      </c>
      <c r="L24" s="16">
        <v>161.11111111111111</v>
      </c>
      <c r="M24" s="5">
        <v>4.8</v>
      </c>
      <c r="N24" s="5">
        <v>34.6</v>
      </c>
      <c r="O24" s="5">
        <v>36.700000000000003</v>
      </c>
      <c r="P24" s="5">
        <v>13.3</v>
      </c>
      <c r="Q24" s="5">
        <v>164</v>
      </c>
      <c r="R24" s="5">
        <f t="shared" si="0"/>
        <v>253.39999999999998</v>
      </c>
      <c r="S24" s="6">
        <f t="shared" si="1"/>
        <v>1.8942383583267563E-2</v>
      </c>
      <c r="T24" s="6">
        <f t="shared" si="1"/>
        <v>0.13654301499605367</v>
      </c>
      <c r="U24" s="6">
        <f t="shared" si="1"/>
        <v>0.14483030781373324</v>
      </c>
      <c r="V24" s="6">
        <f t="shared" si="1"/>
        <v>5.2486187845303872E-2</v>
      </c>
      <c r="W24" s="6">
        <f t="shared" si="1"/>
        <v>0.64719810576164172</v>
      </c>
      <c r="X24" s="6">
        <f t="shared" si="2"/>
        <v>1</v>
      </c>
      <c r="Y24" s="7">
        <f t="shared" si="3"/>
        <v>0.98105761641673239</v>
      </c>
      <c r="Z24" s="7">
        <f t="shared" si="4"/>
        <v>0.84451460142067869</v>
      </c>
      <c r="AA24" s="7">
        <f t="shared" si="4"/>
        <v>0.6996842936069454</v>
      </c>
      <c r="AB24" s="7">
        <f t="shared" si="4"/>
        <v>0.6471981057616415</v>
      </c>
      <c r="AC24" s="7">
        <f t="shared" si="4"/>
        <v>0</v>
      </c>
      <c r="AD24" s="7">
        <f t="shared" si="5"/>
        <v>0.84451460142067869</v>
      </c>
      <c r="AE24" s="8">
        <f t="shared" si="6"/>
        <v>79.499090413983936</v>
      </c>
      <c r="AF24" s="9">
        <v>0.51</v>
      </c>
      <c r="AG24" s="9">
        <v>0.5</v>
      </c>
      <c r="AH24" s="9">
        <v>0.69</v>
      </c>
      <c r="AI24" s="9">
        <v>1.1100000000000001</v>
      </c>
      <c r="AJ24" s="9">
        <v>0.9</v>
      </c>
      <c r="AK24" s="10">
        <f t="shared" si="7"/>
        <v>1.1801344041960335E-2</v>
      </c>
      <c r="AL24" s="10">
        <f t="shared" si="7"/>
        <v>8.3400021211566089E-2</v>
      </c>
      <c r="AM24" s="10">
        <f t="shared" si="7"/>
        <v>0.12207738364973919</v>
      </c>
      <c r="AN24" s="10">
        <f t="shared" si="7"/>
        <v>7.1169625037361295E-2</v>
      </c>
      <c r="AO24" s="10">
        <f t="shared" si="7"/>
        <v>0.71155162605937305</v>
      </c>
      <c r="AP24" s="10">
        <f t="shared" si="8"/>
        <v>0.98819865595803968</v>
      </c>
      <c r="AQ24" s="10">
        <f t="shared" si="9"/>
        <v>0.9047986347464736</v>
      </c>
      <c r="AR24" s="10">
        <f t="shared" si="9"/>
        <v>0.78272125109673441</v>
      </c>
      <c r="AS24" s="10">
        <f t="shared" si="9"/>
        <v>0.71155162605937305</v>
      </c>
      <c r="AT24" s="10">
        <f t="shared" si="9"/>
        <v>0</v>
      </c>
      <c r="AU24" s="10">
        <f t="shared" si="10"/>
        <v>0.9047986347464736</v>
      </c>
      <c r="AV24" s="11">
        <f t="shared" si="11"/>
        <v>59.377399780048847</v>
      </c>
    </row>
    <row r="25" spans="1:48" x14ac:dyDescent="0.25">
      <c r="A25" s="18"/>
      <c r="B25" s="4">
        <v>45521</v>
      </c>
      <c r="C25" s="14" t="s">
        <v>33</v>
      </c>
      <c r="D25" s="15" t="s">
        <v>7</v>
      </c>
      <c r="E25" s="16">
        <v>739.81993685230304</v>
      </c>
      <c r="F25" s="16">
        <v>34</v>
      </c>
      <c r="G25" s="16">
        <v>0.57751228268483512</v>
      </c>
      <c r="H25" s="16">
        <v>4.0380598782779498E-2</v>
      </c>
      <c r="I25" s="16">
        <v>18.656636459037692</v>
      </c>
      <c r="J25" s="16">
        <v>104.89480810026656</v>
      </c>
      <c r="K25" s="16">
        <v>1.0110066782092506</v>
      </c>
      <c r="L25" s="16">
        <v>56.25</v>
      </c>
      <c r="M25" s="5">
        <v>0.2</v>
      </c>
      <c r="N25" s="5">
        <v>2.7</v>
      </c>
      <c r="O25" s="5">
        <v>13.7</v>
      </c>
      <c r="P25" s="5">
        <v>7.5</v>
      </c>
      <c r="Q25" s="5">
        <v>109</v>
      </c>
      <c r="R25" s="5">
        <f t="shared" si="0"/>
        <v>133.1</v>
      </c>
      <c r="S25" s="6">
        <f t="shared" si="1"/>
        <v>1.5026296018031556E-3</v>
      </c>
      <c r="T25" s="6">
        <f t="shared" si="1"/>
        <v>2.02854996243426E-2</v>
      </c>
      <c r="U25" s="6">
        <f t="shared" si="1"/>
        <v>0.10293012772351615</v>
      </c>
      <c r="V25" s="6">
        <f t="shared" si="1"/>
        <v>5.6348610067618335E-2</v>
      </c>
      <c r="W25" s="6">
        <f t="shared" si="1"/>
        <v>0.81893313298271975</v>
      </c>
      <c r="X25" s="6">
        <f t="shared" si="2"/>
        <v>1</v>
      </c>
      <c r="Y25" s="7">
        <f t="shared" si="3"/>
        <v>0.99849737039819686</v>
      </c>
      <c r="Z25" s="7">
        <f t="shared" si="4"/>
        <v>0.9782118707738543</v>
      </c>
      <c r="AA25" s="7">
        <f t="shared" si="4"/>
        <v>0.87528174305033812</v>
      </c>
      <c r="AB25" s="7">
        <f t="shared" si="4"/>
        <v>0.81893313298271975</v>
      </c>
      <c r="AC25" s="7">
        <f t="shared" si="4"/>
        <v>0</v>
      </c>
      <c r="AD25" s="7">
        <f t="shared" si="5"/>
        <v>0.9782118707738543</v>
      </c>
      <c r="AE25" s="8">
        <f t="shared" si="6"/>
        <v>17.994774278964712</v>
      </c>
      <c r="AF25" s="9">
        <v>4.2323651452282158E-3</v>
      </c>
      <c r="AG25" s="9">
        <v>5.7136929460580917E-2</v>
      </c>
      <c r="AH25" s="9">
        <v>0.28991701244813278</v>
      </c>
      <c r="AI25" s="9">
        <v>0.15871369294605808</v>
      </c>
      <c r="AJ25" s="9">
        <v>0.77</v>
      </c>
      <c r="AK25" s="10">
        <f t="shared" si="7"/>
        <v>9.4845751749520538E-6</v>
      </c>
      <c r="AL25" s="10">
        <f t="shared" si="7"/>
        <v>1.728563825635012E-3</v>
      </c>
      <c r="AM25" s="10">
        <f t="shared" si="7"/>
        <v>4.4503997864668778E-2</v>
      </c>
      <c r="AN25" s="10">
        <f t="shared" si="7"/>
        <v>1.3337683839776326E-2</v>
      </c>
      <c r="AO25" s="10">
        <f t="shared" si="7"/>
        <v>0.94042026989474492</v>
      </c>
      <c r="AP25" s="10">
        <f t="shared" si="8"/>
        <v>0.99999051542482509</v>
      </c>
      <c r="AQ25" s="10">
        <f t="shared" si="9"/>
        <v>0.99826195159919007</v>
      </c>
      <c r="AR25" s="10">
        <f t="shared" si="9"/>
        <v>0.95375795373452132</v>
      </c>
      <c r="AS25" s="10">
        <f t="shared" si="9"/>
        <v>0.94042026989474503</v>
      </c>
      <c r="AT25" s="10">
        <f t="shared" si="9"/>
        <v>0</v>
      </c>
      <c r="AU25" s="10">
        <f t="shared" si="10"/>
        <v>0.99826195159919007</v>
      </c>
      <c r="AV25" s="11">
        <f>FORECAST(0.8,$AQ$3:$AS$3,AQ25:AS25)</f>
        <v>-52.495195819318837</v>
      </c>
    </row>
    <row r="26" spans="1:48" x14ac:dyDescent="0.25">
      <c r="A26" s="18"/>
      <c r="B26" s="4">
        <v>45522</v>
      </c>
      <c r="C26" s="14" t="s">
        <v>33</v>
      </c>
      <c r="D26" s="15" t="s">
        <v>7</v>
      </c>
      <c r="E26" s="16">
        <v>239.76402531998195</v>
      </c>
      <c r="F26" s="16">
        <v>33.5</v>
      </c>
      <c r="G26" s="16">
        <v>0.8090645514638285</v>
      </c>
      <c r="H26" s="16">
        <v>4.0120505656243657E-2</v>
      </c>
      <c r="I26" s="16">
        <v>16.811289686158542</v>
      </c>
      <c r="J26" s="16">
        <v>101.37608011091321</v>
      </c>
      <c r="K26" s="16">
        <v>1.0110066782092506</v>
      </c>
      <c r="L26" s="16">
        <v>142.85714285714286</v>
      </c>
      <c r="M26" s="5"/>
      <c r="N26" s="5">
        <v>5.7</v>
      </c>
      <c r="O26" s="5">
        <v>19.399999999999999</v>
      </c>
      <c r="P26" s="5">
        <v>11.9</v>
      </c>
      <c r="Q26" s="5">
        <v>198.6</v>
      </c>
      <c r="R26" s="5">
        <f t="shared" si="0"/>
        <v>235.6</v>
      </c>
      <c r="S26" s="6">
        <f t="shared" si="1"/>
        <v>0</v>
      </c>
      <c r="T26" s="6">
        <f t="shared" si="1"/>
        <v>2.4193548387096777E-2</v>
      </c>
      <c r="U26" s="6">
        <f t="shared" si="1"/>
        <v>8.234295415959253E-2</v>
      </c>
      <c r="V26" s="6">
        <f t="shared" si="1"/>
        <v>5.050933786078099E-2</v>
      </c>
      <c r="W26" s="6">
        <f t="shared" si="1"/>
        <v>0.84295415959252973</v>
      </c>
      <c r="X26" s="6">
        <f t="shared" si="2"/>
        <v>1</v>
      </c>
      <c r="Y26" s="7">
        <f t="shared" si="3"/>
        <v>1</v>
      </c>
      <c r="Z26" s="7">
        <f t="shared" si="4"/>
        <v>0.97580645161290325</v>
      </c>
      <c r="AA26" s="7">
        <f t="shared" si="4"/>
        <v>0.89346349745331066</v>
      </c>
      <c r="AB26" s="7">
        <f t="shared" si="4"/>
        <v>0.84295415959252962</v>
      </c>
      <c r="AC26" s="7">
        <f t="shared" si="4"/>
        <v>0</v>
      </c>
      <c r="AD26" s="7">
        <f t="shared" si="5"/>
        <v>0.97580645161290325</v>
      </c>
      <c r="AE26" s="8">
        <f t="shared" si="6"/>
        <v>0.32981899375499779</v>
      </c>
      <c r="AF26" s="9"/>
      <c r="AG26" s="9">
        <v>0.06</v>
      </c>
      <c r="AH26" s="9">
        <v>0.14000000000000001</v>
      </c>
      <c r="AI26" s="9">
        <v>0.18</v>
      </c>
      <c r="AJ26" s="9">
        <v>0.74</v>
      </c>
      <c r="AK26" s="10">
        <f t="shared" si="7"/>
        <v>0</v>
      </c>
      <c r="AL26" s="10">
        <f t="shared" si="7"/>
        <v>2.2475749848847298E-3</v>
      </c>
      <c r="AM26" s="10">
        <f t="shared" si="7"/>
        <v>1.7849162745458849E-2</v>
      </c>
      <c r="AN26" s="10">
        <f t="shared" si="7"/>
        <v>1.4076917010593833E-2</v>
      </c>
      <c r="AO26" s="10">
        <f t="shared" si="7"/>
        <v>0.96582634525906264</v>
      </c>
      <c r="AP26" s="10">
        <f t="shared" si="8"/>
        <v>1</v>
      </c>
      <c r="AQ26" s="10">
        <f t="shared" si="9"/>
        <v>0.9977524250151153</v>
      </c>
      <c r="AR26" s="10">
        <f t="shared" si="9"/>
        <v>0.97990326226965641</v>
      </c>
      <c r="AS26" s="10">
        <f t="shared" si="9"/>
        <v>0.96582634525906252</v>
      </c>
      <c r="AT26" s="10">
        <f t="shared" si="9"/>
        <v>0</v>
      </c>
      <c r="AU26" s="10">
        <f t="shared" si="10"/>
        <v>0.9977524250151153</v>
      </c>
      <c r="AV26" s="11">
        <f>FORECAST(0.8,$AR$3:$AS$3,AR26:AS26)</f>
        <v>-56.240149393090235</v>
      </c>
    </row>
    <row r="27" spans="1:48" x14ac:dyDescent="0.25">
      <c r="A27" s="18"/>
      <c r="B27" s="4">
        <v>45524</v>
      </c>
      <c r="C27" s="14" t="s">
        <v>33</v>
      </c>
      <c r="D27" s="15" t="s">
        <v>7</v>
      </c>
      <c r="E27" s="16">
        <v>1169.074004527007</v>
      </c>
      <c r="F27" s="16">
        <v>36</v>
      </c>
      <c r="G27" s="16">
        <v>0.42470039459119319</v>
      </c>
      <c r="H27" s="16">
        <v>3.5684691541072767E-2</v>
      </c>
      <c r="I27" s="16">
        <v>12.74769963092972</v>
      </c>
      <c r="J27" s="16">
        <v>82.439421908386279</v>
      </c>
      <c r="K27" s="16">
        <v>1.0110066782092506</v>
      </c>
      <c r="L27" s="16">
        <v>125</v>
      </c>
      <c r="M27" s="5"/>
      <c r="N27" s="5">
        <v>21.5</v>
      </c>
      <c r="O27" s="5">
        <v>40.700000000000003</v>
      </c>
      <c r="P27" s="5">
        <v>14.5</v>
      </c>
      <c r="Q27" s="5">
        <v>187.8</v>
      </c>
      <c r="R27" s="5">
        <f t="shared" si="0"/>
        <v>264.5</v>
      </c>
      <c r="S27" s="6">
        <f t="shared" si="1"/>
        <v>0</v>
      </c>
      <c r="T27" s="6">
        <f t="shared" si="1"/>
        <v>8.1285444234404536E-2</v>
      </c>
      <c r="U27" s="6">
        <f t="shared" si="1"/>
        <v>0.15387523629489605</v>
      </c>
      <c r="V27" s="6">
        <f t="shared" si="1"/>
        <v>5.4820415879017016E-2</v>
      </c>
      <c r="W27" s="6">
        <f t="shared" si="1"/>
        <v>0.71001890359168252</v>
      </c>
      <c r="X27" s="6">
        <f t="shared" si="2"/>
        <v>1</v>
      </c>
      <c r="Y27" s="7">
        <f t="shared" si="3"/>
        <v>1</v>
      </c>
      <c r="Z27" s="7">
        <f t="shared" si="4"/>
        <v>0.91871455576559546</v>
      </c>
      <c r="AA27" s="7">
        <f t="shared" si="4"/>
        <v>0.76483931947069939</v>
      </c>
      <c r="AB27" s="7">
        <f t="shared" si="4"/>
        <v>0.7100189035916824</v>
      </c>
      <c r="AC27" s="7">
        <f t="shared" si="4"/>
        <v>0</v>
      </c>
      <c r="AD27" s="7">
        <f t="shared" si="5"/>
        <v>0.91871455576559546</v>
      </c>
      <c r="AE27" s="8">
        <f t="shared" si="6"/>
        <v>60.3186684611602</v>
      </c>
      <c r="AF27" s="9"/>
      <c r="AG27" s="9">
        <v>0.27</v>
      </c>
      <c r="AH27" s="9">
        <v>0.38</v>
      </c>
      <c r="AI27" s="9">
        <v>0.45</v>
      </c>
      <c r="AJ27" s="9">
        <v>0.63</v>
      </c>
      <c r="AK27" s="10">
        <f t="shared" si="7"/>
        <v>0</v>
      </c>
      <c r="AL27" s="10">
        <f t="shared" si="7"/>
        <v>3.9730340154677982E-2</v>
      </c>
      <c r="AM27" s="10">
        <f t="shared" si="7"/>
        <v>0.105851755526658</v>
      </c>
      <c r="AN27" s="10">
        <f t="shared" si="7"/>
        <v>4.4658134282389982E-2</v>
      </c>
      <c r="AO27" s="10">
        <f t="shared" si="7"/>
        <v>0.80975977003627397</v>
      </c>
      <c r="AP27" s="10">
        <f t="shared" si="8"/>
        <v>1</v>
      </c>
      <c r="AQ27" s="10">
        <f t="shared" si="9"/>
        <v>0.96026965984532198</v>
      </c>
      <c r="AR27" s="10">
        <f t="shared" si="9"/>
        <v>0.85441790431866393</v>
      </c>
      <c r="AS27" s="10">
        <f t="shared" si="9"/>
        <v>0.80975977003627397</v>
      </c>
      <c r="AT27" s="10">
        <f t="shared" si="9"/>
        <v>0</v>
      </c>
      <c r="AU27" s="10">
        <f t="shared" si="10"/>
        <v>0.96026965984532198</v>
      </c>
      <c r="AV27" s="11">
        <f t="shared" ref="AV27:AV34" si="12">FORECAST(0.8,$AP$3:$AT$3,AP27:AT27)</f>
        <v>23.058197126523964</v>
      </c>
    </row>
    <row r="28" spans="1:48" x14ac:dyDescent="0.25">
      <c r="A28" s="18"/>
      <c r="B28" s="4">
        <v>45525</v>
      </c>
      <c r="C28" s="14" t="s">
        <v>33</v>
      </c>
      <c r="D28" s="15" t="s">
        <v>7</v>
      </c>
      <c r="E28" s="16">
        <v>160.00002135955205</v>
      </c>
      <c r="F28" s="16">
        <v>34</v>
      </c>
      <c r="G28" s="16">
        <v>0.54716107551157167</v>
      </c>
      <c r="H28" s="16">
        <v>3.0057328996695547E-2</v>
      </c>
      <c r="I28" s="16">
        <v>13.959025893552129</v>
      </c>
      <c r="J28" s="16">
        <v>85.701923561114938</v>
      </c>
      <c r="K28" s="16">
        <v>1.0110066782092506</v>
      </c>
      <c r="L28" s="16">
        <v>112.5</v>
      </c>
      <c r="M28" s="5">
        <v>0</v>
      </c>
      <c r="N28" s="5">
        <v>27.8</v>
      </c>
      <c r="O28" s="5">
        <v>33.799999999999997</v>
      </c>
      <c r="P28" s="5">
        <v>14.4</v>
      </c>
      <c r="Q28" s="5">
        <v>99.6</v>
      </c>
      <c r="R28" s="5">
        <f t="shared" si="0"/>
        <v>175.6</v>
      </c>
      <c r="S28" s="6">
        <f t="shared" si="1"/>
        <v>0</v>
      </c>
      <c r="T28" s="6">
        <f t="shared" si="1"/>
        <v>0.15831435079726652</v>
      </c>
      <c r="U28" s="6">
        <f t="shared" si="1"/>
        <v>0.19248291571753987</v>
      </c>
      <c r="V28" s="6">
        <f t="shared" si="1"/>
        <v>8.2004555808656038E-2</v>
      </c>
      <c r="W28" s="6">
        <f t="shared" si="1"/>
        <v>0.56719817767653757</v>
      </c>
      <c r="X28" s="6">
        <f t="shared" si="2"/>
        <v>1</v>
      </c>
      <c r="Y28" s="7">
        <f t="shared" si="3"/>
        <v>1</v>
      </c>
      <c r="Z28" s="7">
        <f t="shared" si="4"/>
        <v>0.84168564920273348</v>
      </c>
      <c r="AA28" s="7">
        <f t="shared" si="4"/>
        <v>0.64920273348519364</v>
      </c>
      <c r="AB28" s="7">
        <f t="shared" si="4"/>
        <v>0.56719817767653757</v>
      </c>
      <c r="AC28" s="7">
        <f t="shared" si="4"/>
        <v>0</v>
      </c>
      <c r="AD28" s="7">
        <f t="shared" si="5"/>
        <v>0.84168564920273348</v>
      </c>
      <c r="AE28" s="8">
        <f t="shared" si="6"/>
        <v>86.087201600406416</v>
      </c>
      <c r="AF28" s="9"/>
      <c r="AG28" s="9">
        <v>0.28000000000000003</v>
      </c>
      <c r="AH28" s="9">
        <v>0.53</v>
      </c>
      <c r="AI28" s="9">
        <v>0.73</v>
      </c>
      <c r="AJ28" s="9">
        <v>0.62</v>
      </c>
      <c r="AK28" s="10">
        <f t="shared" si="7"/>
        <v>0</v>
      </c>
      <c r="AL28" s="10">
        <f t="shared" si="7"/>
        <v>7.9459382209428164E-2</v>
      </c>
      <c r="AM28" s="10">
        <f t="shared" si="7"/>
        <v>0.18286682591208836</v>
      </c>
      <c r="AN28" s="10">
        <f t="shared" si="7"/>
        <v>0.10730691492619589</v>
      </c>
      <c r="AO28" s="10">
        <f t="shared" si="7"/>
        <v>0.63036687695228766</v>
      </c>
      <c r="AP28" s="10">
        <f t="shared" si="8"/>
        <v>1</v>
      </c>
      <c r="AQ28" s="10">
        <f t="shared" si="9"/>
        <v>0.92054061779057184</v>
      </c>
      <c r="AR28" s="10">
        <f t="shared" si="9"/>
        <v>0.73767379187848348</v>
      </c>
      <c r="AS28" s="10">
        <f t="shared" si="9"/>
        <v>0.63036687695228755</v>
      </c>
      <c r="AT28" s="10">
        <f t="shared" si="9"/>
        <v>0</v>
      </c>
      <c r="AU28" s="10">
        <f t="shared" si="10"/>
        <v>0.92054061779057184</v>
      </c>
      <c r="AV28" s="11">
        <f t="shared" si="12"/>
        <v>71.303780926567214</v>
      </c>
    </row>
    <row r="29" spans="1:48" x14ac:dyDescent="0.25">
      <c r="A29" s="18"/>
      <c r="B29" s="4">
        <v>45528</v>
      </c>
      <c r="C29" s="14" t="s">
        <v>33</v>
      </c>
      <c r="D29" s="15" t="s">
        <v>7</v>
      </c>
      <c r="E29" s="16">
        <v>251.95003005235804</v>
      </c>
      <c r="F29" s="16">
        <v>36.25</v>
      </c>
      <c r="G29" s="16">
        <v>0.40047746311860616</v>
      </c>
      <c r="H29" s="16">
        <v>3.0086029948655082E-2</v>
      </c>
      <c r="I29" s="16">
        <v>9.9671504775057898</v>
      </c>
      <c r="J29" s="16">
        <v>78.605888931878638</v>
      </c>
      <c r="K29" s="16">
        <v>1.0110066782092506</v>
      </c>
      <c r="L29" s="16">
        <v>62.5</v>
      </c>
      <c r="M29" s="5"/>
      <c r="N29" s="5"/>
      <c r="O29" s="5"/>
      <c r="P29" s="5">
        <v>42.7</v>
      </c>
      <c r="Q29" s="5">
        <v>147.19999999999999</v>
      </c>
      <c r="R29" s="5">
        <f t="shared" si="0"/>
        <v>189.89999999999998</v>
      </c>
      <c r="S29" s="6">
        <f t="shared" si="1"/>
        <v>0</v>
      </c>
      <c r="T29" s="6">
        <f t="shared" si="1"/>
        <v>0</v>
      </c>
      <c r="U29" s="6">
        <f t="shared" si="1"/>
        <v>0</v>
      </c>
      <c r="V29" s="6">
        <f t="shared" si="1"/>
        <v>0.22485518694049503</v>
      </c>
      <c r="W29" s="6">
        <f t="shared" si="1"/>
        <v>0.775144813059505</v>
      </c>
      <c r="X29" s="6">
        <f t="shared" si="2"/>
        <v>1</v>
      </c>
      <c r="Y29" s="7">
        <f t="shared" si="3"/>
        <v>1</v>
      </c>
      <c r="Z29" s="7">
        <f t="shared" si="4"/>
        <v>1</v>
      </c>
      <c r="AA29" s="7">
        <f t="shared" si="4"/>
        <v>1</v>
      </c>
      <c r="AB29" s="7">
        <f t="shared" si="4"/>
        <v>0.775144813059505</v>
      </c>
      <c r="AC29" s="7">
        <f t="shared" si="4"/>
        <v>0</v>
      </c>
      <c r="AD29" s="7">
        <f t="shared" si="5"/>
        <v>1</v>
      </c>
      <c r="AE29" s="8">
        <f t="shared" si="6"/>
        <v>43.784855581576892</v>
      </c>
      <c r="AF29" s="9"/>
      <c r="AG29" s="9"/>
      <c r="AH29" s="9"/>
      <c r="AI29" s="9">
        <v>0.2</v>
      </c>
      <c r="AJ29" s="9">
        <v>0.33</v>
      </c>
      <c r="AK29" s="10">
        <f t="shared" si="7"/>
        <v>0</v>
      </c>
      <c r="AL29" s="10">
        <f t="shared" si="7"/>
        <v>0</v>
      </c>
      <c r="AM29" s="10">
        <f t="shared" si="7"/>
        <v>0</v>
      </c>
      <c r="AN29" s="10">
        <f t="shared" si="7"/>
        <v>0.14952027452902866</v>
      </c>
      <c r="AO29" s="10">
        <f t="shared" si="7"/>
        <v>0.85047972547097139</v>
      </c>
      <c r="AP29" s="10">
        <f t="shared" si="8"/>
        <v>1</v>
      </c>
      <c r="AQ29" s="10">
        <f t="shared" si="9"/>
        <v>1</v>
      </c>
      <c r="AR29" s="10">
        <f t="shared" si="9"/>
        <v>1</v>
      </c>
      <c r="AS29" s="10">
        <f t="shared" si="9"/>
        <v>0.85047972547097128</v>
      </c>
      <c r="AT29" s="10">
        <f t="shared" si="9"/>
        <v>0</v>
      </c>
      <c r="AU29" s="10">
        <f t="shared" si="10"/>
        <v>1</v>
      </c>
      <c r="AV29" s="11">
        <f t="shared" si="12"/>
        <v>20.331678376268599</v>
      </c>
    </row>
    <row r="30" spans="1:48" ht="15" customHeight="1" x14ac:dyDescent="0.25">
      <c r="A30" s="18" t="s">
        <v>8</v>
      </c>
      <c r="B30" s="4">
        <v>45538</v>
      </c>
      <c r="C30" s="14" t="s">
        <v>33</v>
      </c>
      <c r="D30" s="15" t="s">
        <v>7</v>
      </c>
      <c r="E30" s="16">
        <v>426.83</v>
      </c>
      <c r="F30" s="16">
        <v>31.875</v>
      </c>
      <c r="G30" s="16">
        <v>0.44</v>
      </c>
      <c r="H30" s="16">
        <v>2.9999331773652799E-2</v>
      </c>
      <c r="I30" s="16">
        <v>12</v>
      </c>
      <c r="J30" s="16">
        <v>80</v>
      </c>
      <c r="K30" s="16">
        <v>1.8164834789517417</v>
      </c>
      <c r="L30" s="16">
        <v>55</v>
      </c>
      <c r="M30" s="5">
        <v>8.6999999999999993</v>
      </c>
      <c r="N30" s="5">
        <v>29.4</v>
      </c>
      <c r="O30" s="5">
        <v>33.6</v>
      </c>
      <c r="P30" s="5">
        <v>8.1</v>
      </c>
      <c r="Q30" s="5">
        <v>181</v>
      </c>
      <c r="R30" s="5">
        <f t="shared" si="0"/>
        <v>260.79999999999995</v>
      </c>
      <c r="S30" s="6">
        <f t="shared" si="1"/>
        <v>3.3358895705521474E-2</v>
      </c>
      <c r="T30" s="6">
        <f t="shared" si="1"/>
        <v>0.11273006134969327</v>
      </c>
      <c r="U30" s="6">
        <f t="shared" si="1"/>
        <v>0.12883435582822089</v>
      </c>
      <c r="V30" s="6">
        <f t="shared" si="1"/>
        <v>3.1058282208588962E-2</v>
      </c>
      <c r="W30" s="6">
        <f t="shared" si="1"/>
        <v>0.69401840490797562</v>
      </c>
      <c r="X30" s="6">
        <f t="shared" si="2"/>
        <v>1.0000000000000002</v>
      </c>
      <c r="Y30" s="7">
        <f t="shared" si="3"/>
        <v>0.96664110429447847</v>
      </c>
      <c r="Z30" s="7">
        <f t="shared" si="4"/>
        <v>0.85391104294478515</v>
      </c>
      <c r="AA30" s="7">
        <f t="shared" si="4"/>
        <v>0.72507668711656426</v>
      </c>
      <c r="AB30" s="7">
        <f t="shared" si="4"/>
        <v>0.69401840490797528</v>
      </c>
      <c r="AC30" s="7">
        <f t="shared" si="4"/>
        <v>0</v>
      </c>
      <c r="AD30" s="7">
        <f t="shared" si="5"/>
        <v>0.85391104294478515</v>
      </c>
      <c r="AE30" s="8">
        <f t="shared" si="6"/>
        <v>73.358537766640779</v>
      </c>
      <c r="AF30" s="9">
        <v>0.3</v>
      </c>
      <c r="AG30" s="9">
        <v>0.34</v>
      </c>
      <c r="AH30" s="9">
        <v>0.44</v>
      </c>
      <c r="AI30" s="9">
        <v>0.39</v>
      </c>
      <c r="AJ30" s="9">
        <v>0.4</v>
      </c>
      <c r="AK30" s="10">
        <f t="shared" si="7"/>
        <v>2.535235893500665E-2</v>
      </c>
      <c r="AL30" s="10">
        <f t="shared" si="7"/>
        <v>9.7096620656830071E-2</v>
      </c>
      <c r="AM30" s="10">
        <f t="shared" si="7"/>
        <v>0.14360508601346297</v>
      </c>
      <c r="AN30" s="10">
        <f t="shared" si="7"/>
        <v>3.0685096504094254E-2</v>
      </c>
      <c r="AO30" s="10">
        <f t="shared" si="7"/>
        <v>0.70326083789060601</v>
      </c>
      <c r="AP30" s="10">
        <f t="shared" si="8"/>
        <v>0.97464764106499335</v>
      </c>
      <c r="AQ30" s="10">
        <f t="shared" si="9"/>
        <v>0.87755102040816324</v>
      </c>
      <c r="AR30" s="10">
        <f t="shared" si="9"/>
        <v>0.73394593439470024</v>
      </c>
      <c r="AS30" s="10">
        <f t="shared" si="9"/>
        <v>0.70326083789060601</v>
      </c>
      <c r="AT30" s="10">
        <f t="shared" si="9"/>
        <v>0</v>
      </c>
      <c r="AU30" s="10">
        <f t="shared" si="10"/>
        <v>0.87755102040816324</v>
      </c>
      <c r="AV30" s="11">
        <f t="shared" si="12"/>
        <v>68.728025298732064</v>
      </c>
    </row>
    <row r="31" spans="1:48" x14ac:dyDescent="0.25">
      <c r="A31" s="18"/>
      <c r="B31" s="4">
        <v>45540</v>
      </c>
      <c r="C31" s="14" t="s">
        <v>33</v>
      </c>
      <c r="D31" s="15" t="s">
        <v>7</v>
      </c>
      <c r="E31" s="16">
        <v>678.24000000000012</v>
      </c>
      <c r="F31" s="16">
        <v>31.875</v>
      </c>
      <c r="G31" s="16">
        <v>0.87</v>
      </c>
      <c r="H31" s="16">
        <v>2.9989733959488001E-2</v>
      </c>
      <c r="I31" s="16">
        <v>10</v>
      </c>
      <c r="J31" s="16">
        <v>74</v>
      </c>
      <c r="K31" s="16">
        <v>1.8164834789517417</v>
      </c>
      <c r="L31" s="16">
        <v>54.166666666666664</v>
      </c>
      <c r="M31" s="5">
        <v>32.299999999999997</v>
      </c>
      <c r="N31" s="5">
        <v>29.4</v>
      </c>
      <c r="O31" s="5">
        <v>38.4</v>
      </c>
      <c r="P31" s="5">
        <v>12.4</v>
      </c>
      <c r="Q31" s="5">
        <v>248</v>
      </c>
      <c r="R31" s="5">
        <f t="shared" si="0"/>
        <v>360.5</v>
      </c>
      <c r="S31" s="6">
        <f t="shared" si="1"/>
        <v>8.9597780859916779E-2</v>
      </c>
      <c r="T31" s="6">
        <f t="shared" si="1"/>
        <v>8.155339805825243E-2</v>
      </c>
      <c r="U31" s="6">
        <f t="shared" si="1"/>
        <v>0.10651872399445214</v>
      </c>
      <c r="V31" s="6">
        <f t="shared" si="1"/>
        <v>3.4396671289875176E-2</v>
      </c>
      <c r="W31" s="6">
        <f t="shared" si="1"/>
        <v>0.68793342579750349</v>
      </c>
      <c r="X31" s="6">
        <f t="shared" si="2"/>
        <v>1</v>
      </c>
      <c r="Y31" s="7">
        <f t="shared" si="3"/>
        <v>0.91040221914008324</v>
      </c>
      <c r="Z31" s="7">
        <f t="shared" si="4"/>
        <v>0.82884882108183078</v>
      </c>
      <c r="AA31" s="7">
        <f t="shared" si="4"/>
        <v>0.72233009708737861</v>
      </c>
      <c r="AB31" s="7">
        <f t="shared" si="4"/>
        <v>0.68793342579750338</v>
      </c>
      <c r="AC31" s="7">
        <f t="shared" si="4"/>
        <v>0</v>
      </c>
      <c r="AD31" s="7">
        <f t="shared" si="5"/>
        <v>0.82884882108183078</v>
      </c>
      <c r="AE31" s="8">
        <f t="shared" si="6"/>
        <v>83.277502453081013</v>
      </c>
      <c r="AF31" s="9">
        <v>1.39</v>
      </c>
      <c r="AG31" s="9">
        <v>0.89</v>
      </c>
      <c r="AH31" s="9">
        <v>0.75</v>
      </c>
      <c r="AI31" s="9">
        <v>1.41</v>
      </c>
      <c r="AJ31" s="9">
        <v>0.82</v>
      </c>
      <c r="AK31" s="10">
        <f t="shared" si="7"/>
        <v>0.13999382614037109</v>
      </c>
      <c r="AL31" s="10">
        <f t="shared" si="7"/>
        <v>8.1588490428958521E-2</v>
      </c>
      <c r="AM31" s="10">
        <f t="shared" si="7"/>
        <v>8.9801594601926368E-2</v>
      </c>
      <c r="AN31" s="10">
        <f t="shared" si="7"/>
        <v>5.4517051389586131E-2</v>
      </c>
      <c r="AO31" s="10">
        <f t="shared" si="7"/>
        <v>0.63409903743915785</v>
      </c>
      <c r="AP31" s="10">
        <f t="shared" si="8"/>
        <v>0.86000617385962896</v>
      </c>
      <c r="AQ31" s="10">
        <f t="shared" si="9"/>
        <v>0.77841768343067042</v>
      </c>
      <c r="AR31" s="10">
        <f t="shared" si="9"/>
        <v>0.68861608882874403</v>
      </c>
      <c r="AS31" s="10">
        <f t="shared" si="9"/>
        <v>0.63409903743915785</v>
      </c>
      <c r="AT31" s="10">
        <f t="shared" si="9"/>
        <v>0</v>
      </c>
      <c r="AU31" s="10">
        <f t="shared" si="10"/>
        <v>0.77841768343067042</v>
      </c>
      <c r="AV31" s="11">
        <f t="shared" si="12"/>
        <v>106.18409620359432</v>
      </c>
    </row>
    <row r="32" spans="1:48" x14ac:dyDescent="0.25">
      <c r="A32" s="18"/>
      <c r="B32" s="4">
        <v>45541</v>
      </c>
      <c r="C32" s="14" t="s">
        <v>33</v>
      </c>
      <c r="D32" s="15" t="s">
        <v>7</v>
      </c>
      <c r="E32" s="16">
        <v>155.18</v>
      </c>
      <c r="F32" s="16">
        <v>31.875</v>
      </c>
      <c r="G32" s="16">
        <v>0.8</v>
      </c>
      <c r="H32" s="16">
        <v>3.9996949276204702E-2</v>
      </c>
      <c r="I32" s="16">
        <v>11</v>
      </c>
      <c r="J32" s="16">
        <v>85</v>
      </c>
      <c r="K32" s="16">
        <v>1.8164834789517417</v>
      </c>
      <c r="L32" s="16">
        <v>112.5</v>
      </c>
      <c r="M32" s="5">
        <v>45.6</v>
      </c>
      <c r="N32" s="5">
        <v>60</v>
      </c>
      <c r="O32" s="5">
        <v>36.5</v>
      </c>
      <c r="P32" s="5">
        <v>13.9</v>
      </c>
      <c r="Q32" s="5">
        <v>226</v>
      </c>
      <c r="R32" s="5">
        <f t="shared" si="0"/>
        <v>382</v>
      </c>
      <c r="S32" s="6">
        <f t="shared" si="1"/>
        <v>0.11937172774869111</v>
      </c>
      <c r="T32" s="6">
        <f t="shared" si="1"/>
        <v>0.15706806282722513</v>
      </c>
      <c r="U32" s="6">
        <f t="shared" si="1"/>
        <v>9.5549738219895292E-2</v>
      </c>
      <c r="V32" s="6">
        <f t="shared" si="1"/>
        <v>3.638743455497382E-2</v>
      </c>
      <c r="W32" s="6">
        <f t="shared" si="1"/>
        <v>0.59162303664921467</v>
      </c>
      <c r="X32" s="6">
        <f t="shared" si="2"/>
        <v>1</v>
      </c>
      <c r="Y32" s="7">
        <f t="shared" si="3"/>
        <v>0.88062827225130891</v>
      </c>
      <c r="Z32" s="7">
        <f t="shared" si="4"/>
        <v>0.72356020942408383</v>
      </c>
      <c r="AA32" s="7">
        <f t="shared" si="4"/>
        <v>0.62801047120418851</v>
      </c>
      <c r="AB32" s="7">
        <f t="shared" si="4"/>
        <v>0.59162303664921467</v>
      </c>
      <c r="AC32" s="7">
        <f t="shared" si="4"/>
        <v>0</v>
      </c>
      <c r="AD32" s="7">
        <f t="shared" si="5"/>
        <v>0.72356020942408383</v>
      </c>
      <c r="AE32" s="8">
        <f t="shared" si="6"/>
        <v>114.12254153204947</v>
      </c>
      <c r="AF32" s="9">
        <v>0.61</v>
      </c>
      <c r="AG32" s="9">
        <v>0.64</v>
      </c>
      <c r="AH32" s="9">
        <v>0.69</v>
      </c>
      <c r="AI32" s="9">
        <v>1.53</v>
      </c>
      <c r="AJ32" s="9">
        <v>0.91</v>
      </c>
      <c r="AK32" s="10">
        <f t="shared" si="7"/>
        <v>8.7381568696438899E-2</v>
      </c>
      <c r="AL32" s="10">
        <f t="shared" si="7"/>
        <v>0.12063029328240055</v>
      </c>
      <c r="AM32" s="10">
        <f t="shared" si="7"/>
        <v>7.9116508758261928E-2</v>
      </c>
      <c r="AN32" s="10">
        <f t="shared" si="7"/>
        <v>6.6808449146791987E-2</v>
      </c>
      <c r="AO32" s="10">
        <f t="shared" si="7"/>
        <v>0.64606318011610675</v>
      </c>
      <c r="AP32" s="10">
        <f t="shared" si="8"/>
        <v>0.91261843130356113</v>
      </c>
      <c r="AQ32" s="10">
        <f t="shared" si="9"/>
        <v>0.79198813802116064</v>
      </c>
      <c r="AR32" s="10">
        <f t="shared" si="9"/>
        <v>0.71287162926289871</v>
      </c>
      <c r="AS32" s="10">
        <f t="shared" si="9"/>
        <v>0.64606318011610675</v>
      </c>
      <c r="AT32" s="10">
        <f t="shared" si="9"/>
        <v>0</v>
      </c>
      <c r="AU32" s="10">
        <f t="shared" si="10"/>
        <v>0.79198813802116064</v>
      </c>
      <c r="AV32" s="11">
        <f t="shared" si="12"/>
        <v>91.956121822249202</v>
      </c>
    </row>
    <row r="33" spans="1:48" x14ac:dyDescent="0.25">
      <c r="A33" s="18"/>
      <c r="B33" s="4">
        <v>45543</v>
      </c>
      <c r="C33" s="14" t="s">
        <v>33</v>
      </c>
      <c r="D33" s="15" t="s">
        <v>7</v>
      </c>
      <c r="E33" s="16">
        <v>464.15789999999998</v>
      </c>
      <c r="F33" s="16">
        <v>31.875</v>
      </c>
      <c r="G33" s="16">
        <v>0.63</v>
      </c>
      <c r="H33" s="16">
        <v>0.05</v>
      </c>
      <c r="I33" s="16">
        <v>10.5</v>
      </c>
      <c r="J33" s="16">
        <v>80</v>
      </c>
      <c r="K33" s="16">
        <v>1.8164834789517417</v>
      </c>
      <c r="L33" s="16">
        <v>142.85714285714286</v>
      </c>
      <c r="M33" s="5">
        <v>64.599999999999994</v>
      </c>
      <c r="N33" s="5">
        <v>149.9</v>
      </c>
      <c r="O33" s="5">
        <v>0</v>
      </c>
      <c r="P33" s="5">
        <v>44.74</v>
      </c>
      <c r="Q33" s="5">
        <v>175</v>
      </c>
      <c r="R33" s="5">
        <f t="shared" si="0"/>
        <v>434.24</v>
      </c>
      <c r="S33" s="6">
        <f t="shared" si="1"/>
        <v>0.14876565954310977</v>
      </c>
      <c r="T33" s="6">
        <f t="shared" si="1"/>
        <v>0.34520081061164332</v>
      </c>
      <c r="U33" s="6">
        <f t="shared" si="1"/>
        <v>0</v>
      </c>
      <c r="V33" s="6">
        <f t="shared" si="1"/>
        <v>0.10303058216654384</v>
      </c>
      <c r="W33" s="6">
        <f t="shared" si="1"/>
        <v>0.40300294767870304</v>
      </c>
      <c r="X33" s="6">
        <f t="shared" si="2"/>
        <v>1</v>
      </c>
      <c r="Y33" s="7">
        <f t="shared" si="3"/>
        <v>0.85123434045689028</v>
      </c>
      <c r="Z33" s="7">
        <f t="shared" si="4"/>
        <v>0.50603352984524697</v>
      </c>
      <c r="AA33" s="7">
        <f t="shared" si="4"/>
        <v>0.50603352984524697</v>
      </c>
      <c r="AB33" s="7">
        <f t="shared" si="4"/>
        <v>0.40300294767870315</v>
      </c>
      <c r="AC33" s="7">
        <f t="shared" si="4"/>
        <v>0</v>
      </c>
      <c r="AD33" s="7">
        <f t="shared" si="5"/>
        <v>0.50603352984524697</v>
      </c>
      <c r="AE33" s="8">
        <f t="shared" si="6"/>
        <v>136.37242117034464</v>
      </c>
      <c r="AF33" s="9">
        <v>0.57999999999999996</v>
      </c>
      <c r="AG33" s="9">
        <v>1.25</v>
      </c>
      <c r="AH33" s="9"/>
      <c r="AI33" s="9">
        <v>1.83</v>
      </c>
      <c r="AJ33" s="9">
        <v>1.33</v>
      </c>
      <c r="AK33" s="10">
        <f t="shared" si="7"/>
        <v>6.9453712848529053E-2</v>
      </c>
      <c r="AL33" s="10">
        <f t="shared" si="7"/>
        <v>0.34733344307123765</v>
      </c>
      <c r="AM33" s="10">
        <f t="shared" si="7"/>
        <v>0</v>
      </c>
      <c r="AN33" s="10">
        <f t="shared" si="7"/>
        <v>0.15176863394104403</v>
      </c>
      <c r="AO33" s="10">
        <f t="shared" si="7"/>
        <v>0.43144421013918915</v>
      </c>
      <c r="AP33" s="10">
        <f t="shared" si="8"/>
        <v>0.93054628715147092</v>
      </c>
      <c r="AQ33" s="10">
        <f t="shared" si="9"/>
        <v>0.58321284408023333</v>
      </c>
      <c r="AR33" s="10">
        <f t="shared" si="9"/>
        <v>0.58321284408023333</v>
      </c>
      <c r="AS33" s="10">
        <f t="shared" si="9"/>
        <v>0.43144421013918932</v>
      </c>
      <c r="AT33" s="10">
        <f t="shared" si="9"/>
        <v>0</v>
      </c>
      <c r="AU33" s="10">
        <f t="shared" si="10"/>
        <v>0.58321284408023333</v>
      </c>
      <c r="AV33" s="11">
        <f t="shared" si="12"/>
        <v>116.34113258899995</v>
      </c>
    </row>
    <row r="34" spans="1:48" x14ac:dyDescent="0.25">
      <c r="A34" s="18"/>
      <c r="B34" s="4">
        <v>45544</v>
      </c>
      <c r="C34" s="14" t="s">
        <v>33</v>
      </c>
      <c r="D34" s="15" t="s">
        <v>7</v>
      </c>
      <c r="E34" s="16">
        <v>261.26499999999999</v>
      </c>
      <c r="F34" s="16">
        <v>31.875</v>
      </c>
      <c r="G34" s="16">
        <v>0.82</v>
      </c>
      <c r="H34" s="16">
        <v>0.02</v>
      </c>
      <c r="I34" s="16">
        <v>12</v>
      </c>
      <c r="J34" s="16">
        <v>92</v>
      </c>
      <c r="K34" s="16">
        <v>1.8164834789517417</v>
      </c>
      <c r="L34" s="16">
        <v>150</v>
      </c>
      <c r="M34" s="5">
        <v>34.4</v>
      </c>
      <c r="N34" s="5">
        <v>77.3</v>
      </c>
      <c r="O34" s="5">
        <v>43.6</v>
      </c>
      <c r="P34" s="5">
        <v>14.7</v>
      </c>
      <c r="Q34" s="5">
        <v>237</v>
      </c>
      <c r="R34" s="5">
        <f t="shared" si="0"/>
        <v>407</v>
      </c>
      <c r="S34" s="6">
        <f t="shared" si="1"/>
        <v>8.4520884520884521E-2</v>
      </c>
      <c r="T34" s="6">
        <f t="shared" si="1"/>
        <v>0.18992628992628993</v>
      </c>
      <c r="U34" s="6">
        <f t="shared" si="1"/>
        <v>0.10712530712530713</v>
      </c>
      <c r="V34" s="6">
        <f t="shared" si="1"/>
        <v>3.6117936117936116E-2</v>
      </c>
      <c r="W34" s="6">
        <f t="shared" si="1"/>
        <v>0.5823095823095823</v>
      </c>
      <c r="X34" s="6">
        <f t="shared" si="2"/>
        <v>1</v>
      </c>
      <c r="Y34" s="7">
        <f t="shared" si="3"/>
        <v>0.91547911547911553</v>
      </c>
      <c r="Z34" s="7">
        <f t="shared" si="4"/>
        <v>0.72555282555282563</v>
      </c>
      <c r="AA34" s="7">
        <f t="shared" si="4"/>
        <v>0.61842751842751853</v>
      </c>
      <c r="AB34" s="7">
        <f t="shared" si="4"/>
        <v>0.58230958230958241</v>
      </c>
      <c r="AC34" s="7">
        <f t="shared" si="4"/>
        <v>0</v>
      </c>
      <c r="AD34" s="7">
        <f t="shared" si="5"/>
        <v>0.72555282555282563</v>
      </c>
      <c r="AE34" s="8">
        <f t="shared" si="6"/>
        <v>107.63966342588222</v>
      </c>
      <c r="AF34" s="9">
        <v>0.45</v>
      </c>
      <c r="AG34" s="9">
        <v>0.64</v>
      </c>
      <c r="AH34" s="9">
        <v>1.25</v>
      </c>
      <c r="AI34" s="9">
        <v>0.34</v>
      </c>
      <c r="AJ34" s="9">
        <v>0.68</v>
      </c>
      <c r="AK34" s="10">
        <f t="shared" si="7"/>
        <v>5.4199782920766076E-2</v>
      </c>
      <c r="AL34" s="10">
        <f t="shared" si="7"/>
        <v>0.17321522355659816</v>
      </c>
      <c r="AM34" s="10">
        <f t="shared" si="7"/>
        <v>0.19081964917194774</v>
      </c>
      <c r="AN34" s="10">
        <f t="shared" si="7"/>
        <v>1.749938727635587E-2</v>
      </c>
      <c r="AO34" s="10">
        <f t="shared" si="7"/>
        <v>0.56426595707433225</v>
      </c>
      <c r="AP34" s="10">
        <f t="shared" si="8"/>
        <v>0.9458002170792339</v>
      </c>
      <c r="AQ34" s="10">
        <f t="shared" si="9"/>
        <v>0.77258499352263577</v>
      </c>
      <c r="AR34" s="10">
        <f t="shared" si="9"/>
        <v>0.58176534435068805</v>
      </c>
      <c r="AS34" s="10">
        <f t="shared" si="9"/>
        <v>0.56426595707433214</v>
      </c>
      <c r="AT34" s="10">
        <f t="shared" si="9"/>
        <v>0</v>
      </c>
      <c r="AU34" s="10">
        <f t="shared" si="10"/>
        <v>0.77258499352263577</v>
      </c>
      <c r="AV34" s="11">
        <f t="shared" si="12"/>
        <v>100.36606558822345</v>
      </c>
    </row>
    <row r="35" spans="1:48" x14ac:dyDescent="0.25">
      <c r="A35" s="18"/>
      <c r="B35" s="4">
        <v>45548</v>
      </c>
      <c r="C35" s="14" t="s">
        <v>33</v>
      </c>
      <c r="D35" s="15" t="s">
        <v>7</v>
      </c>
      <c r="E35" s="16">
        <v>665.1</v>
      </c>
      <c r="F35" s="16">
        <v>31.875</v>
      </c>
      <c r="G35" s="16">
        <v>0.61</v>
      </c>
      <c r="H35" s="16">
        <v>0.04</v>
      </c>
      <c r="I35" s="16">
        <v>11</v>
      </c>
      <c r="J35" s="16">
        <v>86</v>
      </c>
      <c r="K35" s="16">
        <v>1.8164834789517417</v>
      </c>
      <c r="L35" s="16">
        <v>54.545454545454547</v>
      </c>
      <c r="M35" s="5">
        <v>0</v>
      </c>
      <c r="N35" s="5">
        <v>19.899999999999999</v>
      </c>
      <c r="O35" s="5">
        <v>22</v>
      </c>
      <c r="P35" s="5">
        <v>4.3</v>
      </c>
      <c r="Q35" s="5">
        <v>167</v>
      </c>
      <c r="R35" s="5">
        <f t="shared" si="0"/>
        <v>213.2</v>
      </c>
      <c r="S35" s="6">
        <f t="shared" si="1"/>
        <v>0</v>
      </c>
      <c r="T35" s="6">
        <f t="shared" si="1"/>
        <v>9.3339587242026262E-2</v>
      </c>
      <c r="U35" s="6">
        <f t="shared" si="1"/>
        <v>0.10318949343339588</v>
      </c>
      <c r="V35" s="6">
        <f t="shared" si="1"/>
        <v>2.0168855534709193E-2</v>
      </c>
      <c r="W35" s="6">
        <f t="shared" si="1"/>
        <v>0.78330206378986866</v>
      </c>
      <c r="X35" s="6">
        <f t="shared" si="2"/>
        <v>1</v>
      </c>
      <c r="Y35" s="7">
        <f t="shared" si="3"/>
        <v>1</v>
      </c>
      <c r="Z35" s="7">
        <f t="shared" si="4"/>
        <v>0.90666041275797371</v>
      </c>
      <c r="AA35" s="7">
        <f t="shared" si="4"/>
        <v>0.80347091932457781</v>
      </c>
      <c r="AB35" s="7">
        <f t="shared" si="4"/>
        <v>0.78330206378986866</v>
      </c>
      <c r="AC35" s="7">
        <f t="shared" si="4"/>
        <v>0</v>
      </c>
      <c r="AD35" s="7">
        <f t="shared" si="5"/>
        <v>0.90666041275797371</v>
      </c>
      <c r="AE35" s="8">
        <f t="shared" si="6"/>
        <v>41.091218632760672</v>
      </c>
      <c r="AF35" s="9"/>
      <c r="AG35" s="9">
        <v>0.31</v>
      </c>
      <c r="AH35" s="9">
        <v>0.3</v>
      </c>
      <c r="AI35" s="9"/>
      <c r="AJ35" s="9">
        <v>0.6</v>
      </c>
      <c r="AK35" s="10">
        <f t="shared" si="7"/>
        <v>0</v>
      </c>
      <c r="AL35" s="10">
        <f t="shared" si="7"/>
        <v>5.4607901282652763E-2</v>
      </c>
      <c r="AM35" s="10">
        <f t="shared" si="7"/>
        <v>5.8423107224105729E-2</v>
      </c>
      <c r="AN35" s="10">
        <f t="shared" si="7"/>
        <v>0</v>
      </c>
      <c r="AO35" s="10">
        <f t="shared" si="7"/>
        <v>0.8869689914932416</v>
      </c>
      <c r="AP35" s="10">
        <f t="shared" si="8"/>
        <v>1</v>
      </c>
      <c r="AQ35" s="10">
        <f t="shared" si="9"/>
        <v>0.9453920987173472</v>
      </c>
      <c r="AR35" s="10">
        <f t="shared" si="9"/>
        <v>0.88696899149324149</v>
      </c>
      <c r="AS35" s="10">
        <f t="shared" si="9"/>
        <v>0.88696899149324149</v>
      </c>
      <c r="AT35" s="10">
        <f t="shared" si="9"/>
        <v>0</v>
      </c>
      <c r="AU35" s="10">
        <f t="shared" si="10"/>
        <v>0.9453920987173472</v>
      </c>
      <c r="AV35" s="11">
        <f>FORECAST(0.8,$AQ$3:$AS$3,AQ35:AS35)</f>
        <v>-7.1239999999999668</v>
      </c>
    </row>
    <row r="36" spans="1:48" x14ac:dyDescent="0.25">
      <c r="A36" s="18"/>
      <c r="B36" s="4">
        <v>45549</v>
      </c>
      <c r="C36" s="14" t="s">
        <v>33</v>
      </c>
      <c r="D36" s="15" t="s">
        <v>7</v>
      </c>
      <c r="E36" s="16">
        <v>891.51000000000022</v>
      </c>
      <c r="F36" s="16">
        <v>31.875</v>
      </c>
      <c r="G36" s="16">
        <v>0.6</v>
      </c>
      <c r="H36" s="16">
        <v>0.04</v>
      </c>
      <c r="I36" s="16">
        <v>11</v>
      </c>
      <c r="J36" s="16">
        <v>95</v>
      </c>
      <c r="K36" s="16">
        <v>1.8164834789517417</v>
      </c>
      <c r="L36" s="16">
        <v>129.16666666666666</v>
      </c>
      <c r="M36" s="5">
        <v>8.9</v>
      </c>
      <c r="N36" s="5">
        <v>36.6</v>
      </c>
      <c r="O36" s="5">
        <v>28.9</v>
      </c>
      <c r="P36" s="5">
        <v>9.8000000000000007</v>
      </c>
      <c r="Q36" s="5">
        <v>142.19999999999999</v>
      </c>
      <c r="R36" s="5">
        <f t="shared" si="0"/>
        <v>226.39999999999998</v>
      </c>
      <c r="S36" s="6">
        <f t="shared" si="1"/>
        <v>3.9310954063604249E-2</v>
      </c>
      <c r="T36" s="6">
        <f t="shared" si="1"/>
        <v>0.16166077738515902</v>
      </c>
      <c r="U36" s="6">
        <f t="shared" si="1"/>
        <v>0.12765017667844525</v>
      </c>
      <c r="V36" s="6">
        <f t="shared" si="1"/>
        <v>4.3286219081272094E-2</v>
      </c>
      <c r="W36" s="6">
        <f t="shared" si="1"/>
        <v>0.62809187279151946</v>
      </c>
      <c r="X36" s="6">
        <f t="shared" si="2"/>
        <v>1</v>
      </c>
      <c r="Y36" s="7">
        <f t="shared" si="3"/>
        <v>0.9606890459363957</v>
      </c>
      <c r="Z36" s="7">
        <f t="shared" si="4"/>
        <v>0.79902826855123665</v>
      </c>
      <c r="AA36" s="7">
        <f t="shared" si="4"/>
        <v>0.6713780918727914</v>
      </c>
      <c r="AB36" s="7">
        <f t="shared" si="4"/>
        <v>0.62809187279151935</v>
      </c>
      <c r="AC36" s="7">
        <f t="shared" si="4"/>
        <v>0</v>
      </c>
      <c r="AD36" s="7">
        <f t="shared" si="5"/>
        <v>0.79902826855123665</v>
      </c>
      <c r="AE36" s="8">
        <f t="shared" si="6"/>
        <v>89.057394506746448</v>
      </c>
      <c r="AF36" s="9">
        <v>0.37</v>
      </c>
      <c r="AG36" s="9">
        <v>0.42</v>
      </c>
      <c r="AH36" s="9">
        <v>0.6</v>
      </c>
      <c r="AI36" s="9">
        <v>0.78</v>
      </c>
      <c r="AJ36" s="9">
        <v>0.62</v>
      </c>
      <c r="AK36" s="10">
        <f t="shared" si="7"/>
        <v>2.4982361375585113E-2</v>
      </c>
      <c r="AL36" s="10">
        <f t="shared" si="7"/>
        <v>0.11661975677664571</v>
      </c>
      <c r="AM36" s="10">
        <f t="shared" si="7"/>
        <v>0.13154999886202423</v>
      </c>
      <c r="AN36" s="10">
        <f t="shared" si="7"/>
        <v>5.7991245173086126E-2</v>
      </c>
      <c r="AO36" s="10">
        <f t="shared" si="7"/>
        <v>0.66885663781265881</v>
      </c>
      <c r="AP36" s="10">
        <f t="shared" si="8"/>
        <v>0.97501763862441493</v>
      </c>
      <c r="AQ36" s="10">
        <f t="shared" si="9"/>
        <v>0.85839788184776922</v>
      </c>
      <c r="AR36" s="10">
        <f t="shared" si="9"/>
        <v>0.72684788298574499</v>
      </c>
      <c r="AS36" s="10">
        <f t="shared" si="9"/>
        <v>0.66885663781265881</v>
      </c>
      <c r="AT36" s="10">
        <f t="shared" si="9"/>
        <v>0</v>
      </c>
      <c r="AU36" s="10">
        <f t="shared" si="10"/>
        <v>0.85839788184776922</v>
      </c>
      <c r="AV36" s="11">
        <f t="shared" ref="AV36:AV42" si="13">FORECAST(0.8,$AP$3:$AT$3,AP36:AT36)</f>
        <v>74.663031257302691</v>
      </c>
    </row>
    <row r="37" spans="1:48" x14ac:dyDescent="0.25">
      <c r="A37" s="18"/>
      <c r="B37" s="4">
        <v>45550</v>
      </c>
      <c r="C37" s="14" t="s">
        <v>33</v>
      </c>
      <c r="D37" s="15" t="s">
        <v>7</v>
      </c>
      <c r="E37" s="16">
        <v>787.11869999999999</v>
      </c>
      <c r="F37" s="16">
        <v>31.875</v>
      </c>
      <c r="G37" s="16">
        <v>0.65</v>
      </c>
      <c r="H37" s="16">
        <v>0.1</v>
      </c>
      <c r="I37" s="16">
        <v>12</v>
      </c>
      <c r="J37" s="16">
        <v>77</v>
      </c>
      <c r="K37" s="16">
        <v>1.8164834789517417</v>
      </c>
      <c r="L37" s="16">
        <v>140</v>
      </c>
      <c r="M37" s="5">
        <v>2.6</v>
      </c>
      <c r="N37" s="5">
        <v>25.8</v>
      </c>
      <c r="O37" s="5">
        <v>19</v>
      </c>
      <c r="P37" s="5">
        <v>8.9</v>
      </c>
      <c r="Q37" s="5">
        <v>156.1</v>
      </c>
      <c r="R37" s="5">
        <f t="shared" si="0"/>
        <v>212.4</v>
      </c>
      <c r="S37" s="6">
        <f t="shared" si="1"/>
        <v>1.2241054613935969E-2</v>
      </c>
      <c r="T37" s="6">
        <f t="shared" si="1"/>
        <v>0.12146892655367232</v>
      </c>
      <c r="U37" s="6">
        <f t="shared" si="1"/>
        <v>8.9453860640301322E-2</v>
      </c>
      <c r="V37" s="6">
        <f t="shared" si="1"/>
        <v>4.1902071563088512E-2</v>
      </c>
      <c r="W37" s="6">
        <f t="shared" si="1"/>
        <v>0.73493408662900184</v>
      </c>
      <c r="X37" s="6">
        <f t="shared" si="2"/>
        <v>1</v>
      </c>
      <c r="Y37" s="7">
        <f t="shared" si="3"/>
        <v>0.98775894538606401</v>
      </c>
      <c r="Z37" s="7">
        <f t="shared" si="4"/>
        <v>0.86629001883239165</v>
      </c>
      <c r="AA37" s="7">
        <f t="shared" si="4"/>
        <v>0.77683615819209029</v>
      </c>
      <c r="AB37" s="7">
        <f t="shared" si="4"/>
        <v>0.73493408662900173</v>
      </c>
      <c r="AC37" s="7">
        <f t="shared" si="4"/>
        <v>0</v>
      </c>
      <c r="AD37" s="7">
        <f t="shared" si="5"/>
        <v>0.86629001883239165</v>
      </c>
      <c r="AE37" s="8">
        <f t="shared" si="6"/>
        <v>58.713205775949518</v>
      </c>
      <c r="AF37" s="9">
        <v>0.24718309859154933</v>
      </c>
      <c r="AG37" s="9">
        <v>2.4528169014084509</v>
      </c>
      <c r="AH37" s="9">
        <v>0.32</v>
      </c>
      <c r="AI37" s="9">
        <v>0.41</v>
      </c>
      <c r="AJ37" s="9">
        <v>0.54</v>
      </c>
      <c r="AK37" s="10">
        <f t="shared" si="7"/>
        <v>4.0689000406890011E-3</v>
      </c>
      <c r="AL37" s="10">
        <f t="shared" si="7"/>
        <v>0.40065423418405721</v>
      </c>
      <c r="AM37" s="10">
        <f t="shared" si="7"/>
        <v>3.8493595651208148E-2</v>
      </c>
      <c r="AN37" s="10">
        <f t="shared" si="7"/>
        <v>2.3102488574220155E-2</v>
      </c>
      <c r="AO37" s="10">
        <f t="shared" si="7"/>
        <v>0.53368078154982557</v>
      </c>
      <c r="AP37" s="10">
        <f t="shared" si="8"/>
        <v>0.99593109995931095</v>
      </c>
      <c r="AQ37" s="10">
        <f t="shared" si="9"/>
        <v>0.59527686577525374</v>
      </c>
      <c r="AR37" s="10">
        <f t="shared" si="9"/>
        <v>0.5567832701240456</v>
      </c>
      <c r="AS37" s="10">
        <f t="shared" si="9"/>
        <v>0.53368078154982546</v>
      </c>
      <c r="AT37" s="10">
        <f t="shared" si="9"/>
        <v>0</v>
      </c>
      <c r="AU37" s="10">
        <f t="shared" si="10"/>
        <v>0.59527686577525374</v>
      </c>
      <c r="AV37" s="11">
        <f t="shared" si="13"/>
        <v>106.89890398841126</v>
      </c>
    </row>
    <row r="38" spans="1:48" x14ac:dyDescent="0.25">
      <c r="A38" s="18"/>
      <c r="B38" s="4">
        <v>45551</v>
      </c>
      <c r="C38" s="14" t="s">
        <v>33</v>
      </c>
      <c r="D38" s="15" t="s">
        <v>7</v>
      </c>
      <c r="E38" s="16">
        <v>851.6096</v>
      </c>
      <c r="F38" s="16">
        <v>31.875</v>
      </c>
      <c r="G38" s="16">
        <v>0.66100000000000003</v>
      </c>
      <c r="H38" s="16">
        <v>6.5000000000000002E-2</v>
      </c>
      <c r="I38" s="16">
        <v>13.6</v>
      </c>
      <c r="J38" s="16">
        <v>102</v>
      </c>
      <c r="K38" s="16">
        <v>1.8164834789517417</v>
      </c>
      <c r="L38" s="16">
        <v>227.27272727272728</v>
      </c>
      <c r="M38" s="5">
        <v>11.4</v>
      </c>
      <c r="N38" s="5">
        <v>44</v>
      </c>
      <c r="O38" s="5">
        <v>51.1</v>
      </c>
      <c r="P38" s="5">
        <v>10.9</v>
      </c>
      <c r="Q38" s="5">
        <v>171.6</v>
      </c>
      <c r="R38" s="5">
        <f t="shared" si="0"/>
        <v>289</v>
      </c>
      <c r="S38" s="6">
        <f t="shared" si="1"/>
        <v>3.9446366782006921E-2</v>
      </c>
      <c r="T38" s="6">
        <f t="shared" si="1"/>
        <v>0.15224913494809689</v>
      </c>
      <c r="U38" s="6">
        <f t="shared" si="1"/>
        <v>0.17681660899653981</v>
      </c>
      <c r="V38" s="6">
        <f t="shared" si="1"/>
        <v>3.7716262975778549E-2</v>
      </c>
      <c r="W38" s="6">
        <f t="shared" si="1"/>
        <v>0.59377162629757785</v>
      </c>
      <c r="X38" s="6">
        <f t="shared" si="2"/>
        <v>1</v>
      </c>
      <c r="Y38" s="7">
        <f t="shared" si="3"/>
        <v>0.96055363321799303</v>
      </c>
      <c r="Z38" s="7">
        <f t="shared" si="4"/>
        <v>0.80830449826989614</v>
      </c>
      <c r="AA38" s="7">
        <f t="shared" si="4"/>
        <v>0.63148788927335631</v>
      </c>
      <c r="AB38" s="7">
        <f t="shared" si="4"/>
        <v>0.59377162629757774</v>
      </c>
      <c r="AC38" s="7">
        <f t="shared" si="4"/>
        <v>0</v>
      </c>
      <c r="AD38" s="7">
        <f t="shared" si="5"/>
        <v>0.80830449826989614</v>
      </c>
      <c r="AE38" s="8">
        <f t="shared" si="6"/>
        <v>92.194993544640312</v>
      </c>
      <c r="AF38" s="9">
        <v>0.36</v>
      </c>
      <c r="AG38" s="9">
        <v>0.32</v>
      </c>
      <c r="AH38" s="9">
        <v>0.55000000000000004</v>
      </c>
      <c r="AI38" s="9">
        <v>0.66</v>
      </c>
      <c r="AJ38" s="9">
        <v>0.88</v>
      </c>
      <c r="AK38" s="10">
        <f t="shared" si="7"/>
        <v>2.0069342905066727E-2</v>
      </c>
      <c r="AL38" s="10">
        <f t="shared" si="7"/>
        <v>6.885388599009247E-2</v>
      </c>
      <c r="AM38" s="10">
        <f t="shared" si="7"/>
        <v>0.13743881148803616</v>
      </c>
      <c r="AN38" s="10">
        <f t="shared" si="7"/>
        <v>3.5180032373062872E-2</v>
      </c>
      <c r="AO38" s="10">
        <f t="shared" si="7"/>
        <v>0.73845792724374182</v>
      </c>
      <c r="AP38" s="10">
        <f t="shared" si="8"/>
        <v>0.97993065709493332</v>
      </c>
      <c r="AQ38" s="10">
        <f t="shared" si="9"/>
        <v>0.91107677110484087</v>
      </c>
      <c r="AR38" s="10">
        <f t="shared" si="9"/>
        <v>0.7736379596168047</v>
      </c>
      <c r="AS38" s="10">
        <f t="shared" si="9"/>
        <v>0.73845792724374182</v>
      </c>
      <c r="AT38" s="10">
        <f t="shared" si="9"/>
        <v>0</v>
      </c>
      <c r="AU38" s="10">
        <f t="shared" si="10"/>
        <v>0.91107677110484087</v>
      </c>
      <c r="AV38" s="11">
        <f t="shared" si="13"/>
        <v>56.252416618916016</v>
      </c>
    </row>
    <row r="39" spans="1:48" x14ac:dyDescent="0.25">
      <c r="A39" s="18"/>
      <c r="B39" s="4">
        <v>45557</v>
      </c>
      <c r="C39" s="14" t="s">
        <v>33</v>
      </c>
      <c r="D39" s="15" t="s">
        <v>7</v>
      </c>
      <c r="E39" s="16">
        <v>830.59419999999989</v>
      </c>
      <c r="F39" s="16">
        <v>31.875</v>
      </c>
      <c r="G39" s="16">
        <v>0.71500000000000008</v>
      </c>
      <c r="H39" s="16">
        <v>9.4733324398722896E-2</v>
      </c>
      <c r="I39" s="16">
        <v>13</v>
      </c>
      <c r="J39" s="16">
        <v>91.5</v>
      </c>
      <c r="K39" s="16">
        <v>1.8164834789517417</v>
      </c>
      <c r="L39" s="16">
        <v>240.90909090909091</v>
      </c>
      <c r="M39" s="5">
        <v>4.9000000000000004</v>
      </c>
      <c r="N39" s="5">
        <v>13.1</v>
      </c>
      <c r="O39" s="5">
        <v>80.400000000000006</v>
      </c>
      <c r="P39" s="5">
        <v>24.6</v>
      </c>
      <c r="Q39" s="5">
        <v>330</v>
      </c>
      <c r="R39" s="5">
        <f t="shared" si="0"/>
        <v>453</v>
      </c>
      <c r="S39" s="6">
        <f t="shared" si="1"/>
        <v>1.0816777041942605E-2</v>
      </c>
      <c r="T39" s="6">
        <f t="shared" si="1"/>
        <v>2.8918322295805737E-2</v>
      </c>
      <c r="U39" s="6">
        <f t="shared" si="1"/>
        <v>0.17748344370860927</v>
      </c>
      <c r="V39" s="6">
        <f t="shared" si="1"/>
        <v>5.4304635761589407E-2</v>
      </c>
      <c r="W39" s="6">
        <f t="shared" si="1"/>
        <v>0.72847682119205293</v>
      </c>
      <c r="X39" s="6">
        <f t="shared" si="2"/>
        <v>1</v>
      </c>
      <c r="Y39" s="7">
        <f t="shared" si="3"/>
        <v>0.98918322295805738</v>
      </c>
      <c r="Z39" s="7">
        <f t="shared" si="4"/>
        <v>0.96026490066225167</v>
      </c>
      <c r="AA39" s="7">
        <f t="shared" si="4"/>
        <v>0.78278145695364243</v>
      </c>
      <c r="AB39" s="7">
        <f t="shared" si="4"/>
        <v>0.72847682119205304</v>
      </c>
      <c r="AC39" s="7">
        <f t="shared" si="4"/>
        <v>0</v>
      </c>
      <c r="AD39" s="7">
        <f t="shared" si="5"/>
        <v>0.96026490066225167</v>
      </c>
      <c r="AE39" s="8">
        <f t="shared" si="6"/>
        <v>55.372797106343228</v>
      </c>
      <c r="AF39" s="9">
        <v>0.21505555555555558</v>
      </c>
      <c r="AG39" s="9">
        <v>0.57494444444444448</v>
      </c>
      <c r="AH39" s="9">
        <v>0.55000000000000004</v>
      </c>
      <c r="AI39" s="9">
        <v>0.88</v>
      </c>
      <c r="AJ39" s="9">
        <v>0.82</v>
      </c>
      <c r="AK39" s="10">
        <f t="shared" si="7"/>
        <v>3.0539382631726182E-3</v>
      </c>
      <c r="AL39" s="10">
        <f t="shared" si="7"/>
        <v>2.1827836124242102E-2</v>
      </c>
      <c r="AM39" s="10">
        <f t="shared" si="7"/>
        <v>0.1281540233739569</v>
      </c>
      <c r="AN39" s="10">
        <f t="shared" si="7"/>
        <v>6.2738089054713217E-2</v>
      </c>
      <c r="AO39" s="10">
        <f t="shared" si="7"/>
        <v>0.78422611318391522</v>
      </c>
      <c r="AP39" s="10">
        <f t="shared" si="8"/>
        <v>0.99694606173682743</v>
      </c>
      <c r="AQ39" s="10">
        <f t="shared" si="9"/>
        <v>0.97511822561258532</v>
      </c>
      <c r="AR39" s="10">
        <f t="shared" si="9"/>
        <v>0.84696420223862845</v>
      </c>
      <c r="AS39" s="10">
        <f t="shared" si="9"/>
        <v>0.78422611318391522</v>
      </c>
      <c r="AT39" s="10">
        <f t="shared" si="9"/>
        <v>0</v>
      </c>
      <c r="AU39" s="10">
        <f t="shared" si="10"/>
        <v>0.97511822561258532</v>
      </c>
      <c r="AV39" s="11">
        <f t="shared" si="13"/>
        <v>35.043118350009991</v>
      </c>
    </row>
    <row r="40" spans="1:48" x14ac:dyDescent="0.25">
      <c r="A40" s="18" t="s">
        <v>6</v>
      </c>
      <c r="D40" s="14" t="s">
        <v>1</v>
      </c>
      <c r="E40" s="16"/>
      <c r="F40" s="16"/>
      <c r="G40" s="16"/>
      <c r="H40" s="16"/>
      <c r="I40" s="16"/>
      <c r="J40" s="16"/>
      <c r="K40" s="16"/>
      <c r="L40" s="16"/>
      <c r="M40" s="13">
        <v>38.700000000000003</v>
      </c>
      <c r="N40" s="13">
        <v>87.9</v>
      </c>
      <c r="O40" s="13">
        <v>46.5</v>
      </c>
      <c r="P40" s="13">
        <v>16.100000000000001</v>
      </c>
      <c r="Q40" s="13">
        <v>244.9</v>
      </c>
      <c r="R40" s="5">
        <f t="shared" si="0"/>
        <v>434.1</v>
      </c>
      <c r="S40" s="6">
        <f t="shared" si="1"/>
        <v>8.9149965445749824E-2</v>
      </c>
      <c r="T40" s="6">
        <f t="shared" si="1"/>
        <v>0.20248790601243954</v>
      </c>
      <c r="U40" s="6">
        <f t="shared" si="1"/>
        <v>0.10711817553559087</v>
      </c>
      <c r="V40" s="6">
        <f t="shared" si="1"/>
        <v>3.7088228518774476E-2</v>
      </c>
      <c r="W40" s="6">
        <f t="shared" si="1"/>
        <v>0.56415572448744522</v>
      </c>
      <c r="X40" s="6">
        <f t="shared" si="2"/>
        <v>1</v>
      </c>
      <c r="Y40" s="7">
        <f t="shared" si="3"/>
        <v>0.91085003455425018</v>
      </c>
      <c r="Z40" s="7">
        <f t="shared" si="4"/>
        <v>0.70836212854181069</v>
      </c>
      <c r="AA40" s="7">
        <f t="shared" si="4"/>
        <v>0.6012439530062198</v>
      </c>
      <c r="AB40" s="7">
        <f t="shared" si="4"/>
        <v>0.56415572448744533</v>
      </c>
      <c r="AC40" s="7">
        <f t="shared" si="4"/>
        <v>0</v>
      </c>
      <c r="AD40" s="7">
        <f t="shared" si="5"/>
        <v>0.70836212854181069</v>
      </c>
      <c r="AE40" s="8">
        <f t="shared" si="6"/>
        <v>111.17061750733478</v>
      </c>
      <c r="AF40" s="9">
        <v>0.37</v>
      </c>
      <c r="AG40" s="9">
        <v>0.68</v>
      </c>
      <c r="AH40" s="9">
        <v>0.84</v>
      </c>
      <c r="AI40" s="9">
        <v>1.64</v>
      </c>
      <c r="AJ40" s="9">
        <v>0.81</v>
      </c>
      <c r="AK40" s="10">
        <f t="shared" si="7"/>
        <v>4.2373433079627369E-2</v>
      </c>
      <c r="AL40" s="10">
        <f t="shared" si="7"/>
        <v>0.17688000852262639</v>
      </c>
      <c r="AM40" s="10">
        <f t="shared" si="7"/>
        <v>0.11558812040577168</v>
      </c>
      <c r="AN40" s="10">
        <f t="shared" si="7"/>
        <v>7.8135912216948183E-2</v>
      </c>
      <c r="AO40" s="10">
        <f t="shared" si="7"/>
        <v>0.58702252577502634</v>
      </c>
      <c r="AP40" s="10">
        <f t="shared" si="8"/>
        <v>0.95762656692037262</v>
      </c>
      <c r="AQ40" s="10">
        <f t="shared" si="9"/>
        <v>0.7807465583977462</v>
      </c>
      <c r="AR40" s="10">
        <f t="shared" si="9"/>
        <v>0.66515843799197449</v>
      </c>
      <c r="AS40" s="10">
        <f t="shared" si="9"/>
        <v>0.58702252577502634</v>
      </c>
      <c r="AT40" s="10">
        <f t="shared" si="9"/>
        <v>0</v>
      </c>
      <c r="AU40" s="10">
        <f t="shared" si="10"/>
        <v>0.7807465583977462</v>
      </c>
      <c r="AV40" s="11">
        <f t="shared" si="13"/>
        <v>93.460806157645891</v>
      </c>
    </row>
    <row r="41" spans="1:48" x14ac:dyDescent="0.25">
      <c r="A41" s="18"/>
      <c r="D41" s="14" t="s">
        <v>0</v>
      </c>
      <c r="E41" s="16"/>
      <c r="F41" s="16"/>
      <c r="G41" s="16"/>
      <c r="H41" s="16"/>
      <c r="I41" s="16"/>
      <c r="J41" s="16"/>
      <c r="K41" s="16"/>
      <c r="L41" s="16"/>
      <c r="M41" s="13">
        <v>12.8</v>
      </c>
      <c r="N41" s="13">
        <v>70.099999999999994</v>
      </c>
      <c r="O41" s="13">
        <v>58.5</v>
      </c>
      <c r="P41" s="13">
        <v>25.2</v>
      </c>
      <c r="Q41" s="13">
        <v>386.5</v>
      </c>
      <c r="R41" s="5">
        <f>SUM(M41:Q41)</f>
        <v>553.09999999999991</v>
      </c>
      <c r="S41" s="6">
        <f t="shared" si="1"/>
        <v>2.3142288917013202E-2</v>
      </c>
      <c r="T41" s="6">
        <f t="shared" si="1"/>
        <v>0.12674019164708011</v>
      </c>
      <c r="U41" s="6">
        <f t="shared" si="1"/>
        <v>0.1057674923160369</v>
      </c>
      <c r="V41" s="6">
        <f t="shared" si="1"/>
        <v>4.5561381305369741E-2</v>
      </c>
      <c r="W41" s="6">
        <f t="shared" si="1"/>
        <v>0.69878864581450018</v>
      </c>
      <c r="X41" s="6">
        <f t="shared" si="2"/>
        <v>1</v>
      </c>
      <c r="Y41" s="7">
        <f t="shared" si="3"/>
        <v>0.9768577110829868</v>
      </c>
      <c r="Z41" s="7">
        <f t="shared" si="4"/>
        <v>0.85011751943590674</v>
      </c>
      <c r="AA41" s="7">
        <f t="shared" si="4"/>
        <v>0.74435002711986986</v>
      </c>
      <c r="AB41" s="7">
        <f t="shared" si="4"/>
        <v>0.69878864581450006</v>
      </c>
      <c r="AC41" s="7">
        <f t="shared" si="4"/>
        <v>0</v>
      </c>
      <c r="AD41" s="7">
        <f t="shared" si="5"/>
        <v>0.85011751943590674</v>
      </c>
      <c r="AE41" s="8">
        <f t="shared" si="6"/>
        <v>70.19873974063097</v>
      </c>
      <c r="AF41" s="9">
        <v>0.36</v>
      </c>
      <c r="AG41" s="9">
        <v>0.38</v>
      </c>
      <c r="AH41" s="9">
        <v>0.53</v>
      </c>
      <c r="AI41" s="9">
        <v>0.57999999999999996</v>
      </c>
      <c r="AJ41" s="9">
        <v>0.52</v>
      </c>
      <c r="AK41" s="10">
        <f t="shared" si="7"/>
        <v>1.6584667100958437E-2</v>
      </c>
      <c r="AL41" s="10">
        <f t="shared" si="7"/>
        <v>9.5872908471208954E-2</v>
      </c>
      <c r="AM41" s="10">
        <f t="shared" si="7"/>
        <v>0.11159019172422231</v>
      </c>
      <c r="AN41" s="10">
        <f t="shared" si="7"/>
        <v>5.260449096085254E-2</v>
      </c>
      <c r="AO41" s="10">
        <f t="shared" si="7"/>
        <v>0.72334774174275762</v>
      </c>
      <c r="AP41" s="10">
        <f t="shared" si="8"/>
        <v>0.98341533289904159</v>
      </c>
      <c r="AQ41" s="10">
        <f t="shared" si="9"/>
        <v>0.8875424244278326</v>
      </c>
      <c r="AR41" s="10">
        <f t="shared" si="9"/>
        <v>0.77595223270361025</v>
      </c>
      <c r="AS41" s="10">
        <f t="shared" si="9"/>
        <v>0.72334774174275773</v>
      </c>
      <c r="AT41" s="10">
        <f t="shared" si="9"/>
        <v>0</v>
      </c>
      <c r="AU41" s="10">
        <f t="shared" si="10"/>
        <v>0.8875424244278326</v>
      </c>
      <c r="AV41" s="11">
        <f t="shared" si="13"/>
        <v>59.486796163669567</v>
      </c>
    </row>
    <row r="42" spans="1:48" x14ac:dyDescent="0.25">
      <c r="A42" s="18"/>
      <c r="D42" s="14" t="s">
        <v>4</v>
      </c>
      <c r="E42" s="16"/>
      <c r="F42" s="16"/>
      <c r="G42" s="16"/>
      <c r="H42" s="16"/>
      <c r="I42" s="16"/>
      <c r="J42" s="16"/>
      <c r="K42" s="16"/>
      <c r="L42" s="16"/>
      <c r="M42" s="13">
        <v>16.600000000000001</v>
      </c>
      <c r="N42" s="13">
        <v>76.7</v>
      </c>
      <c r="O42" s="13">
        <v>26.8</v>
      </c>
      <c r="P42" s="13">
        <v>13</v>
      </c>
      <c r="Q42" s="13">
        <v>197.8</v>
      </c>
      <c r="R42" s="5">
        <f t="shared" si="0"/>
        <v>330.90000000000003</v>
      </c>
      <c r="S42" s="6">
        <f t="shared" si="1"/>
        <v>5.0166213357509822E-2</v>
      </c>
      <c r="T42" s="6">
        <f t="shared" si="1"/>
        <v>0.23179208220006042</v>
      </c>
      <c r="U42" s="6">
        <f t="shared" si="1"/>
        <v>8.0991236022967664E-2</v>
      </c>
      <c r="V42" s="6">
        <f t="shared" si="1"/>
        <v>3.9286793593230576E-2</v>
      </c>
      <c r="W42" s="6">
        <f t="shared" si="1"/>
        <v>0.59776367482623149</v>
      </c>
      <c r="X42" s="6">
        <f t="shared" si="2"/>
        <v>1</v>
      </c>
      <c r="Y42" s="7">
        <f t="shared" si="3"/>
        <v>0.94983378664249019</v>
      </c>
      <c r="Z42" s="7">
        <f t="shared" si="4"/>
        <v>0.71804170444242976</v>
      </c>
      <c r="AA42" s="7">
        <f t="shared" si="4"/>
        <v>0.63705046841946211</v>
      </c>
      <c r="AB42" s="7">
        <f t="shared" si="4"/>
        <v>0.59776367482623149</v>
      </c>
      <c r="AC42" s="7">
        <f t="shared" si="4"/>
        <v>0</v>
      </c>
      <c r="AD42" s="7">
        <f t="shared" si="5"/>
        <v>0.71804170444242976</v>
      </c>
      <c r="AE42" s="8">
        <f t="shared" si="6"/>
        <v>101.30216231237367</v>
      </c>
      <c r="AF42" s="9">
        <v>7.0000000000000007E-2</v>
      </c>
      <c r="AG42" s="9">
        <v>0.37</v>
      </c>
      <c r="AH42" s="9">
        <v>0.34</v>
      </c>
      <c r="AI42" s="9">
        <v>7.0000000000000007E-2</v>
      </c>
      <c r="AJ42" s="9">
        <v>0.52</v>
      </c>
      <c r="AK42" s="10">
        <f t="shared" si="7"/>
        <v>8.1590237257669271E-3</v>
      </c>
      <c r="AL42" s="10">
        <f t="shared" si="7"/>
        <v>0.19926414312697041</v>
      </c>
      <c r="AM42" s="10">
        <f t="shared" si="7"/>
        <v>6.3980227357304853E-2</v>
      </c>
      <c r="AN42" s="10">
        <f t="shared" si="7"/>
        <v>6.3895968936728952E-3</v>
      </c>
      <c r="AO42" s="10">
        <f t="shared" si="7"/>
        <v>0.72220700889628486</v>
      </c>
      <c r="AP42" s="10">
        <f t="shared" si="8"/>
        <v>0.99184097627423307</v>
      </c>
      <c r="AQ42" s="10">
        <f t="shared" si="9"/>
        <v>0.79257683314726268</v>
      </c>
      <c r="AR42" s="10">
        <f t="shared" si="9"/>
        <v>0.72859660578995777</v>
      </c>
      <c r="AS42" s="10">
        <f t="shared" si="9"/>
        <v>0.72220700889628486</v>
      </c>
      <c r="AT42" s="10">
        <f t="shared" si="9"/>
        <v>0</v>
      </c>
      <c r="AU42" s="10">
        <f t="shared" si="10"/>
        <v>0.79257683314726268</v>
      </c>
      <c r="AV42" s="11">
        <f t="shared" si="13"/>
        <v>73.694884036395649</v>
      </c>
    </row>
    <row r="43" spans="1:48" x14ac:dyDescent="0.25">
      <c r="A43" s="18"/>
      <c r="D43" s="14" t="s">
        <v>3</v>
      </c>
      <c r="E43" s="16"/>
      <c r="F43" s="16"/>
      <c r="G43" s="16"/>
      <c r="H43" s="16"/>
      <c r="I43" s="16"/>
      <c r="J43" s="16"/>
      <c r="K43" s="16"/>
      <c r="L43" s="16"/>
      <c r="M43" s="5"/>
      <c r="N43" s="5">
        <v>13.9</v>
      </c>
      <c r="O43" s="5">
        <v>29.8</v>
      </c>
      <c r="P43" s="5">
        <v>17.899999999999999</v>
      </c>
      <c r="Q43" s="5">
        <v>262</v>
      </c>
      <c r="R43" s="5">
        <f t="shared" si="0"/>
        <v>323.60000000000002</v>
      </c>
      <c r="S43" s="6">
        <f t="shared" si="1"/>
        <v>0</v>
      </c>
      <c r="T43" s="6">
        <f t="shared" si="1"/>
        <v>4.2954264524103829E-2</v>
      </c>
      <c r="U43" s="6">
        <f t="shared" si="1"/>
        <v>9.2088998763906055E-2</v>
      </c>
      <c r="V43" s="6">
        <f t="shared" si="1"/>
        <v>5.5315203955500609E-2</v>
      </c>
      <c r="W43" s="6">
        <f t="shared" si="1"/>
        <v>0.80964153275648942</v>
      </c>
      <c r="X43" s="6">
        <f t="shared" si="2"/>
        <v>0.99999999999999989</v>
      </c>
      <c r="Y43" s="7">
        <f t="shared" si="3"/>
        <v>1</v>
      </c>
      <c r="Z43" s="7">
        <f t="shared" si="4"/>
        <v>0.95704573547589622</v>
      </c>
      <c r="AA43" s="7">
        <f t="shared" si="4"/>
        <v>0.86495673671199014</v>
      </c>
      <c r="AB43" s="7">
        <f t="shared" si="4"/>
        <v>0.80964153275648953</v>
      </c>
      <c r="AC43" s="7">
        <f t="shared" si="4"/>
        <v>0</v>
      </c>
      <c r="AD43" s="7">
        <f t="shared" si="5"/>
        <v>0.95704573547589622</v>
      </c>
      <c r="AE43" s="8">
        <f t="shared" si="6"/>
        <v>20.451584445486674</v>
      </c>
      <c r="AF43" s="9"/>
      <c r="AG43" s="9">
        <v>0.45</v>
      </c>
      <c r="AH43" s="9">
        <v>0.38</v>
      </c>
      <c r="AI43" s="9">
        <v>0.57999999999999996</v>
      </c>
      <c r="AJ43" s="9">
        <v>0.65</v>
      </c>
      <c r="AK43" s="10">
        <f t="shared" si="7"/>
        <v>0</v>
      </c>
      <c r="AL43" s="10">
        <f t="shared" si="7"/>
        <v>3.1549321349130688E-2</v>
      </c>
      <c r="AM43" s="10">
        <f t="shared" si="7"/>
        <v>5.7116629089936997E-2</v>
      </c>
      <c r="AN43" s="10">
        <f t="shared" si="7"/>
        <v>5.2365316426326892E-2</v>
      </c>
      <c r="AO43" s="10">
        <f t="shared" si="7"/>
        <v>0.85896873313460531</v>
      </c>
      <c r="AP43" s="10">
        <f t="shared" si="8"/>
        <v>1</v>
      </c>
      <c r="AQ43" s="10">
        <f t="shared" si="9"/>
        <v>0.96845067865086931</v>
      </c>
      <c r="AR43" s="10">
        <f t="shared" si="9"/>
        <v>0.91133404956093234</v>
      </c>
      <c r="AS43" s="10">
        <f t="shared" si="9"/>
        <v>0.85896873313460542</v>
      </c>
      <c r="AT43" s="10">
        <f t="shared" si="9"/>
        <v>0</v>
      </c>
      <c r="AU43" s="10">
        <f t="shared" si="10"/>
        <v>0.96845067865086931</v>
      </c>
      <c r="AV43" s="11">
        <f>FORECAST(0.8,$AR$3:$AS$3,AR43:AS43)</f>
        <v>28.991177037179753</v>
      </c>
    </row>
    <row r="44" spans="1:48" x14ac:dyDescent="0.25">
      <c r="A44" s="18" t="s">
        <v>5</v>
      </c>
      <c r="D44" s="14" t="s">
        <v>1</v>
      </c>
      <c r="E44" s="16"/>
      <c r="F44" s="16"/>
      <c r="G44" s="16"/>
      <c r="H44" s="16"/>
      <c r="I44" s="16"/>
      <c r="J44" s="16"/>
      <c r="K44" s="16"/>
      <c r="L44" s="16"/>
      <c r="M44" s="5"/>
      <c r="N44" s="13">
        <f>52.7+6.6</f>
        <v>59.300000000000004</v>
      </c>
      <c r="O44" s="13">
        <v>39.299999999999997</v>
      </c>
      <c r="P44" s="13">
        <v>10.7</v>
      </c>
      <c r="Q44" s="13">
        <v>225.2</v>
      </c>
      <c r="R44" s="5">
        <f t="shared" si="0"/>
        <v>334.5</v>
      </c>
      <c r="S44" s="6">
        <f t="shared" si="1"/>
        <v>0</v>
      </c>
      <c r="T44" s="6">
        <f t="shared" si="1"/>
        <v>0.17727952167414052</v>
      </c>
      <c r="U44" s="6">
        <f t="shared" si="1"/>
        <v>0.11748878923766816</v>
      </c>
      <c r="V44" s="6">
        <f t="shared" si="1"/>
        <v>3.1988041853512707E-2</v>
      </c>
      <c r="W44" s="6">
        <f t="shared" si="1"/>
        <v>0.67324364723467855</v>
      </c>
      <c r="X44" s="6">
        <f t="shared" si="2"/>
        <v>1</v>
      </c>
      <c r="Y44" s="7">
        <f t="shared" si="3"/>
        <v>1</v>
      </c>
      <c r="Z44" s="7">
        <f t="shared" si="4"/>
        <v>0.82272047832585948</v>
      </c>
      <c r="AA44" s="7">
        <f t="shared" si="4"/>
        <v>0.70523168908819134</v>
      </c>
      <c r="AB44" s="7">
        <f t="shared" si="4"/>
        <v>0.67324364723467867</v>
      </c>
      <c r="AC44" s="7">
        <f t="shared" si="4"/>
        <v>0</v>
      </c>
      <c r="AD44" s="7">
        <f t="shared" si="5"/>
        <v>0.82272047832585948</v>
      </c>
      <c r="AE44" s="8">
        <f t="shared" si="6"/>
        <v>77.14770010278113</v>
      </c>
      <c r="AF44" s="9"/>
      <c r="AG44" s="9">
        <v>0.2</v>
      </c>
      <c r="AH44" s="9">
        <v>0.41</v>
      </c>
      <c r="AI44" s="9">
        <v>0.14000000000000001</v>
      </c>
      <c r="AJ44" s="9">
        <v>0.43</v>
      </c>
      <c r="AK44" s="10">
        <f t="shared" si="7"/>
        <v>0</v>
      </c>
      <c r="AL44" s="10">
        <f t="shared" si="7"/>
        <v>9.3898200416445657E-2</v>
      </c>
      <c r="AM44" s="10">
        <f t="shared" si="7"/>
        <v>0.12757012675465335</v>
      </c>
      <c r="AN44" s="10">
        <f t="shared" si="7"/>
        <v>1.1859991924438075E-2</v>
      </c>
      <c r="AO44" s="10">
        <f t="shared" si="7"/>
        <v>0.76667168090446292</v>
      </c>
      <c r="AP44" s="10">
        <f t="shared" si="8"/>
        <v>1</v>
      </c>
      <c r="AQ44" s="10">
        <f t="shared" si="9"/>
        <v>0.9061017995835543</v>
      </c>
      <c r="AR44" s="10">
        <f t="shared" si="9"/>
        <v>0.7785316728289009</v>
      </c>
      <c r="AS44" s="10">
        <f t="shared" si="9"/>
        <v>0.7666716809044628</v>
      </c>
      <c r="AT44" s="10">
        <f t="shared" si="9"/>
        <v>0</v>
      </c>
      <c r="AU44" s="10">
        <f t="shared" si="10"/>
        <v>0.9061017995835543</v>
      </c>
      <c r="AV44" s="11">
        <f t="shared" ref="AV44:AV49" si="14">FORECAST(0.8,$AP$3:$AT$3,AP44:AT44)</f>
        <v>49.619340650238598</v>
      </c>
    </row>
    <row r="45" spans="1:48" x14ac:dyDescent="0.25">
      <c r="A45" s="18"/>
      <c r="D45" s="14" t="s">
        <v>0</v>
      </c>
      <c r="E45" s="16"/>
      <c r="F45" s="16"/>
      <c r="G45" s="16"/>
      <c r="H45" s="16"/>
      <c r="I45" s="16"/>
      <c r="J45" s="16"/>
      <c r="K45" s="16"/>
      <c r="L45" s="16"/>
      <c r="M45" s="5"/>
      <c r="N45" s="13">
        <v>73.7</v>
      </c>
      <c r="O45" s="5"/>
      <c r="P45" s="13">
        <v>49.9</v>
      </c>
      <c r="Q45" s="13">
        <v>238.8</v>
      </c>
      <c r="R45" s="5">
        <f t="shared" si="0"/>
        <v>362.4</v>
      </c>
      <c r="S45" s="6">
        <f t="shared" si="1"/>
        <v>0</v>
      </c>
      <c r="T45" s="6">
        <f t="shared" si="1"/>
        <v>0.2033664459161148</v>
      </c>
      <c r="U45" s="6">
        <f t="shared" si="1"/>
        <v>0</v>
      </c>
      <c r="V45" s="6">
        <f t="shared" si="1"/>
        <v>0.13769315673289184</v>
      </c>
      <c r="W45" s="6">
        <f t="shared" si="1"/>
        <v>0.65894039735099341</v>
      </c>
      <c r="X45" s="6">
        <f t="shared" si="2"/>
        <v>1</v>
      </c>
      <c r="Y45" s="7">
        <f t="shared" si="3"/>
        <v>1</v>
      </c>
      <c r="Z45" s="7">
        <f t="shared" si="4"/>
        <v>0.79663355408388514</v>
      </c>
      <c r="AA45" s="7">
        <f t="shared" si="4"/>
        <v>0.79663355408388514</v>
      </c>
      <c r="AB45" s="7">
        <f t="shared" si="4"/>
        <v>0.6589403973509933</v>
      </c>
      <c r="AC45" s="7">
        <f t="shared" si="4"/>
        <v>0</v>
      </c>
      <c r="AD45" s="7">
        <f t="shared" si="5"/>
        <v>0.79663355408388514</v>
      </c>
      <c r="AE45" s="8">
        <f t="shared" si="6"/>
        <v>72.799565300658514</v>
      </c>
      <c r="AF45" s="9"/>
      <c r="AG45" s="9">
        <v>0.17</v>
      </c>
      <c r="AH45" s="9"/>
      <c r="AI45" s="9">
        <v>0.31</v>
      </c>
      <c r="AJ45" s="9">
        <v>0.41</v>
      </c>
      <c r="AK45" s="10">
        <f t="shared" si="7"/>
        <v>0</v>
      </c>
      <c r="AL45" s="10">
        <f t="shared" si="7"/>
        <v>9.951074611217893E-2</v>
      </c>
      <c r="AM45" s="10">
        <f t="shared" si="7"/>
        <v>0</v>
      </c>
      <c r="AN45" s="10">
        <f t="shared" si="7"/>
        <v>0.12286149984909375</v>
      </c>
      <c r="AO45" s="10">
        <f t="shared" si="7"/>
        <v>0.7776277540387273</v>
      </c>
      <c r="AP45" s="10">
        <f t="shared" si="8"/>
        <v>1</v>
      </c>
      <c r="AQ45" s="10">
        <f t="shared" si="9"/>
        <v>0.90048925388782108</v>
      </c>
      <c r="AR45" s="10">
        <f t="shared" si="9"/>
        <v>0.90048925388782108</v>
      </c>
      <c r="AS45" s="10">
        <f t="shared" si="9"/>
        <v>0.7776277540387273</v>
      </c>
      <c r="AT45" s="10">
        <f t="shared" si="9"/>
        <v>0</v>
      </c>
      <c r="AU45" s="10">
        <f t="shared" si="10"/>
        <v>0.90048925388782108</v>
      </c>
      <c r="AV45" s="11">
        <f t="shared" si="14"/>
        <v>31.328286598932038</v>
      </c>
    </row>
    <row r="46" spans="1:48" x14ac:dyDescent="0.25">
      <c r="A46" s="18"/>
      <c r="D46" s="14" t="s">
        <v>4</v>
      </c>
      <c r="E46" s="16"/>
      <c r="F46" s="16"/>
      <c r="G46" s="16"/>
      <c r="H46" s="16"/>
      <c r="I46" s="16"/>
      <c r="J46" s="16"/>
      <c r="K46" s="16"/>
      <c r="L46" s="16"/>
      <c r="M46" s="13">
        <v>29.1</v>
      </c>
      <c r="N46" s="13">
        <v>79.599999999999994</v>
      </c>
      <c r="O46" s="13">
        <v>38.4</v>
      </c>
      <c r="P46" s="13">
        <v>16.399999999999999</v>
      </c>
      <c r="Q46" s="13">
        <v>305.8</v>
      </c>
      <c r="R46" s="5">
        <f t="shared" si="0"/>
        <v>469.3</v>
      </c>
      <c r="S46" s="6">
        <f t="shared" si="1"/>
        <v>6.2007244832729597E-2</v>
      </c>
      <c r="T46" s="6">
        <f t="shared" si="1"/>
        <v>0.16961431919880671</v>
      </c>
      <c r="U46" s="6">
        <f t="shared" si="1"/>
        <v>8.182399318133389E-2</v>
      </c>
      <c r="V46" s="6">
        <f t="shared" si="1"/>
        <v>3.4945663754528018E-2</v>
      </c>
      <c r="W46" s="6">
        <f t="shared" si="1"/>
        <v>0.65160877903260173</v>
      </c>
      <c r="X46" s="6">
        <f t="shared" si="2"/>
        <v>1</v>
      </c>
      <c r="Y46" s="7">
        <f t="shared" si="3"/>
        <v>0.93799275516727043</v>
      </c>
      <c r="Z46" s="7">
        <f t="shared" si="4"/>
        <v>0.76837843596846378</v>
      </c>
      <c r="AA46" s="7">
        <f t="shared" si="4"/>
        <v>0.68655444278712985</v>
      </c>
      <c r="AB46" s="7">
        <f t="shared" si="4"/>
        <v>0.65160877903260184</v>
      </c>
      <c r="AC46" s="7">
        <f t="shared" si="4"/>
        <v>0</v>
      </c>
      <c r="AD46" s="7">
        <f t="shared" si="5"/>
        <v>0.76837843596846378</v>
      </c>
      <c r="AE46" s="8">
        <f t="shared" si="6"/>
        <v>92.73605732796409</v>
      </c>
      <c r="AF46" s="9">
        <v>0.34</v>
      </c>
      <c r="AG46" s="9">
        <v>0.28999999999999998</v>
      </c>
      <c r="AH46" s="9">
        <v>0.41</v>
      </c>
      <c r="AI46" s="9">
        <v>0.22</v>
      </c>
      <c r="AJ46" s="9">
        <v>0.54</v>
      </c>
      <c r="AK46" s="10">
        <f t="shared" si="7"/>
        <v>4.5497604179120958E-2</v>
      </c>
      <c r="AL46" s="10">
        <f t="shared" si="7"/>
        <v>0.10615187940881624</v>
      </c>
      <c r="AM46" s="10">
        <f t="shared" si="7"/>
        <v>7.2398855892063893E-2</v>
      </c>
      <c r="AN46" s="10">
        <f t="shared" si="7"/>
        <v>1.6591404475264644E-2</v>
      </c>
      <c r="AO46" s="10">
        <f t="shared" si="7"/>
        <v>0.75936025604473434</v>
      </c>
      <c r="AP46" s="10">
        <f t="shared" si="8"/>
        <v>0.95450239582087903</v>
      </c>
      <c r="AQ46" s="10">
        <f t="shared" si="9"/>
        <v>0.84835051641206283</v>
      </c>
      <c r="AR46" s="10">
        <f t="shared" si="9"/>
        <v>0.77595166051999898</v>
      </c>
      <c r="AS46" s="10">
        <f t="shared" si="9"/>
        <v>0.75936025604473434</v>
      </c>
      <c r="AT46" s="10">
        <f t="shared" si="9"/>
        <v>0</v>
      </c>
      <c r="AU46" s="10">
        <f t="shared" si="10"/>
        <v>0.84835051641206283</v>
      </c>
      <c r="AV46" s="11">
        <f t="shared" si="14"/>
        <v>57.57888955487698</v>
      </c>
    </row>
    <row r="47" spans="1:48" x14ac:dyDescent="0.25">
      <c r="A47" s="18"/>
      <c r="D47" s="14" t="s">
        <v>3</v>
      </c>
      <c r="E47" s="16"/>
      <c r="F47" s="16"/>
      <c r="G47" s="16"/>
      <c r="H47" s="16"/>
      <c r="I47" s="16"/>
      <c r="J47" s="16"/>
      <c r="K47" s="16"/>
      <c r="L47" s="16"/>
      <c r="M47" s="13">
        <v>53.9</v>
      </c>
      <c r="N47" s="13">
        <v>51</v>
      </c>
      <c r="O47" s="13">
        <v>39.799999999999997</v>
      </c>
      <c r="P47" s="13">
        <v>24</v>
      </c>
      <c r="Q47" s="13">
        <v>264.3</v>
      </c>
      <c r="R47" s="5">
        <f t="shared" si="0"/>
        <v>433</v>
      </c>
      <c r="S47" s="6">
        <f t="shared" si="1"/>
        <v>0.12448036951501154</v>
      </c>
      <c r="T47" s="6">
        <f t="shared" si="1"/>
        <v>0.11778290993071594</v>
      </c>
      <c r="U47" s="6">
        <f t="shared" si="1"/>
        <v>9.1916859122401842E-2</v>
      </c>
      <c r="V47" s="6">
        <f t="shared" si="1"/>
        <v>5.5427251732101619E-2</v>
      </c>
      <c r="W47" s="6">
        <f t="shared" si="1"/>
        <v>0.61039260969976905</v>
      </c>
      <c r="X47" s="6">
        <f t="shared" si="2"/>
        <v>1</v>
      </c>
      <c r="Y47" s="7">
        <f t="shared" si="3"/>
        <v>0.87551963048498849</v>
      </c>
      <c r="Z47" s="7">
        <f t="shared" si="4"/>
        <v>0.75773672055427255</v>
      </c>
      <c r="AA47" s="7">
        <f t="shared" si="4"/>
        <v>0.66581986143187066</v>
      </c>
      <c r="AB47" s="7">
        <f t="shared" si="4"/>
        <v>0.61039260969976905</v>
      </c>
      <c r="AC47" s="7">
        <f t="shared" si="4"/>
        <v>0</v>
      </c>
      <c r="AD47" s="7">
        <f t="shared" si="5"/>
        <v>0.75773672055427255</v>
      </c>
      <c r="AE47" s="8">
        <f t="shared" si="6"/>
        <v>108.2607522154899</v>
      </c>
      <c r="AF47" s="9">
        <v>0.32</v>
      </c>
      <c r="AG47" s="9">
        <v>0.31</v>
      </c>
      <c r="AH47" s="9">
        <v>0.66</v>
      </c>
      <c r="AI47" s="9">
        <v>0.5</v>
      </c>
      <c r="AJ47" s="9">
        <v>0.74</v>
      </c>
      <c r="AK47" s="10">
        <f t="shared" si="7"/>
        <v>6.4621517526638389E-2</v>
      </c>
      <c r="AL47" s="10">
        <f t="shared" si="7"/>
        <v>5.9233893326539479E-2</v>
      </c>
      <c r="AM47" s="10">
        <f t="shared" si="7"/>
        <v>9.8415933580109999E-2</v>
      </c>
      <c r="AN47" s="10">
        <f t="shared" si="7"/>
        <v>4.4959311822800364E-2</v>
      </c>
      <c r="AO47" s="10">
        <f t="shared" si="7"/>
        <v>0.73276934374391167</v>
      </c>
      <c r="AP47" s="10">
        <f t="shared" si="8"/>
        <v>0.93537848247336164</v>
      </c>
      <c r="AQ47" s="10">
        <f t="shared" si="9"/>
        <v>0.87614458914682214</v>
      </c>
      <c r="AR47" s="10">
        <f t="shared" si="9"/>
        <v>0.77772865556671211</v>
      </c>
      <c r="AS47" s="10">
        <f t="shared" si="9"/>
        <v>0.73276934374391178</v>
      </c>
      <c r="AT47" s="10">
        <f t="shared" si="9"/>
        <v>0</v>
      </c>
      <c r="AU47" s="10">
        <f t="shared" si="10"/>
        <v>0.87614458914682214</v>
      </c>
      <c r="AV47" s="11">
        <f t="shared" si="14"/>
        <v>61.634058856356376</v>
      </c>
    </row>
    <row r="48" spans="1:48" x14ac:dyDescent="0.25">
      <c r="A48" s="18" t="s">
        <v>2</v>
      </c>
      <c r="D48" s="14" t="s">
        <v>1</v>
      </c>
      <c r="E48" s="16"/>
      <c r="F48" s="16"/>
      <c r="G48" s="16"/>
      <c r="H48" s="16"/>
      <c r="I48" s="16"/>
      <c r="J48" s="16"/>
      <c r="K48" s="16"/>
      <c r="L48" s="16"/>
      <c r="M48" s="13">
        <v>51.2</v>
      </c>
      <c r="N48" s="13">
        <v>97.4</v>
      </c>
      <c r="O48" s="13">
        <v>31.8</v>
      </c>
      <c r="P48" s="13">
        <v>15.1</v>
      </c>
      <c r="Q48" s="13">
        <v>277</v>
      </c>
      <c r="R48" s="5">
        <f t="shared" si="0"/>
        <v>472.5</v>
      </c>
      <c r="S48" s="6">
        <f t="shared" si="1"/>
        <v>0.10835978835978836</v>
      </c>
      <c r="T48" s="6">
        <f t="shared" si="1"/>
        <v>0.20613756613756615</v>
      </c>
      <c r="U48" s="6">
        <f t="shared" si="1"/>
        <v>6.7301587301587307E-2</v>
      </c>
      <c r="V48" s="6">
        <f t="shared" si="1"/>
        <v>3.1957671957671956E-2</v>
      </c>
      <c r="W48" s="6">
        <f t="shared" si="1"/>
        <v>0.58624338624338623</v>
      </c>
      <c r="X48" s="6">
        <f t="shared" si="2"/>
        <v>1</v>
      </c>
      <c r="Y48" s="7">
        <f t="shared" si="3"/>
        <v>0.89164021164021168</v>
      </c>
      <c r="Z48" s="7">
        <f t="shared" si="4"/>
        <v>0.6855026455026455</v>
      </c>
      <c r="AA48" s="7">
        <f t="shared" si="4"/>
        <v>0.6182010582010582</v>
      </c>
      <c r="AB48" s="7">
        <f t="shared" si="4"/>
        <v>0.58624338624338623</v>
      </c>
      <c r="AC48" s="7">
        <f t="shared" si="4"/>
        <v>0</v>
      </c>
      <c r="AD48" s="7">
        <f t="shared" si="5"/>
        <v>0.6855026455026455</v>
      </c>
      <c r="AE48" s="8">
        <f t="shared" si="6"/>
        <v>116.13261024072796</v>
      </c>
      <c r="AF48" s="9">
        <v>0.53</v>
      </c>
      <c r="AG48" s="9">
        <v>0.32</v>
      </c>
      <c r="AH48" s="9">
        <v>0.65</v>
      </c>
      <c r="AI48" s="9">
        <v>0.33</v>
      </c>
      <c r="AJ48" s="9">
        <v>0.74</v>
      </c>
      <c r="AK48" s="10">
        <f t="shared" si="7"/>
        <v>9.3916666955080177E-2</v>
      </c>
      <c r="AL48" s="10">
        <f t="shared" si="7"/>
        <v>0.10787126605453784</v>
      </c>
      <c r="AM48" s="10">
        <f t="shared" si="7"/>
        <v>7.1538086157189984E-2</v>
      </c>
      <c r="AN48" s="10">
        <f t="shared" si="7"/>
        <v>1.7245974035862491E-2</v>
      </c>
      <c r="AO48" s="10">
        <f t="shared" si="7"/>
        <v>0.70942800679732942</v>
      </c>
      <c r="AP48" s="10">
        <f t="shared" si="8"/>
        <v>0.90608333304491984</v>
      </c>
      <c r="AQ48" s="10">
        <f t="shared" si="9"/>
        <v>0.79821206699038205</v>
      </c>
      <c r="AR48" s="10">
        <f t="shared" si="9"/>
        <v>0.72667398083319212</v>
      </c>
      <c r="AS48" s="10">
        <f t="shared" si="9"/>
        <v>0.70942800679732965</v>
      </c>
      <c r="AT48" s="10">
        <f t="shared" si="9"/>
        <v>0</v>
      </c>
      <c r="AU48" s="10">
        <f t="shared" si="10"/>
        <v>0.79821206699038205</v>
      </c>
      <c r="AV48" s="11">
        <f t="shared" si="14"/>
        <v>85.691849004673486</v>
      </c>
    </row>
    <row r="49" spans="1:48" x14ac:dyDescent="0.25">
      <c r="A49" s="18"/>
      <c r="D49" s="14" t="s">
        <v>0</v>
      </c>
      <c r="E49" s="16"/>
      <c r="F49" s="16"/>
      <c r="G49" s="16"/>
      <c r="H49" s="16"/>
      <c r="I49" s="16"/>
      <c r="J49" s="16"/>
      <c r="K49" s="16"/>
      <c r="L49" s="16"/>
      <c r="M49" s="13">
        <v>7.8</v>
      </c>
      <c r="N49" s="13">
        <v>46.6</v>
      </c>
      <c r="O49" s="13">
        <v>31.7</v>
      </c>
      <c r="P49" s="13">
        <v>10.199999999999999</v>
      </c>
      <c r="Q49" s="13">
        <v>264.39999999999998</v>
      </c>
      <c r="R49" s="5">
        <f t="shared" si="0"/>
        <v>360.7</v>
      </c>
      <c r="S49" s="6">
        <f t="shared" si="1"/>
        <v>2.1624618796784033E-2</v>
      </c>
      <c r="T49" s="6">
        <f t="shared" si="1"/>
        <v>0.12919323537565844</v>
      </c>
      <c r="U49" s="6">
        <f t="shared" si="1"/>
        <v>8.7884668699750493E-2</v>
      </c>
      <c r="V49" s="6">
        <f t="shared" si="1"/>
        <v>2.8278347657332961E-2</v>
      </c>
      <c r="W49" s="6">
        <f t="shared" si="1"/>
        <v>0.73301912947047398</v>
      </c>
      <c r="X49" s="6">
        <f t="shared" si="2"/>
        <v>0.99999999999999989</v>
      </c>
      <c r="Y49" s="7">
        <f t="shared" si="3"/>
        <v>0.97837538120321599</v>
      </c>
      <c r="Z49" s="7">
        <f t="shared" si="4"/>
        <v>0.84918214582755758</v>
      </c>
      <c r="AA49" s="7">
        <f t="shared" si="4"/>
        <v>0.76129747712780704</v>
      </c>
      <c r="AB49" s="7">
        <f t="shared" si="4"/>
        <v>0.7330191294704741</v>
      </c>
      <c r="AC49" s="7">
        <f t="shared" si="4"/>
        <v>0</v>
      </c>
      <c r="AD49" s="7">
        <f t="shared" si="5"/>
        <v>0.84918214582755758</v>
      </c>
      <c r="AE49" s="8">
        <f t="shared" si="6"/>
        <v>63.308685189512858</v>
      </c>
      <c r="AF49" s="9">
        <v>4.1580882352941169E-2</v>
      </c>
      <c r="AG49" s="9">
        <v>0.24841911764705882</v>
      </c>
      <c r="AH49" s="9">
        <v>0.38584725536992842</v>
      </c>
      <c r="AI49" s="9">
        <v>0.1241527446300716</v>
      </c>
      <c r="AJ49" s="9">
        <v>0.45</v>
      </c>
      <c r="AK49" s="10">
        <f t="shared" si="7"/>
        <v>2.2463951139757919E-3</v>
      </c>
      <c r="AL49" s="10">
        <f t="shared" si="7"/>
        <v>8.0180502526385145E-2</v>
      </c>
      <c r="AM49" s="10">
        <f t="shared" si="7"/>
        <v>8.4717380714506921E-2</v>
      </c>
      <c r="AN49" s="10">
        <f t="shared" si="7"/>
        <v>8.771105583235279E-3</v>
      </c>
      <c r="AO49" s="10">
        <f t="shared" si="7"/>
        <v>0.82408461606189687</v>
      </c>
      <c r="AP49" s="10">
        <f t="shared" si="8"/>
        <v>0.99775360488602416</v>
      </c>
      <c r="AQ49" s="10">
        <f t="shared" si="9"/>
        <v>0.91757310235963896</v>
      </c>
      <c r="AR49" s="10">
        <f t="shared" si="9"/>
        <v>0.832855721645132</v>
      </c>
      <c r="AS49" s="10">
        <f t="shared" si="9"/>
        <v>0.82408461606189676</v>
      </c>
      <c r="AT49" s="10">
        <f t="shared" si="9"/>
        <v>0</v>
      </c>
      <c r="AU49" s="10">
        <f t="shared" si="10"/>
        <v>0.91757310235963896</v>
      </c>
      <c r="AV49" s="11">
        <f t="shared" si="14"/>
        <v>20.552754511044157</v>
      </c>
    </row>
  </sheetData>
  <mergeCells count="6">
    <mergeCell ref="A48:A49"/>
    <mergeCell ref="A5:A16"/>
    <mergeCell ref="A17:A29"/>
    <mergeCell ref="A30:A39"/>
    <mergeCell ref="A40:A43"/>
    <mergeCell ref="A44:A4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cf1de2-953e-4015-92ed-dc84a6540674">
      <Terms xmlns="http://schemas.microsoft.com/office/infopath/2007/PartnerControls"/>
    </lcf76f155ced4ddcb4097134ff3c332f>
    <TaxCatchAll xmlns="e5576cbc-d93b-49e8-ba28-e17804bdd47b" xsi:nil="true"/>
    <uploader xmlns="eecf1de2-953e-4015-92ed-dc84a6540674">
      <UserInfo>
        <DisplayName/>
        <AccountId xsi:nil="true"/>
        <AccountType/>
      </UserInfo>
    </uploader>
    <_ip_UnifiedCompliancePolicyUIAction xmlns="http://schemas.microsoft.com/sharepoint/v3" xsi:nil="true"/>
    <UpdatedBy xmlns="eecf1de2-953e-4015-92ed-dc84a6540674">
      <UserInfo>
        <DisplayName/>
        <AccountId xsi:nil="true"/>
        <AccountType/>
      </UserInfo>
    </UpdatedBy>
    <Site xmlns="eecf1de2-953e-4015-92ed-dc84a6540674" xsi:nil="true"/>
    <Region xmlns="eecf1de2-953e-4015-92ed-dc84a6540674" xsi:nil="true"/>
    <_ip_UnifiedCompliancePolicyProperties xmlns="http://schemas.microsoft.com/sharepoint/v3" xsi:nil="true"/>
    <Processed xmlns="eecf1de2-953e-4015-92ed-dc84a6540674">false</Processed>
    <Dateandtime xmlns="eecf1de2-953e-4015-92ed-dc84a6540674" xsi:nil="true"/>
    <Date xmlns="eecf1de2-953e-4015-92ed-dc84a6540674" xsi:nil="true"/>
    <Country xmlns="eecf1de2-953e-4015-92ed-dc84a6540674" xsi:nil="true"/>
    <Comments xmlns="eecf1de2-953e-4015-92ed-dc84a6540674" xsi:nil="true"/>
    <Company xmlns="eecf1de2-953e-4015-92ed-dc84a65406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E778D7DC1EB4EBF1F7B85A888B0A1" ma:contentTypeVersion="34" ma:contentTypeDescription="Create a new document." ma:contentTypeScope="" ma:versionID="b02ae091b793fdf05a75d280c7351eb0">
  <xsd:schema xmlns:xsd="http://www.w3.org/2001/XMLSchema" xmlns:xs="http://www.w3.org/2001/XMLSchema" xmlns:p="http://schemas.microsoft.com/office/2006/metadata/properties" xmlns:ns1="http://schemas.microsoft.com/sharepoint/v3" xmlns:ns2="eecf1de2-953e-4015-92ed-dc84a6540674" xmlns:ns3="e5576cbc-d93b-49e8-ba28-e17804bdd47b" targetNamespace="http://schemas.microsoft.com/office/2006/metadata/properties" ma:root="true" ma:fieldsID="4bcd6afa5d3e20589a6fa573053c7b8b" ns1:_="" ns2:_="" ns3:_="">
    <xsd:import namespace="http://schemas.microsoft.com/sharepoint/v3"/>
    <xsd:import namespace="eecf1de2-953e-4015-92ed-dc84a6540674"/>
    <xsd:import namespace="e5576cbc-d93b-49e8-ba28-e17804bdd47b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2:Comments" minOccurs="0"/>
                <xsd:element ref="ns2:Region" minOccurs="0"/>
                <xsd:element ref="ns2:Country" minOccurs="0"/>
                <xsd:element ref="ns2:Company" minOccurs="0"/>
                <xsd:element ref="ns2:Site" minOccurs="0"/>
                <xsd:element ref="ns2:Processed" minOccurs="0"/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UIActio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UpdatedBy" minOccurs="0"/>
                <xsd:element ref="ns2:Dateandtime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uploade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f1de2-953e-4015-92ed-dc84a6540674" elementFormDefault="qualified">
    <xsd:import namespace="http://schemas.microsoft.com/office/2006/documentManagement/types"/>
    <xsd:import namespace="http://schemas.microsoft.com/office/infopath/2007/PartnerControls"/>
    <xsd:element name="Comments" ma:index="3" nillable="true" ma:displayName="Comments" ma:description="Comments about this document" ma:format="Dropdown" ma:internalName="Comments">
      <xsd:simpleType>
        <xsd:restriction base="dms:Note">
          <xsd:maxLength value="255"/>
        </xsd:restriction>
      </xsd:simpleType>
    </xsd:element>
    <xsd:element name="Region" ma:index="4" nillable="true" ma:displayName="Region" ma:format="Dropdown" ma:internalName="Region">
      <xsd:simpleType>
        <xsd:restriction base="dms:Text">
          <xsd:maxLength value="255"/>
        </xsd:restriction>
      </xsd:simpleType>
    </xsd:element>
    <xsd:element name="Country" ma:index="5" nillable="true" ma:displayName="Country" ma:format="Dropdown" ma:internalName="Country">
      <xsd:simpleType>
        <xsd:restriction base="dms:Text">
          <xsd:maxLength value="255"/>
        </xsd:restriction>
      </xsd:simpleType>
    </xsd:element>
    <xsd:element name="Company" ma:index="6" nillable="true" ma:displayName="Company" ma:format="Dropdown" ma:internalName="Company">
      <xsd:simpleType>
        <xsd:restriction base="dms:Text">
          <xsd:maxLength value="255"/>
        </xsd:restriction>
      </xsd:simpleType>
    </xsd:element>
    <xsd:element name="Site" ma:index="7" nillable="true" ma:displayName="Site" ma:format="Dropdown" ma:internalName="Site">
      <xsd:simpleType>
        <xsd:restriction base="dms:Text">
          <xsd:maxLength value="255"/>
        </xsd:restriction>
      </xsd:simpleType>
    </xsd:element>
    <xsd:element name="Processed" ma:index="8" nillable="true" ma:displayName="Processed" ma:default="0" ma:description="processed to summary" ma:internalName="Processed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UpdatedBy" ma:index="28" nillable="true" ma:displayName="Updated By" ma:format="Dropdown" ma:list="UserInfo" ma:SharePointGroup="0" ma:internalName="Upd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andtime" ma:index="29" nillable="true" ma:displayName="Date and time" ma:format="DateTime" ma:internalName="Dateandtime">
      <xsd:simpleType>
        <xsd:restriction base="dms:DateTime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Date" ma:index="31" nillable="true" ma:displayName="Date" ma:format="DateOnly" ma:internalName="Date">
      <xsd:simpleType>
        <xsd:restriction base="dms:DateTime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b05a25e7-b7a3-4eb0-b37c-e68149f85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uploader" ma:index="35" nillable="true" ma:displayName="uploader" ma:format="Dropdown" ma:list="UserInfo" ma:SharePointGroup="0" ma:internalName="upload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76cbc-d93b-49e8-ba28-e17804bdd47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4" nillable="true" ma:displayName="Taxonomy Catch All Column" ma:hidden="true" ma:list="{1d7eddff-b8ea-4540-b77f-9e05995c3c18}" ma:internalName="TaxCatchAll" ma:showField="CatchAllData" ma:web="e5576cbc-d93b-49e8-ba28-e17804bdd4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A68BDA-AFDF-424B-BC35-A987E56D1B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6DEF31-9176-4369-99F3-3F3344EAA4F2}">
  <ds:schemaRefs>
    <ds:schemaRef ds:uri="http://www.w3.org/XML/1998/namespace"/>
    <ds:schemaRef ds:uri="eecf1de2-953e-4015-92ed-dc84a6540674"/>
    <ds:schemaRef ds:uri="http://schemas.microsoft.com/sharepoint/v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5576cbc-d93b-49e8-ba28-e17804bdd47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C974CBD-9C74-4A37-9FCD-F2A5F4DB0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cf1de2-953e-4015-92ed-dc84a6540674"/>
    <ds:schemaRef ds:uri="e5576cbc-d93b-49e8-ba28-e17804bdd4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Watkins</dc:creator>
  <cp:keywords/>
  <dc:description/>
  <cp:lastModifiedBy>Eden Paki</cp:lastModifiedBy>
  <cp:revision/>
  <dcterms:created xsi:type="dcterms:W3CDTF">2024-12-04T02:33:10Z</dcterms:created>
  <dcterms:modified xsi:type="dcterms:W3CDTF">2025-07-11T23:53:33Z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0x010100B47E778D7DC1EB4EBF1F7B85A888B0A1</vt:lpwstr>
  </property>
  <property fmtid="{D5CDD505-2E9C-101B-9397-08002B2CF9AE}" pid="3" name="MediaServiceImageTags">
    <vt:lpwstr/>
  </property>
  <property fmtid="{D5CDD505-2E9C-101B-9397-08002B2CF9AE}" pid="4" name="MSIP_Label_77742a09-bfb0-4510-9e26-b9837db26482_Enabled">
    <vt:lpwstr>true</vt:lpwstr>
  </property>
  <property fmtid="{D5CDD505-2E9C-101B-9397-08002B2CF9AE}" pid="5" name="MSIP_Label_77742a09-bfb0-4510-9e26-b9837db26482_SetDate">
    <vt:lpwstr>2024-12-09T09:23:54Z</vt:lpwstr>
  </property>
  <property fmtid="{D5CDD505-2E9C-101B-9397-08002B2CF9AE}" pid="6" name="MSIP_Label_77742a09-bfb0-4510-9e26-b9837db26482_Method">
    <vt:lpwstr>Privileged</vt:lpwstr>
  </property>
  <property fmtid="{D5CDD505-2E9C-101B-9397-08002B2CF9AE}" pid="7" name="MSIP_Label_77742a09-bfb0-4510-9e26-b9837db26482_Name">
    <vt:lpwstr>General</vt:lpwstr>
  </property>
  <property fmtid="{D5CDD505-2E9C-101B-9397-08002B2CF9AE}" pid="8" name="MSIP_Label_77742a09-bfb0-4510-9e26-b9837db26482_SiteId">
    <vt:lpwstr>a21a716e-fb9a-45c0-b997-e26360b0a3a1</vt:lpwstr>
  </property>
  <property fmtid="{D5CDD505-2E9C-101B-9397-08002B2CF9AE}" pid="9" name="MSIP_Label_77742a09-bfb0-4510-9e26-b9837db26482_ActionId">
    <vt:lpwstr>0ddf2908-6806-48ec-a483-c91e366c8055</vt:lpwstr>
  </property>
  <property fmtid="{D5CDD505-2E9C-101B-9397-08002B2CF9AE}" pid="10" name="MSIP_Label_77742a09-bfb0-4510-9e26-b9837db26482_ContentBits">
    <vt:lpwstr>2</vt:lpwstr>
  </property>
</Properties>
</file>