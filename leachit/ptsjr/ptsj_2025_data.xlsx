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8_{B4960C80-3014-49DE-A88E-39B2734D0937}" xr6:coauthVersionLast="47" xr6:coauthVersionMax="47" xr10:uidLastSave="{00000000-0000-0000-0000-000000000000}"/>
  <bookViews>
    <workbookView xWindow="-120" yWindow="-120" windowWidth="29040" windowHeight="15720" xr2:uid="{19BC46D0-4278-4EFC-BE32-E0AADB4D0991}"/>
  </bookViews>
  <sheets>
    <sheet name="Grade" sheetId="4" r:id="rId1"/>
    <sheet name="Jan 25" sheetId="1" r:id="rId2"/>
    <sheet name="Feb 25" sheetId="2" r:id="rId3"/>
    <sheet name="Mar 25" sheetId="3" r:id="rId4"/>
    <sheet name="April 25" sheetId="5" r:id="rId5"/>
  </sheets>
  <externalReferences>
    <externalReference r:id="rId6"/>
    <externalReference r:id="rId7"/>
    <externalReference r:id="rId8"/>
    <externalReference r:id="rId9"/>
  </externalReferences>
  <definedNames>
    <definedName name="\Convergence">1000000</definedName>
    <definedName name="\IterationCount">0</definedName>
    <definedName name="\WorstStream">" "</definedName>
    <definedName name="__123Graph_A" localSheetId="2" hidden="1">#REF!</definedName>
    <definedName name="__123Graph_A" localSheetId="3" hidden="1">#REF!</definedName>
    <definedName name="__123Graph_A" hidden="1">#REF!</definedName>
    <definedName name="__123Graph_ANORMAL" localSheetId="2" hidden="1">#REF!</definedName>
    <definedName name="__123Graph_ANORMAL" localSheetId="3" hidden="1">#REF!</definedName>
    <definedName name="__123Graph_ANORMAL" hidden="1">#REF!</definedName>
    <definedName name="__123Graph_X" localSheetId="2" hidden="1">#REF!</definedName>
    <definedName name="__123Graph_X" localSheetId="3" hidden="1">#REF!</definedName>
    <definedName name="__123Graph_X" hidden="1">#REF!</definedName>
    <definedName name="__123Graph_XNORMAL" localSheetId="2" hidden="1">#REF!</definedName>
    <definedName name="__123Graph_XNORMAL" localSheetId="3" hidden="1">#REF!</definedName>
    <definedName name="__123Graph_XNORMAL" hidden="1">#REF!</definedName>
    <definedName name="_CCD1" localSheetId="2">#REF!</definedName>
    <definedName name="_CCD1" localSheetId="3">#REF!</definedName>
    <definedName name="_CCD1">#REF!</definedName>
    <definedName name="_CCD2" localSheetId="2">#REF!</definedName>
    <definedName name="_CCD2" localSheetId="3">#REF!</definedName>
    <definedName name="_CCD2">#REF!</definedName>
    <definedName name="_dddd12" localSheetId="2">#REF!</definedName>
    <definedName name="_dddd12" localSheetId="3">#REF!</definedName>
    <definedName name="_dddd12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hidden="1">#REF!</definedName>
    <definedName name="_ofp80" localSheetId="2">#REF!</definedName>
    <definedName name="_ofp80" localSheetId="3">#REF!</definedName>
    <definedName name="_ofp80">#REF!</definedName>
    <definedName name="_Order1" hidden="1">0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hidden="1">#REF!</definedName>
    <definedName name="_Sort" localSheetId="2" hidden="1">#REF!</definedName>
    <definedName name="_Sort" localSheetId="3" hidden="1">#REF!</definedName>
    <definedName name="_Sort" hidden="1">#REF!</definedName>
    <definedName name="_Table2_In1" localSheetId="2" hidden="1">#REF!</definedName>
    <definedName name="_Table2_In1" localSheetId="3" hidden="1">#REF!</definedName>
    <definedName name="_Table2_In1" hidden="1">#REF!</definedName>
    <definedName name="_Table2_In2" localSheetId="2" hidden="1">#REF!</definedName>
    <definedName name="_Table2_In2" localSheetId="3" hidden="1">#REF!</definedName>
    <definedName name="_Table2_In2" hidden="1">#REF!</definedName>
    <definedName name="_Table2_Out" localSheetId="2" hidden="1">#REF!</definedName>
    <definedName name="_Table2_Out" localSheetId="3" hidden="1">#REF!</definedName>
    <definedName name="_Table2_Out" hidden="1">#REF!</definedName>
    <definedName name="_TFS1" localSheetId="2">#REF!</definedName>
    <definedName name="_TFS1" localSheetId="3">#REF!</definedName>
    <definedName name="_TFS1">#REF!</definedName>
    <definedName name="_TFS2" localSheetId="2">#REF!</definedName>
    <definedName name="_TFS2" localSheetId="3">#REF!</definedName>
    <definedName name="_TFS2">#REF!</definedName>
    <definedName name="a" localSheetId="4" hidden="1">{#N/A,#N/A,FALSE,"Summary";#N/A,#N/A,FALSE,"Schedule";#N/A,#N/A,FALSE,"Revenue";#N/A,#N/A,FALSE,"Costs";#N/A,#N/A,FALSE,"Plant Sch";#N/A,#N/A,FALSE,"Plant Cost";#N/A,#N/A,FALSE,"Labour"}</definedName>
    <definedName name="a" localSheetId="2" hidden="1">{#N/A,#N/A,FALSE,"Summary";#N/A,#N/A,FALSE,"Schedule";#N/A,#N/A,FALSE,"Revenue";#N/A,#N/A,FALSE,"Costs";#N/A,#N/A,FALSE,"Plant Sch";#N/A,#N/A,FALSE,"Plant Cost";#N/A,#N/A,FALSE,"Labour"}</definedName>
    <definedName name="a" localSheetId="1" hidden="1">{#N/A,#N/A,FALSE,"Summary";#N/A,#N/A,FALSE,"Schedule";#N/A,#N/A,FALSE,"Revenue";#N/A,#N/A,FALSE,"Costs";#N/A,#N/A,FALSE,"Plant Sch";#N/A,#N/A,FALSE,"Plant Cost";#N/A,#N/A,FALSE,"Labour"}</definedName>
    <definedName name="a" localSheetId="3" hidden="1">{#N/A,#N/A,FALSE,"Summary";#N/A,#N/A,FALSE,"Schedule";#N/A,#N/A,FALSE,"Revenue";#N/A,#N/A,FALSE,"Costs";#N/A,#N/A,FALSE,"Plant Sch";#N/A,#N/A,FALSE,"Plant Cost";#N/A,#N/A,FALSE,"Labour"}</definedName>
    <definedName name="a" hidden="1">{#N/A,#N/A,FALSE,"Summary";#N/A,#N/A,FALSE,"Schedule";#N/A,#N/A,FALSE,"Revenue";#N/A,#N/A,FALSE,"Costs";#N/A,#N/A,FALSE,"Plant Sch";#N/A,#N/A,FALSE,"Plant Cost";#N/A,#N/A,FALSE,"Labour"}</definedName>
    <definedName name="aaa" localSheetId="2">#REF!</definedName>
    <definedName name="aaa" localSheetId="3">#REF!</definedName>
    <definedName name="aaa">#REF!</definedName>
    <definedName name="AEClrkSec" localSheetId="2">#REF!</definedName>
    <definedName name="AEClrkSec" localSheetId="3">#REF!</definedName>
    <definedName name="AEClrkSec">#REF!</definedName>
    <definedName name="AEDesnDmn" localSheetId="2">#REF!</definedName>
    <definedName name="AEDesnDmn" localSheetId="3">#REF!</definedName>
    <definedName name="AEDesnDmn">#REF!</definedName>
    <definedName name="AEDesnEng" localSheetId="2">#REF!</definedName>
    <definedName name="AEDesnEng" localSheetId="3">#REF!</definedName>
    <definedName name="AEDesnEng">#REF!</definedName>
    <definedName name="AEDetlDmn" localSheetId="2">#REF!</definedName>
    <definedName name="AEDetlDmn" localSheetId="3">#REF!</definedName>
    <definedName name="AEDetlDmn">#REF!</definedName>
    <definedName name="AEDir" localSheetId="2">#REF!</definedName>
    <definedName name="AEDir" localSheetId="3">#REF!</definedName>
    <definedName name="AEDir">#REF!</definedName>
    <definedName name="AEProjMgr" localSheetId="2">#REF!</definedName>
    <definedName name="AEProjMgr" localSheetId="3">#REF!</definedName>
    <definedName name="AEProjMgr">#REF!</definedName>
    <definedName name="AESiteMgr" localSheetId="2">#REF!</definedName>
    <definedName name="AESiteMgr" localSheetId="3">#REF!</definedName>
    <definedName name="AESiteMgr">#REF!</definedName>
    <definedName name="AESnrEngr" localSheetId="2">#REF!</definedName>
    <definedName name="AESnrEngr" localSheetId="3">#REF!</definedName>
    <definedName name="AESnrEngr">#REF!</definedName>
    <definedName name="AESnrMgr" localSheetId="2">#REF!</definedName>
    <definedName name="AESnrMgr" localSheetId="3">#REF!</definedName>
    <definedName name="AESnrMgr">#REF!</definedName>
    <definedName name="Area_No." localSheetId="2">#REF!</definedName>
    <definedName name="Area_No." localSheetId="3">#REF!</definedName>
    <definedName name="Area_No.">#REF!</definedName>
    <definedName name="AreaHdr" localSheetId="2">#REF!</definedName>
    <definedName name="AreaHdr" localSheetId="3">#REF!</definedName>
    <definedName name="AreaHdr">#REF!</definedName>
    <definedName name="AreaLabel" localSheetId="2">#REF!</definedName>
    <definedName name="AreaLabel" localSheetId="3">#REF!</definedName>
    <definedName name="AreaLabel">#REF!</definedName>
    <definedName name="asdasd" localSheetId="2">#REF!</definedName>
    <definedName name="asdasd" localSheetId="3">#REF!</definedName>
    <definedName name="asdasd">#REF!</definedName>
    <definedName name="Author" localSheetId="2">#REF!</definedName>
    <definedName name="Author" localSheetId="3">#REF!</definedName>
    <definedName name="Author">#REF!</definedName>
    <definedName name="AVAILLABILTY_POWER_AREA" localSheetId="2">#REF!</definedName>
    <definedName name="AVAILLABILTY_POWER_AREA" localSheetId="3">#REF!</definedName>
    <definedName name="AVAILLABILTY_POWER_AREA">#REF!</definedName>
    <definedName name="b" localSheetId="4" hidden="1">{"MANNING 1",#N/A,FALSE,"Manning";"MANNING 2",#N/A,FALSE,"Manning";"MANNING 3",#N/A,FALSE,"Manning"}</definedName>
    <definedName name="b" localSheetId="2" hidden="1">{"MANNING 1",#N/A,FALSE,"Manning";"MANNING 2",#N/A,FALSE,"Manning";"MANNING 3",#N/A,FALSE,"Manning"}</definedName>
    <definedName name="b" localSheetId="1" hidden="1">{"MANNING 1",#N/A,FALSE,"Manning";"MANNING 2",#N/A,FALSE,"Manning";"MANNING 3",#N/A,FALSE,"Manning"}</definedName>
    <definedName name="b" localSheetId="3" hidden="1">{"MANNING 1",#N/A,FALSE,"Manning";"MANNING 2",#N/A,FALSE,"Manning";"MANNING 3",#N/A,FALSE,"Manning"}</definedName>
    <definedName name="b" hidden="1">{"MANNING 1",#N/A,FALSE,"Manning";"MANNING 2",#N/A,FALSE,"Manning";"MANNING 3",#N/A,FALSE,"Manning"}</definedName>
    <definedName name="BackFill" localSheetId="2">#REF!</definedName>
    <definedName name="BackFill" localSheetId="3">#REF!</definedName>
    <definedName name="BackFill">#REF!</definedName>
    <definedName name="BarGridWA253" localSheetId="2">#REF!</definedName>
    <definedName name="BarGridWA253" localSheetId="3">#REF!</definedName>
    <definedName name="BarGridWA253">#REF!</definedName>
    <definedName name="BINGHAM" localSheetId="2">#REF!</definedName>
    <definedName name="BINGHAM" localSheetId="3">#REF!</definedName>
    <definedName name="BINGHAM">#REF!</definedName>
    <definedName name="BldgMhr" localSheetId="2">#REF!</definedName>
    <definedName name="BldgMhr" localSheetId="3">#REF!</definedName>
    <definedName name="BldgMhr">#REF!</definedName>
    <definedName name="Blind25Mx50" localSheetId="2">#REF!</definedName>
    <definedName name="Blind25Mx50" localSheetId="3">#REF!</definedName>
    <definedName name="Blind25Mx50">#REF!</definedName>
    <definedName name="Blind25Mx75" localSheetId="2">#REF!</definedName>
    <definedName name="Blind25Mx75" localSheetId="3">#REF!</definedName>
    <definedName name="Blind25Mx75">#REF!</definedName>
    <definedName name="BRCPier750D" localSheetId="2">#REF!</definedName>
    <definedName name="BRCPier750D" localSheetId="3">#REF!</definedName>
    <definedName name="BRCPier750D">#REF!</definedName>
    <definedName name="Buildings" localSheetId="2">#REF!</definedName>
    <definedName name="Buildings" localSheetId="3">#REF!</definedName>
    <definedName name="Buildings">#REF!</definedName>
    <definedName name="Ca" localSheetId="2">#REF!</definedName>
    <definedName name="Ca" localSheetId="3">#REF!</definedName>
    <definedName name="Ca">#REF!</definedName>
    <definedName name="CABLE_2C_PVC" localSheetId="2">#REF!</definedName>
    <definedName name="CABLE_2C_PVC" localSheetId="3">#REF!</definedName>
    <definedName name="CABLE_2C_PVC">#REF!</definedName>
    <definedName name="CABLE_2C_SWA" localSheetId="2">#REF!</definedName>
    <definedName name="CABLE_2C_SWA" localSheetId="3">#REF!</definedName>
    <definedName name="CABLE_2C_SWA">#REF!</definedName>
    <definedName name="CABLE_3C_PVC" localSheetId="2">#REF!</definedName>
    <definedName name="CABLE_3C_PVC" localSheetId="3">#REF!</definedName>
    <definedName name="CABLE_3C_PVC">#REF!</definedName>
    <definedName name="CABLE_3C_SWA" localSheetId="2">#REF!</definedName>
    <definedName name="CABLE_3C_SWA" localSheetId="3">#REF!</definedName>
    <definedName name="CABLE_3C_SWA">#REF!</definedName>
    <definedName name="Cable_Length" localSheetId="2">#REF!</definedName>
    <definedName name="Cable_Length" localSheetId="3">#REF!</definedName>
    <definedName name="Cable_Length">#REF!</definedName>
    <definedName name="calc_title" localSheetId="2">#REF!</definedName>
    <definedName name="calc_title" localSheetId="3">#REF!</definedName>
    <definedName name="calc_title">#REF!</definedName>
    <definedName name="calcnumber" localSheetId="2">#REF!</definedName>
    <definedName name="calcnumber" localSheetId="3">#REF!</definedName>
    <definedName name="calcnumber">#REF!</definedName>
    <definedName name="Capital_Investment" localSheetId="2">#REF!</definedName>
    <definedName name="Capital_Investment" localSheetId="3">#REF!</definedName>
    <definedName name="Capital_Investment">#REF!</definedName>
    <definedName name="Carbon" localSheetId="2">#REF!</definedName>
    <definedName name="Carbon" localSheetId="3">#REF!</definedName>
    <definedName name="Carbon">#REF!</definedName>
    <definedName name="CBWorkbookPriority" hidden="1">-4406650</definedName>
    <definedName name="ccdlink" localSheetId="2">#REF!</definedName>
    <definedName name="ccdlink" localSheetId="3">#REF!</definedName>
    <definedName name="ccdlink">#REF!</definedName>
    <definedName name="ccdplace" localSheetId="2">#REF!</definedName>
    <definedName name="ccdplace" localSheetId="3">#REF!</definedName>
    <definedName name="ccdplace">#REF!</definedName>
    <definedName name="CExcavBeam" localSheetId="2">#REF!</definedName>
    <definedName name="CExcavBeam" localSheetId="3">#REF!</definedName>
    <definedName name="CExcavBeam">#REF!</definedName>
    <definedName name="CExcavPit" localSheetId="2">#REF!</definedName>
    <definedName name="CExcavPit" localSheetId="3">#REF!</definedName>
    <definedName name="CExcavPit">#REF!</definedName>
    <definedName name="CExcavTunnel" localSheetId="2">#REF!</definedName>
    <definedName name="CExcavTunnel" localSheetId="3">#REF!</definedName>
    <definedName name="CExcavTunnel">#REF!</definedName>
    <definedName name="checked" localSheetId="2">#REF!</definedName>
    <definedName name="checked" localSheetId="3">#REF!</definedName>
    <definedName name="checked">#REF!</definedName>
    <definedName name="CheckedBy" localSheetId="2">#REF!</definedName>
    <definedName name="CheckedBy" localSheetId="3">#REF!</definedName>
    <definedName name="CheckedBy">#REF!</definedName>
    <definedName name="CILREC" localSheetId="2">#REF!</definedName>
    <definedName name="CILREC" localSheetId="3">#REF!</definedName>
    <definedName name="CILREC">#REF!</definedName>
    <definedName name="circload" localSheetId="2">#REF!</definedName>
    <definedName name="circload" localSheetId="3">#REF!</definedName>
    <definedName name="circload">#REF!</definedName>
    <definedName name="Cl3EdgeForm" localSheetId="2">#REF!</definedName>
    <definedName name="Cl3EdgeForm" localSheetId="3">#REF!</definedName>
    <definedName name="Cl3EdgeForm">#REF!</definedName>
    <definedName name="Cl3SoffitForm" localSheetId="2">#REF!</definedName>
    <definedName name="Cl3SoffitForm" localSheetId="3">#REF!</definedName>
    <definedName name="Cl3SoffitForm">#REF!</definedName>
    <definedName name="Cl3WallForm" localSheetId="2">#REF!</definedName>
    <definedName name="Cl3WallForm" localSheetId="3">#REF!</definedName>
    <definedName name="Cl3WallForm">#REF!</definedName>
    <definedName name="classindex" localSheetId="2">#REF!</definedName>
    <definedName name="classindex" localSheetId="3">#REF!</definedName>
    <definedName name="classindex">#REF!</definedName>
    <definedName name="client_name" localSheetId="2">#REF!</definedName>
    <definedName name="client_name" localSheetId="3">#REF!</definedName>
    <definedName name="client_name">#REF!</definedName>
    <definedName name="ClientName" localSheetId="2">#REF!</definedName>
    <definedName name="ClientName" localSheetId="3">#REF!</definedName>
    <definedName name="ClientName">#REF!</definedName>
    <definedName name="ClrkAdm" localSheetId="2">#REF!</definedName>
    <definedName name="ClrkAdm" localSheetId="3">#REF!</definedName>
    <definedName name="ClrkAdm">#REF!</definedName>
    <definedName name="Co" localSheetId="2">#REF!</definedName>
    <definedName name="Co" localSheetId="3">#REF!</definedName>
    <definedName name="Co">#REF!</definedName>
    <definedName name="CommEng" localSheetId="2">#REF!</definedName>
    <definedName name="CommEng" localSheetId="3">#REF!</definedName>
    <definedName name="CommEng">#REF!</definedName>
    <definedName name="CommMgr" localSheetId="2">#REF!</definedName>
    <definedName name="CommMgr" localSheetId="3">#REF!</definedName>
    <definedName name="CommMgr">#REF!</definedName>
    <definedName name="CommodityRates" localSheetId="2">#REF!</definedName>
    <definedName name="CommodityRates" localSheetId="3">#REF!</definedName>
    <definedName name="CommodityRates">#REF!</definedName>
    <definedName name="Conc20MGutter" localSheetId="2">#REF!</definedName>
    <definedName name="Conc20MGutter" localSheetId="3">#REF!</definedName>
    <definedName name="Conc20MGutter">#REF!</definedName>
    <definedName name="Conc32MSlab" localSheetId="2">#REF!</definedName>
    <definedName name="Conc32MSlab" localSheetId="3">#REF!</definedName>
    <definedName name="Conc32MSlab">#REF!</definedName>
    <definedName name="Conc32MSleeper" localSheetId="2">#REF!</definedName>
    <definedName name="Conc32MSleeper" localSheetId="3">#REF!</definedName>
    <definedName name="Conc32MSleeper">#REF!</definedName>
    <definedName name="Conc40MBase" localSheetId="2">#REF!</definedName>
    <definedName name="Conc40MBase" localSheetId="3">#REF!</definedName>
    <definedName name="Conc40MBase">#REF!</definedName>
    <definedName name="Conc40MBeam" localSheetId="2">#REF!</definedName>
    <definedName name="Conc40MBeam" localSheetId="3">#REF!</definedName>
    <definedName name="Conc40MBeam">#REF!</definedName>
    <definedName name="Conc40MPileCap" localSheetId="2">#REF!</definedName>
    <definedName name="Conc40MPileCap" localSheetId="3">#REF!</definedName>
    <definedName name="Conc40MPileCap">#REF!</definedName>
    <definedName name="Conc40MRoof" localSheetId="2">#REF!</definedName>
    <definedName name="Conc40MRoof" localSheetId="3">#REF!</definedName>
    <definedName name="Conc40MRoof">#REF!</definedName>
    <definedName name="Conc40MStrip" localSheetId="2">#REF!</definedName>
    <definedName name="Conc40MStrip" localSheetId="3">#REF!</definedName>
    <definedName name="Conc40MStrip">#REF!</definedName>
    <definedName name="Conc40MWall" localSheetId="2">#REF!</definedName>
    <definedName name="Conc40MWall" localSheetId="3">#REF!</definedName>
    <definedName name="Conc40MWall">#REF!</definedName>
    <definedName name="Concrete" localSheetId="2">#REF!</definedName>
    <definedName name="Concrete" localSheetId="3">#REF!</definedName>
    <definedName name="Concrete">#REF!</definedName>
    <definedName name="ConcreteElement" localSheetId="2">#REF!</definedName>
    <definedName name="ConcreteElement" localSheetId="3">#REF!</definedName>
    <definedName name="ConcreteElement">#REF!</definedName>
    <definedName name="ConsEng" localSheetId="2">#REF!</definedName>
    <definedName name="ConsEng" localSheetId="3">#REF!</definedName>
    <definedName name="ConsEng">#REF!</definedName>
    <definedName name="ConsMgr" localSheetId="2">#REF!</definedName>
    <definedName name="ConsMgr" localSheetId="3">#REF!</definedName>
    <definedName name="ConsMgr">#REF!</definedName>
    <definedName name="ContrMargin" localSheetId="2">#REF!</definedName>
    <definedName name="ContrMargin" localSheetId="3">#REF!</definedName>
    <definedName name="ContrMargin">#REF!</definedName>
    <definedName name="CraneFranna" localSheetId="2">#REF!</definedName>
    <definedName name="CraneFranna" localSheetId="3">#REF!</definedName>
    <definedName name="CraneFranna">#REF!</definedName>
    <definedName name="CraneGCI" localSheetId="2">#REF!</definedName>
    <definedName name="CraneGCI" localSheetId="3">#REF!</definedName>
    <definedName name="CraneGCI">#REF!</definedName>
    <definedName name="Cu" localSheetId="2">#REF!</definedName>
    <definedName name="Cu" localSheetId="3">#REF!</definedName>
    <definedName name="Cu">#REF!</definedName>
    <definedName name="Cv" localSheetId="2">#REF!</definedName>
    <definedName name="Cv" localSheetId="3">#REF!</definedName>
    <definedName name="Cv">#REF!</definedName>
    <definedName name="Cw" localSheetId="2">#REF!</definedName>
    <definedName name="Cw" localSheetId="3">#REF!</definedName>
    <definedName name="Cw">#REF!</definedName>
    <definedName name="d50_" localSheetId="2">#REF!</definedName>
    <definedName name="d50_" localSheetId="3">#REF!</definedName>
    <definedName name="d50_">#REF!</definedName>
    <definedName name="D50Ctbl1" localSheetId="2">#REF!</definedName>
    <definedName name="D50Ctbl1" localSheetId="3">#REF!</definedName>
    <definedName name="D50Ctbl1">#REF!</definedName>
    <definedName name="D50Ctbl2" localSheetId="2">#REF!</definedName>
    <definedName name="D50Ctbl2" localSheetId="3">#REF!</definedName>
    <definedName name="D50Ctbl2">#REF!</definedName>
    <definedName name="D50Ctbl3" localSheetId="2">#REF!</definedName>
    <definedName name="D50Ctbl3" localSheetId="3">#REF!</definedName>
    <definedName name="D50Ctbl3">#REF!</definedName>
    <definedName name="DARCY" localSheetId="2">#REF!</definedName>
    <definedName name="DARCY" localSheetId="3">#REF!</definedName>
    <definedName name="DARCY">#REF!</definedName>
    <definedName name="data" localSheetId="2">#REF!</definedName>
    <definedName name="data" localSheetId="3">#REF!</definedName>
    <definedName name="data">#REF!</definedName>
    <definedName name="Date" localSheetId="2">#REF!</definedName>
    <definedName name="Date" localSheetId="3">#REF!</definedName>
    <definedName name="Date">#REF!</definedName>
    <definedName name="DateIssued" localSheetId="2">#REF!</definedName>
    <definedName name="DateIssued" localSheetId="3">#REF!</definedName>
    <definedName name="DateIssued">#REF!</definedName>
    <definedName name="dbdOxide" localSheetId="2">#REF!</definedName>
    <definedName name="dbdOxide" localSheetId="3">#REF!</definedName>
    <definedName name="dbdOxide">#REF!</definedName>
    <definedName name="Dc" localSheetId="2">#REF!</definedName>
    <definedName name="Dc" localSheetId="3">#REF!</definedName>
    <definedName name="Dc">#REF!</definedName>
    <definedName name="Dc_1" localSheetId="2">#REF!</definedName>
    <definedName name="Dc_1" localSheetId="3">#REF!</definedName>
    <definedName name="Dc_1">#REF!</definedName>
    <definedName name="Dc_2" localSheetId="2">#REF!</definedName>
    <definedName name="Dc_2" localSheetId="3">#REF!</definedName>
    <definedName name="Dc_2">#REF!</definedName>
    <definedName name="Dc_3" localSheetId="2">#REF!</definedName>
    <definedName name="Dc_3" localSheetId="3">#REF!</definedName>
    <definedName name="Dc_3">#REF!</definedName>
    <definedName name="dd" localSheetId="2">#REF!</definedName>
    <definedName name="dd" localSheetId="3">#REF!</definedName>
    <definedName name="dd">#REF!</definedName>
    <definedName name="ddd" localSheetId="2">#REF!</definedName>
    <definedName name="ddd" localSheetId="3">#REF!</definedName>
    <definedName name="ddd">#REF!</definedName>
    <definedName name="dddddd" localSheetId="2" hidden="1">#REF!</definedName>
    <definedName name="dddddd" localSheetId="3" hidden="1">#REF!</definedName>
    <definedName name="dddddd" hidden="1">#REF!</definedName>
    <definedName name="DecantLiquor" localSheetId="2">#REF!</definedName>
    <definedName name="DecantLiquor" localSheetId="3">#REF!</definedName>
    <definedName name="DecantLiquor">#REF!</definedName>
    <definedName name="Derating_Factor" localSheetId="2">#REF!</definedName>
    <definedName name="Derating_Factor" localSheetId="3">#REF!</definedName>
    <definedName name="Derating_Factor">#REF!</definedName>
    <definedName name="DesnDMn" localSheetId="2">#REF!</definedName>
    <definedName name="DesnDMn" localSheetId="3">#REF!</definedName>
    <definedName name="DesnDMn">#REF!</definedName>
    <definedName name="DesnEng" localSheetId="2">#REF!</definedName>
    <definedName name="DesnEng" localSheetId="3">#REF!</definedName>
    <definedName name="DesnEng">#REF!</definedName>
    <definedName name="DesnMgr" localSheetId="2">#REF!</definedName>
    <definedName name="DesnMgr" localSheetId="3">#REF!</definedName>
    <definedName name="DesnMgr">#REF!</definedName>
    <definedName name="Detailed_Description" localSheetId="2">#REF!</definedName>
    <definedName name="Detailed_Description" localSheetId="3">#REF!</definedName>
    <definedName name="Detailed_Description">#REF!</definedName>
    <definedName name="Di" localSheetId="2">#REF!</definedName>
    <definedName name="Di" localSheetId="3">#REF!</definedName>
    <definedName name="Di">#REF!</definedName>
    <definedName name="Di_1" localSheetId="2">#REF!</definedName>
    <definedName name="Di_1" localSheetId="3">#REF!</definedName>
    <definedName name="Di_1">#REF!</definedName>
    <definedName name="Di_2" localSheetId="2">#REF!</definedName>
    <definedName name="Di_2" localSheetId="3">#REF!</definedName>
    <definedName name="Di_2">#REF!</definedName>
    <definedName name="Di_3" localSheetId="2">#REF!</definedName>
    <definedName name="Di_3" localSheetId="3">#REF!</definedName>
    <definedName name="Di_3">#REF!</definedName>
    <definedName name="Dip" localSheetId="2">#REF!</definedName>
    <definedName name="Dip" localSheetId="3">#REF!</definedName>
    <definedName name="Dip">#REF!</definedName>
    <definedName name="diratio" localSheetId="2">#REF!</definedName>
    <definedName name="diratio" localSheetId="3">#REF!</definedName>
    <definedName name="diratio">#REF!</definedName>
    <definedName name="DIRCOMPRATE" localSheetId="2">#REF!</definedName>
    <definedName name="DIRCOMPRATE" localSheetId="3">#REF!</definedName>
    <definedName name="DIRCOMPRATE">#REF!</definedName>
    <definedName name="distmod" localSheetId="2">#REF!</definedName>
    <definedName name="distmod" localSheetId="3">#REF!</definedName>
    <definedName name="distmod">#REF!</definedName>
    <definedName name="dl" localSheetId="2">#REF!</definedName>
    <definedName name="dl" localSheetId="3">#REF!</definedName>
    <definedName name="dl">#REF!</definedName>
    <definedName name="dm" localSheetId="2">#REF!</definedName>
    <definedName name="dm" localSheetId="3">#REF!</definedName>
    <definedName name="dm">#REF!</definedName>
    <definedName name="Do" localSheetId="2">#REF!</definedName>
    <definedName name="Do" localSheetId="3">#REF!</definedName>
    <definedName name="Do">#REF!</definedName>
    <definedName name="Do_1" localSheetId="2">#REF!</definedName>
    <definedName name="Do_1" localSheetId="3">#REF!</definedName>
    <definedName name="Do_1">#REF!</definedName>
    <definedName name="Do_2" localSheetId="2">#REF!</definedName>
    <definedName name="Do_2" localSheetId="3">#REF!</definedName>
    <definedName name="Do_2">#REF!</definedName>
    <definedName name="Do_3" localSheetId="2">#REF!</definedName>
    <definedName name="Do_3" localSheetId="3">#REF!</definedName>
    <definedName name="Do_3">#REF!</definedName>
    <definedName name="doc_no" localSheetId="2">#REF!</definedName>
    <definedName name="doc_no" localSheetId="3">#REF!</definedName>
    <definedName name="doc_no">#REF!</definedName>
    <definedName name="Dop" localSheetId="2">#REF!</definedName>
    <definedName name="Dop" localSheetId="3">#REF!</definedName>
    <definedName name="Dop">#REF!</definedName>
    <definedName name="dopt" localSheetId="2">#REF!</definedName>
    <definedName name="dopt" localSheetId="3">#REF!</definedName>
    <definedName name="dopt">#REF!</definedName>
    <definedName name="doratio" localSheetId="2">#REF!</definedName>
    <definedName name="doratio" localSheetId="3">#REF!</definedName>
    <definedName name="doratio">#REF!</definedName>
    <definedName name="DryPlantConcreteCommodityRatesTable" localSheetId="2">#REF!</definedName>
    <definedName name="DryPlantConcreteCommodityRatesTable" localSheetId="3">#REF!</definedName>
    <definedName name="DryPlantConcreteCommodityRatesTable">#REF!</definedName>
    <definedName name="DryPlantConcreteRateCode" localSheetId="2">#REF!</definedName>
    <definedName name="DryPlantConcreteRateCode" localSheetId="3">#REF!</definedName>
    <definedName name="DryPlantConcreteRateCode">#REF!</definedName>
    <definedName name="ds" localSheetId="2">#REF!</definedName>
    <definedName name="ds" localSheetId="3">#REF!</definedName>
    <definedName name="ds">#REF!</definedName>
    <definedName name="Du" localSheetId="2">#REF!</definedName>
    <definedName name="Du" localSheetId="3">#REF!</definedName>
    <definedName name="Du">#REF!</definedName>
    <definedName name="Du_1" localSheetId="2">#REF!</definedName>
    <definedName name="Du_1" localSheetId="3">#REF!</definedName>
    <definedName name="Du_1">#REF!</definedName>
    <definedName name="Du_2" localSheetId="2">#REF!</definedName>
    <definedName name="Du_2" localSheetId="3">#REF!</definedName>
    <definedName name="Du_2">#REF!</definedName>
    <definedName name="Du_3" localSheetId="2">#REF!</definedName>
    <definedName name="Du_3" localSheetId="3">#REF!</definedName>
    <definedName name="Du_3">#REF!</definedName>
    <definedName name="Dup" localSheetId="2">#REF!</definedName>
    <definedName name="Dup" localSheetId="3">#REF!</definedName>
    <definedName name="Dup">#REF!</definedName>
    <definedName name="duratio" localSheetId="2">#REF!</definedName>
    <definedName name="duratio" localSheetId="3">#REF!</definedName>
    <definedName name="duratio">#REF!</definedName>
    <definedName name="E_Mechanical_Equipment" localSheetId="2">#REF!</definedName>
    <definedName name="E_Mechanical_Equipment" localSheetId="3">#REF!</definedName>
    <definedName name="E_Mechanical_Equipment">#REF!</definedName>
    <definedName name="Earthworks" localSheetId="2">#REF!</definedName>
    <definedName name="Earthworks" localSheetId="3">#REF!</definedName>
    <definedName name="Earthworks">#REF!</definedName>
    <definedName name="ed" localSheetId="2">#REF!</definedName>
    <definedName name="ed" localSheetId="3">#REF!</definedName>
    <definedName name="ed">#REF!</definedName>
    <definedName name="eeeeeeeeeeee" localSheetId="2">#REF!</definedName>
    <definedName name="eeeeeeeeeeee" localSheetId="3">#REF!</definedName>
    <definedName name="eeeeeeeeeeee">#REF!</definedName>
    <definedName name="ElecMHr" localSheetId="2">#REF!</definedName>
    <definedName name="ElecMHr" localSheetId="3">#REF!</definedName>
    <definedName name="ElecMHr">#REF!</definedName>
    <definedName name="Electric" localSheetId="2">#REF!</definedName>
    <definedName name="Electric" localSheetId="3">#REF!</definedName>
    <definedName name="Electric">#REF!</definedName>
    <definedName name="Electrical" localSheetId="2">#REF!</definedName>
    <definedName name="Electrical" localSheetId="3">#REF!</definedName>
    <definedName name="Electrical">#REF!</definedName>
    <definedName name="em" localSheetId="2">#REF!</definedName>
    <definedName name="em" localSheetId="3">#REF!</definedName>
    <definedName name="em">#REF!</definedName>
    <definedName name="employee" localSheetId="2">#REF!</definedName>
    <definedName name="employee" localSheetId="3">#REF!</definedName>
    <definedName name="employee">#REF!</definedName>
    <definedName name="engineer" localSheetId="2">#REF!</definedName>
    <definedName name="engineer" localSheetId="3">#REF!</definedName>
    <definedName name="engineer">#REF!</definedName>
    <definedName name="EngrMgr" localSheetId="2">#REF!</definedName>
    <definedName name="EngrMgr" localSheetId="3">#REF!</definedName>
    <definedName name="EngrMgr">#REF!</definedName>
    <definedName name="EPCM" localSheetId="2">#REF!</definedName>
    <definedName name="EPCM" localSheetId="3">#REF!</definedName>
    <definedName name="EPCM">#REF!</definedName>
    <definedName name="EQ_ABR" localSheetId="2">#REF!</definedName>
    <definedName name="EQ_ABR" localSheetId="3">#REF!</definedName>
    <definedName name="EQ_ABR">#REF!</definedName>
    <definedName name="EQUIP_CAT" localSheetId="2">#REF!</definedName>
    <definedName name="EQUIP_CAT" localSheetId="3">#REF!</definedName>
    <definedName name="EQUIP_CAT">#REF!</definedName>
    <definedName name="Equipment" localSheetId="2">#REF!</definedName>
    <definedName name="Equipment" localSheetId="3">#REF!</definedName>
    <definedName name="Equipment">#REF!</definedName>
    <definedName name="es" localSheetId="2">#REF!</definedName>
    <definedName name="es" localSheetId="3">#REF!</definedName>
    <definedName name="es">#REF!</definedName>
    <definedName name="estd50c" localSheetId="2">#REF!</definedName>
    <definedName name="estd50c" localSheetId="3">#REF!</definedName>
    <definedName name="estd50c">#REF!</definedName>
    <definedName name="estrefsize" localSheetId="2">#REF!</definedName>
    <definedName name="estrefsize" localSheetId="3">#REF!</definedName>
    <definedName name="estrefsize">#REF!</definedName>
    <definedName name="eur" localSheetId="2">#REF!</definedName>
    <definedName name="eur" localSheetId="3">#REF!</definedName>
    <definedName name="eur">#REF!</definedName>
    <definedName name="ew" localSheetId="2">#REF!</definedName>
    <definedName name="ew" localSheetId="3">#REF!</definedName>
    <definedName name="ew">#REF!</definedName>
    <definedName name="eworn" localSheetId="2">#REF!</definedName>
    <definedName name="eworn" localSheetId="3">#REF!</definedName>
    <definedName name="eworn">#REF!</definedName>
    <definedName name="F_Piping" localSheetId="2">#REF!</definedName>
    <definedName name="F_Piping" localSheetId="3">#REF!</definedName>
    <definedName name="F_Piping">#REF!</definedName>
    <definedName name="f502." localSheetId="2">#REF!</definedName>
    <definedName name="f502." localSheetId="3">#REF!</definedName>
    <definedName name="f502.">#REF!</definedName>
    <definedName name="FacilHdr" localSheetId="2">#REF!</definedName>
    <definedName name="FacilHdr" localSheetId="3">#REF!</definedName>
    <definedName name="FacilHdr">#REF!</definedName>
    <definedName name="Facility_Description" localSheetId="2">#REF!</definedName>
    <definedName name="Facility_Description" localSheetId="3">#REF!</definedName>
    <definedName name="Facility_Description">#REF!</definedName>
    <definedName name="FacilLabel" localSheetId="2">#REF!</definedName>
    <definedName name="FacilLabel" localSheetId="3">#REF!</definedName>
    <definedName name="FacilLabel">#REF!</definedName>
    <definedName name="fcslope" localSheetId="2">#REF!</definedName>
    <definedName name="fcslope" localSheetId="3">#REF!</definedName>
    <definedName name="fcslope">#REF!</definedName>
    <definedName name="fd" localSheetId="2">#REF!</definedName>
    <definedName name="fd" localSheetId="3">#REF!</definedName>
    <definedName name="fd">#REF!</definedName>
    <definedName name="FDPMPPRNTRANGE" localSheetId="2">#REF!</definedName>
    <definedName name="FDPMPPRNTRANGE" localSheetId="3">#REF!</definedName>
    <definedName name="FDPMPPRNTRANGE">#REF!</definedName>
    <definedName name="feedflow" localSheetId="2">#REF!</definedName>
    <definedName name="feedflow" localSheetId="3">#REF!</definedName>
    <definedName name="feedflow">#REF!</definedName>
    <definedName name="feedrtot" localSheetId="2">#REF!</definedName>
    <definedName name="feedrtot" localSheetId="3">#REF!</definedName>
    <definedName name="feedrtot">#REF!</definedName>
    <definedName name="feedsizecopy" localSheetId="2">#REF!</definedName>
    <definedName name="feedsizecopy" localSheetId="3">#REF!</definedName>
    <definedName name="feedsizecopy">#REF!</definedName>
    <definedName name="fgslope" localSheetId="2">#REF!</definedName>
    <definedName name="fgslope" localSheetId="3">#REF!</definedName>
    <definedName name="fgslope">#REF!</definedName>
    <definedName name="FH" localSheetId="2">#REF!</definedName>
    <definedName name="FH" localSheetId="3">#REF!</definedName>
    <definedName name="FH">#REF!</definedName>
    <definedName name="FinYear" localSheetId="2">#REF!</definedName>
    <definedName name="FinYear" localSheetId="3">#REF!</definedName>
    <definedName name="FinYear">#REF!</definedName>
    <definedName name="First_Fills" localSheetId="2">#REF!</definedName>
    <definedName name="First_Fills" localSheetId="3">#REF!</definedName>
    <definedName name="First_Fills">#REF!</definedName>
    <definedName name="FITTINGS" localSheetId="2">#REF!</definedName>
    <definedName name="FITTINGS" localSheetId="3">#REF!</definedName>
    <definedName name="FITTINGS">#REF!</definedName>
    <definedName name="FL" localSheetId="2">#REF!</definedName>
    <definedName name="FL" localSheetId="3">#REF!</definedName>
    <definedName name="FL">#REF!</definedName>
    <definedName name="Float1" localSheetId="2">#REF!</definedName>
    <definedName name="Float1" localSheetId="3">#REF!</definedName>
    <definedName name="Float1">#REF!</definedName>
    <definedName name="Float2" localSheetId="2">#REF!</definedName>
    <definedName name="Float2" localSheetId="3">#REF!</definedName>
    <definedName name="Float2">#REF!</definedName>
    <definedName name="Flotation_Regrind" localSheetId="2">#REF!</definedName>
    <definedName name="Flotation_Regrind" localSheetId="3">#REF!</definedName>
    <definedName name="Flotation_Regrind">#REF!</definedName>
    <definedName name="Fred" localSheetId="2">#REF!</definedName>
    <definedName name="Fred" localSheetId="3">#REF!</definedName>
    <definedName name="Fred">#REF!</definedName>
    <definedName name="fs" localSheetId="2">#REF!</definedName>
    <definedName name="fs" localSheetId="3">#REF!</definedName>
    <definedName name="fs">#REF!</definedName>
    <definedName name="fsharpness" localSheetId="2">#REF!</definedName>
    <definedName name="fsharpness" localSheetId="3">#REF!</definedName>
    <definedName name="fsharpness">#REF!</definedName>
    <definedName name="fufcslope" localSheetId="2">#REF!</definedName>
    <definedName name="fufcslope" localSheetId="3">#REF!</definedName>
    <definedName name="fufcslope">#REF!</definedName>
    <definedName name="fufgslope" localSheetId="2">#REF!</definedName>
    <definedName name="fufgslope" localSheetId="3">#REF!</definedName>
    <definedName name="fufgslope">#REF!</definedName>
    <definedName name="fufrotot" localSheetId="2">#REF!</definedName>
    <definedName name="fufrotot" localSheetId="3">#REF!</definedName>
    <definedName name="fufrotot">#REF!</definedName>
    <definedName name="fufrtot" localSheetId="2">#REF!</definedName>
    <definedName name="fufrtot" localSheetId="3">#REF!</definedName>
    <definedName name="fufrtot">#REF!</definedName>
    <definedName name="fufsharpness" localSheetId="2">#REF!</definedName>
    <definedName name="fufsharpness" localSheetId="3">#REF!</definedName>
    <definedName name="fufsharpness">#REF!</definedName>
    <definedName name="fwear" localSheetId="2">#REF!</definedName>
    <definedName name="fwear" localSheetId="3">#REF!</definedName>
    <definedName name="fwear">#REF!</definedName>
    <definedName name="G_Electrical" localSheetId="2">#REF!</definedName>
    <definedName name="G_Electrical" localSheetId="3">#REF!</definedName>
    <definedName name="G_Electrical">#REF!</definedName>
    <definedName name="General" localSheetId="2">#REF!</definedName>
    <definedName name="General" localSheetId="3">#REF!</definedName>
    <definedName name="General">#REF!</definedName>
    <definedName name="General_" localSheetId="2">#REF!</definedName>
    <definedName name="General_" localSheetId="3">#REF!</definedName>
    <definedName name="General_">#REF!</definedName>
    <definedName name="Generic1Hdr" localSheetId="2">#REF!</definedName>
    <definedName name="Generic1Hdr" localSheetId="3">#REF!</definedName>
    <definedName name="Generic1Hdr">#REF!</definedName>
    <definedName name="Generic1Lbl" localSheetId="2">#REF!</definedName>
    <definedName name="Generic1Lbl" localSheetId="3">#REF!</definedName>
    <definedName name="Generic1Lbl">#REF!</definedName>
    <definedName name="Generic1Lv" localSheetId="2">#REF!</definedName>
    <definedName name="Generic1Lv" localSheetId="3">#REF!</definedName>
    <definedName name="Generic1Lv">#REF!</definedName>
    <definedName name="Generic2Hdr" localSheetId="2">#REF!</definedName>
    <definedName name="Generic2Hdr" localSheetId="3">#REF!</definedName>
    <definedName name="Generic2Hdr">#REF!</definedName>
    <definedName name="Generic2Lbl" localSheetId="2">#REF!</definedName>
    <definedName name="Generic2Lbl" localSheetId="3">#REF!</definedName>
    <definedName name="Generic2Lbl">#REF!</definedName>
    <definedName name="GenFman" localSheetId="2">#REF!</definedName>
    <definedName name="GenFman" localSheetId="3">#REF!</definedName>
    <definedName name="GenFman">#REF!</definedName>
    <definedName name="gge" localSheetId="2">#REF!</definedName>
    <definedName name="gge" localSheetId="3">#REF!</definedName>
    <definedName name="gge">#REF!</definedName>
    <definedName name="GJ_Factor">1000000</definedName>
    <definedName name="Grinding" localSheetId="2">#REF!</definedName>
    <definedName name="Grinding" localSheetId="3">#REF!</definedName>
    <definedName name="Grinding">#REF!</definedName>
    <definedName name="h" localSheetId="2">#REF!</definedName>
    <definedName name="h" localSheetId="3">#REF!</definedName>
    <definedName name="h">#REF!</definedName>
    <definedName name="h_1" localSheetId="2">#REF!</definedName>
    <definedName name="h_1" localSheetId="3">#REF!</definedName>
    <definedName name="h_1">#REF!</definedName>
    <definedName name="h_2" localSheetId="2">#REF!</definedName>
    <definedName name="h_2" localSheetId="3">#REF!</definedName>
    <definedName name="h_2">#REF!</definedName>
    <definedName name="h_3" localSheetId="2">#REF!</definedName>
    <definedName name="h_3" localSheetId="3">#REF!</definedName>
    <definedName name="h_3">#REF!</definedName>
    <definedName name="H_Surface_Protection_Refractories" localSheetId="2">#REF!</definedName>
    <definedName name="H_Surface_Protection_Refractories" localSheetId="3">#REF!</definedName>
    <definedName name="H_Surface_Protection_Refractories">#REF!</definedName>
    <definedName name="Harry" localSheetId="2">#REF!</definedName>
    <definedName name="Harry" localSheetId="3">#REF!</definedName>
    <definedName name="Harry">#REF!</definedName>
    <definedName name="HAZEN" localSheetId="2">#REF!</definedName>
    <definedName name="HAZEN" localSheetId="3">#REF!</definedName>
    <definedName name="HAZEN">#REF!</definedName>
    <definedName name="Hd" localSheetId="2">#REF!</definedName>
    <definedName name="Hd" localSheetId="3">#REF!</definedName>
    <definedName name="Hd">#REF!</definedName>
    <definedName name="Hde" localSheetId="2">#REF!</definedName>
    <definedName name="Hde" localSheetId="3">#REF!</definedName>
    <definedName name="Hde">#REF!</definedName>
    <definedName name="Hdf" localSheetId="2">#REF!</definedName>
    <definedName name="Hdf" localSheetId="3">#REF!</definedName>
    <definedName name="Hdf">#REF!</definedName>
    <definedName name="HDM16x200SupplyInstall" localSheetId="2">#REF!</definedName>
    <definedName name="HDM16x200SupplyInstall" localSheetId="3">#REF!</definedName>
    <definedName name="HDM16x200SupplyInstall">#REF!</definedName>
    <definedName name="HDM20x150SupplyInstall" localSheetId="2">#REF!</definedName>
    <definedName name="HDM20x150SupplyInstall" localSheetId="3">#REF!</definedName>
    <definedName name="HDM20x150SupplyInstall">#REF!</definedName>
    <definedName name="HDM20x300SupplyInstall" localSheetId="2">#REF!</definedName>
    <definedName name="HDM20x300SupplyInstall" localSheetId="3">#REF!</definedName>
    <definedName name="HDM20x300SupplyInstall">#REF!</definedName>
    <definedName name="HDM20x400SupplyInstall" localSheetId="2">#REF!</definedName>
    <definedName name="HDM20x400SupplyInstall" localSheetId="3">#REF!</definedName>
    <definedName name="HDM20x400SupplyInstall">#REF!</definedName>
    <definedName name="HDM20x500SupplyInstall" localSheetId="2">#REF!</definedName>
    <definedName name="HDM20x500SupplyInstall" localSheetId="3">#REF!</definedName>
    <definedName name="HDM20x500SupplyInstall">#REF!</definedName>
    <definedName name="HDM24x300SupplyInstall" localSheetId="2">#REF!</definedName>
    <definedName name="HDM24x300SupplyInstall" localSheetId="3">#REF!</definedName>
    <definedName name="HDM24x300SupplyInstall">#REF!</definedName>
    <definedName name="HDM24x400SupplyInstall" localSheetId="2">#REF!</definedName>
    <definedName name="HDM24x400SupplyInstall" localSheetId="3">#REF!</definedName>
    <definedName name="HDM24x400SupplyInstall">#REF!</definedName>
    <definedName name="HDM24x500SupplyInstall" localSheetId="2">#REF!</definedName>
    <definedName name="HDM24x500SupplyInstall" localSheetId="3">#REF!</definedName>
    <definedName name="HDM24x500SupplyInstall">#REF!</definedName>
    <definedName name="HDM32x500SupplyInstall" localSheetId="2">#REF!</definedName>
    <definedName name="HDM32x500SupplyInstall" localSheetId="3">#REF!</definedName>
    <definedName name="HDM32x500SupplyInstall">#REF!</definedName>
    <definedName name="HDM32x600SupplyInstall" localSheetId="2">#REF!</definedName>
    <definedName name="HDM32x600SupplyInstall" localSheetId="3">#REF!</definedName>
    <definedName name="HDM32x600SupplyInstall">#REF!</definedName>
    <definedName name="HDM32x800SupplyInstall" localSheetId="2">#REF!</definedName>
    <definedName name="HDM32x800SupplyInstall" localSheetId="3">#REF!</definedName>
    <definedName name="HDM32x800SupplyInstall">#REF!</definedName>
    <definedName name="hdrive" localSheetId="2">#REF!</definedName>
    <definedName name="hdrive" localSheetId="3">#REF!</definedName>
    <definedName name="hdrive">#REF!</definedName>
    <definedName name="HEData" localSheetId="2">#REF!</definedName>
    <definedName name="HEData" localSheetId="3">#REF!</definedName>
    <definedName name="HEData">#REF!</definedName>
    <definedName name="Help" localSheetId="2">#REF!</definedName>
    <definedName name="Help" localSheetId="3">#REF!</definedName>
    <definedName name="Help">#REF!</definedName>
    <definedName name="help_feed" localSheetId="2">#REF!</definedName>
    <definedName name="help_feed" localSheetId="3">#REF!</definedName>
    <definedName name="help_feed">#REF!</definedName>
    <definedName name="help_feeduf" localSheetId="2">#REF!</definedName>
    <definedName name="help_feeduf" localSheetId="3">#REF!</definedName>
    <definedName name="help_feeduf">#REF!</definedName>
    <definedName name="Help_introduction" localSheetId="2">#REF!</definedName>
    <definedName name="Help_introduction" localSheetId="3">#REF!</definedName>
    <definedName name="Help_introduction">#REF!</definedName>
    <definedName name="Help_Krebs" localSheetId="2">#REF!</definedName>
    <definedName name="Help_Krebs" localSheetId="3">#REF!</definedName>
    <definedName name="Help_Krebs">#REF!</definedName>
    <definedName name="help_nosize" localSheetId="2">#REF!</definedName>
    <definedName name="help_nosize" localSheetId="3">#REF!</definedName>
    <definedName name="help_nosize">#REF!</definedName>
    <definedName name="help_plitt" localSheetId="2">#REF!</definedName>
    <definedName name="help_plitt" localSheetId="3">#REF!</definedName>
    <definedName name="help_plitt">#REF!</definedName>
    <definedName name="help_ufof" localSheetId="2">#REF!</definedName>
    <definedName name="help_ufof" localSheetId="3">#REF!</definedName>
    <definedName name="help_ufof">#REF!</definedName>
    <definedName name="hhh" localSheetId="2">#REF!</definedName>
    <definedName name="hhh" localSheetId="3">#REF!</definedName>
    <definedName name="hhh">#REF!</definedName>
    <definedName name="Hmd" localSheetId="2">#REF!</definedName>
    <definedName name="Hmd" localSheetId="3">#REF!</definedName>
    <definedName name="Hmd">#REF!</definedName>
    <definedName name="Hms" localSheetId="2">#REF!</definedName>
    <definedName name="Hms" localSheetId="3">#REF!</definedName>
    <definedName name="Hms">#REF!</definedName>
    <definedName name="hp" localSheetId="2">#REF!</definedName>
    <definedName name="hp" localSheetId="3">#REF!</definedName>
    <definedName name="hp">#REF!</definedName>
    <definedName name="HR" localSheetId="2">#REF!</definedName>
    <definedName name="HR" localSheetId="3">#REF!</definedName>
    <definedName name="HR">#REF!</definedName>
    <definedName name="hratio" localSheetId="2">#REF!</definedName>
    <definedName name="hratio" localSheetId="3">#REF!</definedName>
    <definedName name="hratio">#REF!</definedName>
    <definedName name="Hs" localSheetId="2">#REF!</definedName>
    <definedName name="Hs" localSheetId="3">#REF!</definedName>
    <definedName name="Hs">#REF!</definedName>
    <definedName name="Hsf" localSheetId="2">#REF!</definedName>
    <definedName name="Hsf" localSheetId="3">#REF!</definedName>
    <definedName name="Hsf">#REF!</definedName>
    <definedName name="Hsi" localSheetId="2">#REF!</definedName>
    <definedName name="Hsi" localSheetId="3">#REF!</definedName>
    <definedName name="Hsi">#REF!</definedName>
    <definedName name="Htm" localSheetId="2">#REF!</definedName>
    <definedName name="Htm" localSheetId="3">#REF!</definedName>
    <definedName name="Htm">#REF!</definedName>
    <definedName name="Htw" localSheetId="2">#REF!</definedName>
    <definedName name="Htw" localSheetId="3">#REF!</definedName>
    <definedName name="Htw">#REF!</definedName>
    <definedName name="Htweq" localSheetId="2">#REF!</definedName>
    <definedName name="Htweq" localSheetId="3">#REF!</definedName>
    <definedName name="Htweq">#REF!</definedName>
    <definedName name="hxx" localSheetId="2">#REF!</definedName>
    <definedName name="hxx" localSheetId="3">#REF!</definedName>
    <definedName name="hxx">#REF!</definedName>
    <definedName name="Index" localSheetId="2">#REF!</definedName>
    <definedName name="Index" localSheetId="3">#REF!</definedName>
    <definedName name="Index">#REF!</definedName>
    <definedName name="INDIRECTHOURS" localSheetId="2">#REF!</definedName>
    <definedName name="INDIRECTHOURS" localSheetId="3">#REF!</definedName>
    <definedName name="INDIRECTHOURS">#REF!</definedName>
    <definedName name="InstMgr" localSheetId="2">#REF!</definedName>
    <definedName name="InstMgr" localSheetId="3">#REF!</definedName>
    <definedName name="InstMgr">#REF!</definedName>
    <definedName name="Instrume" localSheetId="2">#REF!</definedName>
    <definedName name="Instrume" localSheetId="3">#REF!</definedName>
    <definedName name="Instrume">#REF!</definedName>
    <definedName name="Interest_accrued" localSheetId="2">#REF!</definedName>
    <definedName name="Interest_accrued" localSheetId="3">#REF!</definedName>
    <definedName name="Interest_accrued">#REF!</definedName>
    <definedName name="Interest_paid" localSheetId="2">#REF!</definedName>
    <definedName name="Interest_paid" localSheetId="3">#REF!</definedName>
    <definedName name="Interest_paid">#REF!</definedName>
    <definedName name="Interest_paid_YTD" localSheetId="2">#REF!</definedName>
    <definedName name="Interest_paid_YTD" localSheetId="3">#REF!</definedName>
    <definedName name="Interest_paid_YTD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39189.6201736111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1" localSheetId="2">OFFSET(#REF!,,,COUNTA(#REF!))</definedName>
    <definedName name="Item1" localSheetId="3">OFFSET(#REF!,,,COUNTA(#REF!))</definedName>
    <definedName name="Item1">OFFSET(#REF!,,,COUNTA(#REF!))</definedName>
    <definedName name="Item2" localSheetId="2">OFFSET(#REF!,,,COUNTA(#REF!))</definedName>
    <definedName name="Item2" localSheetId="3">OFFSET(#REF!,,,COUNTA(#REF!))</definedName>
    <definedName name="Item2">OFFSET(#REF!,,,COUNTA(#REF!))</definedName>
    <definedName name="j" localSheetId="2">#REF!</definedName>
    <definedName name="j" localSheetId="3">#REF!</definedName>
    <definedName name="j">#REF!</definedName>
    <definedName name="J_Instrumentation" localSheetId="2">#REF!</definedName>
    <definedName name="J_Instrumentation" localSheetId="3">#REF!</definedName>
    <definedName name="J_Instrumentation">#REF!</definedName>
    <definedName name="JCA" localSheetId="2">#REF!</definedName>
    <definedName name="JCA" localSheetId="3">#REF!</definedName>
    <definedName name="JCA">#REF!</definedName>
    <definedName name="k" localSheetId="4" hidden="1">{"ADMIN 1",#N/A,FALSE,"Admin";"ADMIN 2",#N/A,FALSE,"Admin";"ADMIN 3",#N/A,FALSE,"Admin";"ADMIN 4",#N/A,FALSE,"Admin";"ADMIN 5",#N/A,FALSE,"Admin"}</definedName>
    <definedName name="k" localSheetId="2" hidden="1">{"ADMIN 1",#N/A,FALSE,"Admin";"ADMIN 2",#N/A,FALSE,"Admin";"ADMIN 3",#N/A,FALSE,"Admin";"ADMIN 4",#N/A,FALSE,"Admin";"ADMIN 5",#N/A,FALSE,"Admin"}</definedName>
    <definedName name="k" localSheetId="1" hidden="1">{"ADMIN 1",#N/A,FALSE,"Admin";"ADMIN 2",#N/A,FALSE,"Admin";"ADMIN 3",#N/A,FALSE,"Admin";"ADMIN 4",#N/A,FALSE,"Admin";"ADMIN 5",#N/A,FALSE,"Admin"}</definedName>
    <definedName name="k" localSheetId="3" hidden="1">{"ADMIN 1",#N/A,FALSE,"Admin";"ADMIN 2",#N/A,FALSE,"Admin";"ADMIN 3",#N/A,FALSE,"Admin";"ADMIN 4",#N/A,FALSE,"Admin";"ADMIN 5",#N/A,FALSE,"Admin"}</definedName>
    <definedName name="k" hidden="1">{"ADMIN 1",#N/A,FALSE,"Admin";"ADMIN 2",#N/A,FALSE,"Admin";"ADMIN 3",#N/A,FALSE,"Admin";"ADMIN 4",#N/A,FALSE,"Admin";"ADMIN 5",#N/A,FALSE,"Admin"}</definedName>
    <definedName name="K_Buildings" localSheetId="2">#REF!</definedName>
    <definedName name="K_Buildings" localSheetId="3">#REF!</definedName>
    <definedName name="K_Buildings">#REF!</definedName>
    <definedName name="Ke" localSheetId="2">#REF!</definedName>
    <definedName name="Ke" localSheetId="3">#REF!</definedName>
    <definedName name="Ke">#REF!</definedName>
    <definedName name="Ki" localSheetId="2">#REF!</definedName>
    <definedName name="Ki" localSheetId="3">#REF!</definedName>
    <definedName name="Ki">#REF!</definedName>
    <definedName name="ks" localSheetId="2">#REF!</definedName>
    <definedName name="ks" localSheetId="3">#REF!</definedName>
    <definedName name="ks">#REF!</definedName>
    <definedName name="L_Tools_Furnishings" localSheetId="2">#REF!</definedName>
    <definedName name="L_Tools_Furnishings" localSheetId="3">#REF!</definedName>
    <definedName name="L_Tools_Furnishings">#REF!</definedName>
    <definedName name="lab" localSheetId="2">#REF!</definedName>
    <definedName name="lab" localSheetId="3">#REF!</definedName>
    <definedName name="lab">#REF!</definedName>
    <definedName name="Labour" localSheetId="2">#REF!</definedName>
    <definedName name="Labour" localSheetId="3">#REF!</definedName>
    <definedName name="Labour">#REF!</definedName>
    <definedName name="Ld" localSheetId="2">#REF!</definedName>
    <definedName name="Ld" localSheetId="3">#REF!</definedName>
    <definedName name="Ld">#REF!</definedName>
    <definedName name="less25" localSheetId="2">#REF!</definedName>
    <definedName name="less25" localSheetId="3">#REF!</definedName>
    <definedName name="less25">#REF!</definedName>
    <definedName name="LimnFFFFRange" localSheetId="2" hidden="1">#REF!</definedName>
    <definedName name="LimnFFFFRange" localSheetId="3" hidden="1">#REF!</definedName>
    <definedName name="LimnFFFFRange" hidden="1">#REF!</definedName>
    <definedName name="LimnPPP1Range" localSheetId="2" hidden="1">#REF!</definedName>
    <definedName name="LimnPPP1Range" localSheetId="3" hidden="1">#REF!</definedName>
    <definedName name="LimnPPP1Range" hidden="1">#REF!</definedName>
    <definedName name="LimnPPP2Range" localSheetId="2" hidden="1">#REF!</definedName>
    <definedName name="LimnPPP2Range" localSheetId="3" hidden="1">#REF!</definedName>
    <definedName name="LimnPPP2Range" hidden="1">#REF!</definedName>
    <definedName name="LimnPPP3Range" localSheetId="2" hidden="1">#REF!</definedName>
    <definedName name="LimnPPP3Range" localSheetId="3" hidden="1">#REF!</definedName>
    <definedName name="LimnPPP3Range" hidden="1">#REF!</definedName>
    <definedName name="LimnPPP4Range" localSheetId="2" hidden="1">#REF!</definedName>
    <definedName name="LimnPPP4Range" localSheetId="3" hidden="1">#REF!</definedName>
    <definedName name="LimnPPP4Range" hidden="1">#REF!</definedName>
    <definedName name="liqflow1" localSheetId="2">#REF!</definedName>
    <definedName name="liqflow1" localSheetId="3">#REF!</definedName>
    <definedName name="liqflow1">#REF!</definedName>
    <definedName name="liqflow2" localSheetId="2">#REF!</definedName>
    <definedName name="liqflow2" localSheetId="3">#REF!</definedName>
    <definedName name="liqflow2">#REF!</definedName>
    <definedName name="liqflow3" localSheetId="2">#REF!</definedName>
    <definedName name="liqflow3" localSheetId="3">#REF!</definedName>
    <definedName name="liqflow3">#REF!</definedName>
    <definedName name="liquidsg" localSheetId="2">#REF!</definedName>
    <definedName name="liquidsg" localSheetId="3">#REF!</definedName>
    <definedName name="liquidsg">#REF!</definedName>
    <definedName name="LiquorAvailable" localSheetId="2">#REF!</definedName>
    <definedName name="LiquorAvailable" localSheetId="3">#REF!</definedName>
    <definedName name="LiquorAvailable">#REF!</definedName>
    <definedName name="LiquorReqd" localSheetId="2">#REF!</definedName>
    <definedName name="LiquorReqd" localSheetId="3">#REF!</definedName>
    <definedName name="LiquorReqd">#REF!</definedName>
    <definedName name="LIST" localSheetId="2">#REF!</definedName>
    <definedName name="LIST" localSheetId="3">#REF!</definedName>
    <definedName name="LIST">#REF!</definedName>
    <definedName name="Long_loan_paid" localSheetId="2">#REF!</definedName>
    <definedName name="Long_loan_paid" localSheetId="3">#REF!</definedName>
    <definedName name="Long_loan_paid">#REF!</definedName>
    <definedName name="lookup" localSheetId="2">#REF!</definedName>
    <definedName name="lookup" localSheetId="3">#REF!</definedName>
    <definedName name="lookup">#REF!</definedName>
    <definedName name="lookuperror" localSheetId="2">#REF!</definedName>
    <definedName name="lookuperror" localSheetId="3">#REF!</definedName>
    <definedName name="lookuperror">#REF!</definedName>
    <definedName name="lorry" localSheetId="2">#REF!</definedName>
    <definedName name="lorry" localSheetId="3">#REF!</definedName>
    <definedName name="lorry">#REF!</definedName>
    <definedName name="Ls" localSheetId="2">#REF!</definedName>
    <definedName name="Ls" localSheetId="3">#REF!</definedName>
    <definedName name="Ls">#REF!</definedName>
    <definedName name="M_Mobile_Equipment" localSheetId="2">#REF!</definedName>
    <definedName name="M_Mobile_Equipment" localSheetId="3">#REF!</definedName>
    <definedName name="M_Mobile_Equipment">#REF!</definedName>
    <definedName name="Maint_Summary" localSheetId="2">#REF!</definedName>
    <definedName name="Maint_Summary" localSheetId="3">#REF!</definedName>
    <definedName name="Maint_Summary">#REF!</definedName>
    <definedName name="Maint1" localSheetId="2">#REF!</definedName>
    <definedName name="Maint1" localSheetId="3">#REF!</definedName>
    <definedName name="Maint1">#REF!</definedName>
    <definedName name="Maint2" localSheetId="2">#REF!</definedName>
    <definedName name="Maint2" localSheetId="3">#REF!</definedName>
    <definedName name="Maint2">#REF!</definedName>
    <definedName name="Maint3" localSheetId="2">#REF!</definedName>
    <definedName name="Maint3" localSheetId="3">#REF!</definedName>
    <definedName name="Maint3">#REF!</definedName>
    <definedName name="Massball2" localSheetId="4" hidden="1">{#N/A,#N/A,FALSE,"Summary";#N/A,#N/A,FALSE,"Schedule";#N/A,#N/A,FALSE,"Revenue";#N/A,#N/A,FALSE,"Costs";#N/A,#N/A,FALSE,"Plant Sch";#N/A,#N/A,FALSE,"Plant Cost";#N/A,#N/A,FALSE,"Labour"}</definedName>
    <definedName name="Massball2" localSheetId="2" hidden="1">{#N/A,#N/A,FALSE,"Summary";#N/A,#N/A,FALSE,"Schedule";#N/A,#N/A,FALSE,"Revenue";#N/A,#N/A,FALSE,"Costs";#N/A,#N/A,FALSE,"Plant Sch";#N/A,#N/A,FALSE,"Plant Cost";#N/A,#N/A,FALSE,"Labour"}</definedName>
    <definedName name="Massball2" localSheetId="1" hidden="1">{#N/A,#N/A,FALSE,"Summary";#N/A,#N/A,FALSE,"Schedule";#N/A,#N/A,FALSE,"Revenue";#N/A,#N/A,FALSE,"Costs";#N/A,#N/A,FALSE,"Plant Sch";#N/A,#N/A,FALSE,"Plant Cost";#N/A,#N/A,FALSE,"Labour"}</definedName>
    <definedName name="Massball2" localSheetId="3" hidden="1">{#N/A,#N/A,FALSE,"Summary";#N/A,#N/A,FALSE,"Schedule";#N/A,#N/A,FALSE,"Revenue";#N/A,#N/A,FALSE,"Costs";#N/A,#N/A,FALSE,"Plant Sch";#N/A,#N/A,FALSE,"Plant Cost";#N/A,#N/A,FALSE,"Labour"}</definedName>
    <definedName name="Massball2" hidden="1">{#N/A,#N/A,FALSE,"Summary";#N/A,#N/A,FALSE,"Schedule";#N/A,#N/A,FALSE,"Revenue";#N/A,#N/A,FALSE,"Costs";#N/A,#N/A,FALSE,"Plant Sch";#N/A,#N/A,FALSE,"Plant Cost";#N/A,#N/A,FALSE,"Labour"}</definedName>
    <definedName name="Material" localSheetId="2">#REF!</definedName>
    <definedName name="Material" localSheetId="3">#REF!</definedName>
    <definedName name="Material">#REF!</definedName>
    <definedName name="Mechanic" localSheetId="2">#REF!</definedName>
    <definedName name="Mechanic" localSheetId="3">#REF!</definedName>
    <definedName name="Mechanic">#REF!</definedName>
    <definedName name="MechMHr" localSheetId="2">#REF!</definedName>
    <definedName name="MechMHr" localSheetId="3">#REF!</definedName>
    <definedName name="MechMHr">#REF!</definedName>
    <definedName name="minbal" localSheetId="2">#REF!</definedName>
    <definedName name="minbal" localSheetId="3">#REF!</definedName>
    <definedName name="minbal">#REF!</definedName>
    <definedName name="MKO_Mine_Site" localSheetId="2">#REF!</definedName>
    <definedName name="MKO_Mine_Site" localSheetId="3">#REF!</definedName>
    <definedName name="MKO_Mine_Site">#REF!</definedName>
    <definedName name="Mobile_Equip" localSheetId="2">#REF!</definedName>
    <definedName name="Mobile_Equip" localSheetId="3">#REF!</definedName>
    <definedName name="Mobile_Equip">#REF!</definedName>
    <definedName name="Monthly_FCFA_20000" localSheetId="2">#REF!</definedName>
    <definedName name="Monthly_FCFA_20000" localSheetId="3">#REF!</definedName>
    <definedName name="Monthly_FCFA_20000">#REF!</definedName>
    <definedName name="ms" localSheetId="2">#REF!</definedName>
    <definedName name="ms" localSheetId="3">#REF!</definedName>
    <definedName name="ms">#REF!</definedName>
    <definedName name="MTOMaturity2" localSheetId="2">#REF!</definedName>
    <definedName name="MTOMaturity2" localSheetId="3">#REF!</definedName>
    <definedName name="MTOMaturity2">#REF!</definedName>
    <definedName name="NBRt" localSheetId="2">#REF!</definedName>
    <definedName name="NBRt" localSheetId="3">#REF!</definedName>
    <definedName name="NBRt">#REF!</definedName>
    <definedName name="NetVat" localSheetId="2">#REF!</definedName>
    <definedName name="NetVat" localSheetId="3">#REF!</definedName>
    <definedName name="NetVat">#REF!</definedName>
    <definedName name="NHed" localSheetId="2">#REF!</definedName>
    <definedName name="NHed" localSheetId="3">#REF!</definedName>
    <definedName name="NHed">#REF!</definedName>
    <definedName name="NHes" localSheetId="2">#REF!</definedName>
    <definedName name="NHes" localSheetId="3">#REF!</definedName>
    <definedName name="NHes">#REF!</definedName>
    <definedName name="Nmm" localSheetId="2">#REF!</definedName>
    <definedName name="Nmm" localSheetId="3">#REF!</definedName>
    <definedName name="Nmm">#REF!</definedName>
    <definedName name="Nmr" localSheetId="2">#REF!</definedName>
    <definedName name="Nmr" localSheetId="3">#REF!</definedName>
    <definedName name="Nmr">#REF!</definedName>
    <definedName name="nocslope" localSheetId="2">#REF!</definedName>
    <definedName name="nocslope" localSheetId="3">#REF!</definedName>
    <definedName name="nocslope">#REF!</definedName>
    <definedName name="nogslope" localSheetId="2">#REF!</definedName>
    <definedName name="nogslope" localSheetId="3">#REF!</definedName>
    <definedName name="nogslope">#REF!</definedName>
    <definedName name="noofcyclones" localSheetId="2">#REF!</definedName>
    <definedName name="noofcyclones" localSheetId="3">#REF!</definedName>
    <definedName name="noofcyclones">#REF!</definedName>
    <definedName name="noofcyclones_1" localSheetId="2">#REF!</definedName>
    <definedName name="noofcyclones_1" localSheetId="3">#REF!</definedName>
    <definedName name="noofcyclones_1">#REF!</definedName>
    <definedName name="noofcyclones_2" localSheetId="2">#REF!</definedName>
    <definedName name="noofcyclones_2" localSheetId="3">#REF!</definedName>
    <definedName name="noofcyclones_2">#REF!</definedName>
    <definedName name="noofcyclones_3" localSheetId="2">#REF!</definedName>
    <definedName name="noofcyclones_3" localSheetId="3">#REF!</definedName>
    <definedName name="noofcyclones_3">#REF!</definedName>
    <definedName name="Normal" hidden="1">NORMINV(0.0227500620361869+RAND()*0.954499875927626,1,0.075)</definedName>
    <definedName name="Normal1" hidden="1">NORMINV(0.0227500620361869+RAND()*0.954499875927626,1,0.075)</definedName>
    <definedName name="Normal10" hidden="1">NORMINV(0.0227500620361869+RAND()*0.954499875927626,1,0.05)</definedName>
    <definedName name="Normal11" hidden="1">NORMINV(0.499999999781721+RAND()*0.477249938182092,1,0.025)</definedName>
    <definedName name="Normal12" hidden="1">NORMINV(0.158655259758996+RAND()*0.818594678204818,1,0.05)</definedName>
    <definedName name="Normal13" hidden="1">NORMINV(0.499999999781721+RAND()*0.477249938182092,1,0.025)</definedName>
    <definedName name="Normal14" hidden="1">NORMINV(0.499999999781721+RAND()*0.477249938182092,1,0.5)</definedName>
    <definedName name="Normal15" hidden="1">NORMINV(0.0227500620361869+RAND()*0.954499875927626,1,0.05)</definedName>
    <definedName name="Normal16" hidden="1">NORMINV(0.0227500620361869+RAND()*0.954499875927626,1,0.05)</definedName>
    <definedName name="Normal17" hidden="1">NORMINV(0.0227500620361868+RAND()*0.954499875927626,1,0.025)</definedName>
    <definedName name="Normal18" hidden="1">NORMINV(0.308537532635709+RAND()*0.668712405328104,1,0.1)</definedName>
    <definedName name="Normal2" hidden="1">NORMINV(0.0227500620361869+RAND()*0.954499875927626,1,0.075)</definedName>
    <definedName name="Normal3" hidden="1">NORMINV(0.0227500620361869+RAND()*0.954499875927626,1,0.075)</definedName>
    <definedName name="Normal4" hidden="1">NORMINV(0.0227500620361869+RAND()*0.954499875927626,1,0.05)</definedName>
    <definedName name="Normal5" hidden="1">NORMINV(0.0227500620361869+RAND()*0.954499875927626,1,0.05)</definedName>
    <definedName name="Normal6" hidden="1">NORMINV(0.0227500620361869+RAND()*0.954499875927626,1,0.05)</definedName>
    <definedName name="Normal7" hidden="1">NORMINV(0.0227500620361868+RAND()*0.954499875927626,1,0.01)</definedName>
    <definedName name="Normal8" hidden="1">NORMINV(0.499999999781721+RAND()*0.477249938182092,1,0.025)</definedName>
    <definedName name="Normal9" hidden="1">NORMINV(0.0227500620361869+RAND()*0.954499875927626,1,0.05)</definedName>
    <definedName name="nosharpness" localSheetId="2">#REF!</definedName>
    <definedName name="nosharpness" localSheetId="3">#REF!</definedName>
    <definedName name="nosharpness">#REF!</definedName>
    <definedName name="NPP" localSheetId="2">#REF!</definedName>
    <definedName name="NPP" localSheetId="3">#REF!</definedName>
    <definedName name="NPP">#REF!</definedName>
    <definedName name="NPS" localSheetId="2">#REF!</definedName>
    <definedName name="NPS" localSheetId="3">#REF!</definedName>
    <definedName name="NPS">#REF!</definedName>
    <definedName name="NPSHa" localSheetId="2">#REF!</definedName>
    <definedName name="NPSHa" localSheetId="3">#REF!</definedName>
    <definedName name="NPSHa">#REF!</definedName>
    <definedName name="Nreqd" localSheetId="2">#REF!</definedName>
    <definedName name="Nreqd" localSheetId="3">#REF!</definedName>
    <definedName name="Nreqd">#REF!</definedName>
    <definedName name="Nrr" localSheetId="2">#REF!</definedName>
    <definedName name="Nrr" localSheetId="3">#REF!</definedName>
    <definedName name="Nrr">#REF!</definedName>
    <definedName name="numAssay">0</definedName>
    <definedName name="numDerived">25</definedName>
    <definedName name="numMassRelated">10</definedName>
    <definedName name="numProperty1">6</definedName>
    <definedName name="numProperty2">6</definedName>
    <definedName name="O" localSheetId="2">#REF!</definedName>
    <definedName name="O" localSheetId="3">#REF!</definedName>
    <definedName name="O">#REF!</definedName>
    <definedName name="ofpxx" localSheetId="2">#REF!</definedName>
    <definedName name="ofpxx" localSheetId="3">#REF!</definedName>
    <definedName name="ofpxx">#REF!</definedName>
    <definedName name="oftph" localSheetId="2">#REF!</definedName>
    <definedName name="oftph" localSheetId="3">#REF!</definedName>
    <definedName name="oftph">#REF!</definedName>
    <definedName name="ofwtpctsolids" localSheetId="2">#REF!</definedName>
    <definedName name="ofwtpctsolids" localSheetId="3">#REF!</definedName>
    <definedName name="ofwtpctsolids">#REF!</definedName>
    <definedName name="OHTotal" localSheetId="2">#REF!</definedName>
    <definedName name="OHTotal" localSheetId="3">#REF!</definedName>
    <definedName name="OHTotal">#REF!</definedName>
    <definedName name="OreSG" localSheetId="2">#REF!</definedName>
    <definedName name="OreSG" localSheetId="3">#REF!</definedName>
    <definedName name="OreSG">#REF!</definedName>
    <definedName name="PAGE" localSheetId="2">#REF!</definedName>
    <definedName name="PAGE" localSheetId="3">#REF!</definedName>
    <definedName name="PAGE">#REF!</definedName>
    <definedName name="Pal_Workbook_GUID" hidden="1">"5W55LT6DBRE4WHFML2FSCCY2"</definedName>
    <definedName name="Patm" localSheetId="2">#REF!</definedName>
    <definedName name="Patm" localSheetId="3">#REF!</definedName>
    <definedName name="Patm">#REF!</definedName>
    <definedName name="Pavement125EJ" localSheetId="2">#REF!</definedName>
    <definedName name="Pavement125EJ" localSheetId="3">#REF!</definedName>
    <definedName name="Pavement125EJ">#REF!</definedName>
    <definedName name="Pavement125EJcwDowels" localSheetId="2">#REF!</definedName>
    <definedName name="Pavement125EJcwDowels" localSheetId="3">#REF!</definedName>
    <definedName name="Pavement125EJcwDowels">#REF!</definedName>
    <definedName name="Pavement150EJ" localSheetId="2">#REF!</definedName>
    <definedName name="Pavement150EJ" localSheetId="3">#REF!</definedName>
    <definedName name="Pavement150EJ">#REF!</definedName>
    <definedName name="Pavement150EJcwDowels" localSheetId="2">#REF!</definedName>
    <definedName name="Pavement150EJcwDowels" localSheetId="3">#REF!</definedName>
    <definedName name="Pavement150EJcwDowels">#REF!</definedName>
    <definedName name="PCB" localSheetId="2">#REF!</definedName>
    <definedName name="PCB" localSheetId="3">#REF!</definedName>
    <definedName name="PCB">#REF!</definedName>
    <definedName name="PCBHDR" localSheetId="2">#REF!</definedName>
    <definedName name="PCBHDR" localSheetId="3">#REF!</definedName>
    <definedName name="PCBHDR">#REF!</definedName>
    <definedName name="Pd" localSheetId="2">#REF!</definedName>
    <definedName name="Pd" localSheetId="3">#REF!</definedName>
    <definedName name="Pd">#REF!</definedName>
    <definedName name="PDiscHdr" localSheetId="2">#REF!</definedName>
    <definedName name="PDiscHdr" localSheetId="3">#REF!</definedName>
    <definedName name="PDiscHdr">#REF!</definedName>
    <definedName name="PDiscLabel" localSheetId="2">#REF!</definedName>
    <definedName name="PDiscLabel" localSheetId="3">#REF!</definedName>
    <definedName name="PDiscLabel">#REF!</definedName>
    <definedName name="percost" localSheetId="2">#REF!</definedName>
    <definedName name="percost" localSheetId="3">#REF!</definedName>
    <definedName name="percost">#REF!</definedName>
    <definedName name="PIPE1" localSheetId="2">#REF!</definedName>
    <definedName name="PIPE1" localSheetId="3">#REF!</definedName>
    <definedName name="PIPE1">#REF!</definedName>
    <definedName name="PIPE2" localSheetId="2">#REF!</definedName>
    <definedName name="PIPE2" localSheetId="3">#REF!</definedName>
    <definedName name="PIPE2">#REF!</definedName>
    <definedName name="PIPETYPE" localSheetId="2">#REF!</definedName>
    <definedName name="PIPETYPE" localSheetId="3">#REF!</definedName>
    <definedName name="PIPETYPE">#REF!</definedName>
    <definedName name="Pipework" localSheetId="2">#REF!</definedName>
    <definedName name="Pipework" localSheetId="3">#REF!</definedName>
    <definedName name="Pipework">#REF!</definedName>
    <definedName name="Piping" localSheetId="2">#REF!</definedName>
    <definedName name="Piping" localSheetId="3">#REF!</definedName>
    <definedName name="Piping">#REF!</definedName>
    <definedName name="Platework" localSheetId="2">#REF!</definedName>
    <definedName name="Platework" localSheetId="3">#REF!</definedName>
    <definedName name="Platework">#REF!</definedName>
    <definedName name="plittd50c" localSheetId="2">#REF!</definedName>
    <definedName name="plittd50c" localSheetId="3">#REF!</definedName>
    <definedName name="plittd50c">#REF!</definedName>
    <definedName name="PlittD50c_1" localSheetId="2">#REF!</definedName>
    <definedName name="PlittD50c_1" localSheetId="3">#REF!</definedName>
    <definedName name="PlittD50c_1">#REF!</definedName>
    <definedName name="plittd50c_2" localSheetId="2">#REF!</definedName>
    <definedName name="plittd50c_2" localSheetId="3">#REF!</definedName>
    <definedName name="plittd50c_2">#REF!</definedName>
    <definedName name="plittd50c_3" localSheetId="2">#REF!</definedName>
    <definedName name="plittd50c_3" localSheetId="3">#REF!</definedName>
    <definedName name="plittd50c_3">#REF!</definedName>
    <definedName name="plittdeltaP" localSheetId="2">#REF!</definedName>
    <definedName name="plittdeltaP" localSheetId="3">#REF!</definedName>
    <definedName name="plittdeltaP">#REF!</definedName>
    <definedName name="plittdeltaP_1" localSheetId="2">#REF!</definedName>
    <definedName name="plittdeltaP_1" localSheetId="3">#REF!</definedName>
    <definedName name="plittdeltaP_1">#REF!</definedName>
    <definedName name="plittdeltaP_2" localSheetId="2">#REF!</definedName>
    <definedName name="plittdeltaP_2" localSheetId="3">#REF!</definedName>
    <definedName name="plittdeltaP_2">#REF!</definedName>
    <definedName name="plittdeltaP_3" localSheetId="2">#REF!</definedName>
    <definedName name="plittdeltaP_3" localSheetId="3">#REF!</definedName>
    <definedName name="plittdeltaP_3">#REF!</definedName>
    <definedName name="plittK" localSheetId="2">#REF!</definedName>
    <definedName name="plittK" localSheetId="3">#REF!</definedName>
    <definedName name="plittK">#REF!</definedName>
    <definedName name="PlntAreaHdr" localSheetId="2">#REF!</definedName>
    <definedName name="PlntAreaHdr" localSheetId="3">#REF!</definedName>
    <definedName name="PlntAreaHdr">#REF!</definedName>
    <definedName name="PlntAreaLbl" localSheetId="2">#REF!</definedName>
    <definedName name="PlntAreaLbl" localSheetId="3">#REF!</definedName>
    <definedName name="PlntAreaLbl">#REF!</definedName>
    <definedName name="Poly" localSheetId="2">#REF!</definedName>
    <definedName name="Poly" localSheetId="3">#REF!</definedName>
    <definedName name="Poly">#REF!</definedName>
    <definedName name="PolyAvail" localSheetId="2">#REF!</definedName>
    <definedName name="PolyAvail" localSheetId="3">#REF!</definedName>
    <definedName name="PolyAvail">#REF!</definedName>
    <definedName name="PolyBore" localSheetId="2">#REF!</definedName>
    <definedName name="PolyBore" localSheetId="3">#REF!</definedName>
    <definedName name="PolyBore">#REF!</definedName>
    <definedName name="PolyRough" localSheetId="2">#REF!</definedName>
    <definedName name="PolyRough" localSheetId="3">#REF!</definedName>
    <definedName name="PolyRough">#REF!</definedName>
    <definedName name="PolySize" localSheetId="2">#REF!</definedName>
    <definedName name="PolySize" localSheetId="3">#REF!</definedName>
    <definedName name="PolySize">#REF!</definedName>
    <definedName name="PolySpec" localSheetId="2">#REF!</definedName>
    <definedName name="PolySpec" localSheetId="3">#REF!</definedName>
    <definedName name="PolySpec">#REF!</definedName>
    <definedName name="PolySpecs" localSheetId="2">#REF!</definedName>
    <definedName name="PolySpecs" localSheetId="3">#REF!</definedName>
    <definedName name="PolySpecs">#REF!</definedName>
    <definedName name="Power1" localSheetId="2">#REF!</definedName>
    <definedName name="Power1" localSheetId="3">#REF!</definedName>
    <definedName name="Power1">#REF!</definedName>
    <definedName name="Power2" localSheetId="2">#REF!</definedName>
    <definedName name="Power2" localSheetId="3">#REF!</definedName>
    <definedName name="Power2">#REF!</definedName>
    <definedName name="Power3" localSheetId="2">#REF!</definedName>
    <definedName name="Power3" localSheetId="3">#REF!</definedName>
    <definedName name="Power3">#REF!</definedName>
    <definedName name="Power4" localSheetId="2">#REF!</definedName>
    <definedName name="Power4" localSheetId="3">#REF!</definedName>
    <definedName name="Power4">#REF!</definedName>
    <definedName name="PPPP" localSheetId="2">#REF!</definedName>
    <definedName name="PPPP" localSheetId="3">#REF!</definedName>
    <definedName name="PPPP">#REF!</definedName>
    <definedName name="PRCPileA100t" localSheetId="2">#REF!</definedName>
    <definedName name="PRCPileA100t" localSheetId="3">#REF!</definedName>
    <definedName name="PRCPileA100t">#REF!</definedName>
    <definedName name="PRCPileA160t" localSheetId="2">#REF!</definedName>
    <definedName name="PRCPileA160t" localSheetId="3">#REF!</definedName>
    <definedName name="PRCPileA160t">#REF!</definedName>
    <definedName name="PRCPileA220t" localSheetId="2">#REF!</definedName>
    <definedName name="PRCPileA220t" localSheetId="3">#REF!</definedName>
    <definedName name="PRCPileA220t">#REF!</definedName>
    <definedName name="PRCPileA230t" localSheetId="2">#REF!</definedName>
    <definedName name="PRCPileA230t" localSheetId="3">#REF!</definedName>
    <definedName name="PRCPileA230t">#REF!</definedName>
    <definedName name="PRCPileM190t" localSheetId="2">#REF!</definedName>
    <definedName name="PRCPileM190t" localSheetId="3">#REF!</definedName>
    <definedName name="PRCPileM190t">#REF!</definedName>
    <definedName name="PRCPileM230t" localSheetId="2">#REF!</definedName>
    <definedName name="PRCPileM230t" localSheetId="3">#REF!</definedName>
    <definedName name="PRCPileM230t">#REF!</definedName>
    <definedName name="Preproduction" localSheetId="2">#REF!</definedName>
    <definedName name="Preproduction" localSheetId="3">#REF!</definedName>
    <definedName name="Preproduction">#REF!</definedName>
    <definedName name="Preqd" localSheetId="2">#REF!</definedName>
    <definedName name="Preqd" localSheetId="3">#REF!</definedName>
    <definedName name="Preqd">#REF!</definedName>
    <definedName name="_xlnm.Print_Area" localSheetId="2">#REF!</definedName>
    <definedName name="_xlnm.Print_Area" localSheetId="3">#REF!</definedName>
    <definedName name="_xlnm.Print_Area">#REF!</definedName>
    <definedName name="Print_Area_MI" localSheetId="2">#REF!</definedName>
    <definedName name="Print_Area_MI" localSheetId="3">#REF!</definedName>
    <definedName name="Print_Area_MI">#REF!</definedName>
    <definedName name="Print_Areaxx" localSheetId="2">#REF!</definedName>
    <definedName name="Print_Areaxx" localSheetId="3">#REF!</definedName>
    <definedName name="Print_Areaxx">#REF!</definedName>
    <definedName name="Print_Titles_MI" localSheetId="2">#REF!</definedName>
    <definedName name="Print_Titles_MI" localSheetId="3">#REF!</definedName>
    <definedName name="Print_Titles_MI">#REF!</definedName>
    <definedName name="Process_Services" localSheetId="2">#REF!</definedName>
    <definedName name="Process_Services" localSheetId="3">#REF!</definedName>
    <definedName name="Process_Services">#REF!</definedName>
    <definedName name="proj_descr" localSheetId="2">#REF!</definedName>
    <definedName name="proj_descr" localSheetId="3">#REF!</definedName>
    <definedName name="proj_descr">#REF!</definedName>
    <definedName name="proj_name" localSheetId="2">#REF!</definedName>
    <definedName name="proj_name" localSheetId="3">#REF!</definedName>
    <definedName name="proj_name">#REF!</definedName>
    <definedName name="proj_no" localSheetId="2">#REF!</definedName>
    <definedName name="proj_no" localSheetId="3">#REF!</definedName>
    <definedName name="proj_no">#REF!</definedName>
    <definedName name="projapplication" localSheetId="2">#REF!</definedName>
    <definedName name="projapplication" localSheetId="3">#REF!</definedName>
    <definedName name="projapplication">#REF!</definedName>
    <definedName name="projclient" localSheetId="2">#REF!</definedName>
    <definedName name="projclient" localSheetId="3">#REF!</definedName>
    <definedName name="projclient">#REF!</definedName>
    <definedName name="ProjClk" localSheetId="2">#REF!</definedName>
    <definedName name="ProjClk" localSheetId="3">#REF!</definedName>
    <definedName name="ProjClk">#REF!</definedName>
    <definedName name="projdate" localSheetId="2">#REF!</definedName>
    <definedName name="projdate" localSheetId="3">#REF!</definedName>
    <definedName name="projdate">#REF!</definedName>
    <definedName name="Project_Indirect_Costs" localSheetId="2">#REF!</definedName>
    <definedName name="Project_Indirect_Costs" localSheetId="3">#REF!</definedName>
    <definedName name="Project_Indirect_Costs">#REF!</definedName>
    <definedName name="Project_Services" localSheetId="2">#REF!</definedName>
    <definedName name="Project_Services" localSheetId="3">#REF!</definedName>
    <definedName name="Project_Services">#REF!</definedName>
    <definedName name="ProjectName" localSheetId="2">#REF!</definedName>
    <definedName name="ProjectName" localSheetId="3">#REF!</definedName>
    <definedName name="ProjectName">#REF!</definedName>
    <definedName name="ProjectNumber" localSheetId="2">#REF!</definedName>
    <definedName name="ProjectNumber" localSheetId="3">#REF!</definedName>
    <definedName name="ProjectNumber">#REF!</definedName>
    <definedName name="ProjEng" localSheetId="2">#REF!</definedName>
    <definedName name="ProjEng" localSheetId="3">#REF!</definedName>
    <definedName name="ProjEng">#REF!</definedName>
    <definedName name="projengineer" localSheetId="2">#REF!</definedName>
    <definedName name="projengineer" localSheetId="3">#REF!</definedName>
    <definedName name="projengineer">#REF!</definedName>
    <definedName name="ProjMgr" localSheetId="2">#REF!</definedName>
    <definedName name="ProjMgr" localSheetId="3">#REF!</definedName>
    <definedName name="ProjMgr">#REF!</definedName>
    <definedName name="ProjMHr" localSheetId="2">#REF!</definedName>
    <definedName name="ProjMHr" localSheetId="3">#REF!</definedName>
    <definedName name="ProjMHr">#REF!</definedName>
    <definedName name="projnumber" localSheetId="2">#REF!</definedName>
    <definedName name="projnumber" localSheetId="3">#REF!</definedName>
    <definedName name="projnumber">#REF!</definedName>
    <definedName name="ProjPln" localSheetId="2">#REF!</definedName>
    <definedName name="ProjPln" localSheetId="3">#REF!</definedName>
    <definedName name="ProjPln">#REF!</definedName>
    <definedName name="ProjSupt" localSheetId="2">#REF!</definedName>
    <definedName name="ProjSupt" localSheetId="3">#REF!</definedName>
    <definedName name="ProjSupt">#REF!</definedName>
    <definedName name="ProjSvr" localSheetId="2">#REF!</definedName>
    <definedName name="ProjSvr" localSheetId="3">#REF!</definedName>
    <definedName name="ProjSvr">#REF!</definedName>
    <definedName name="projtitle" localSheetId="2">#REF!</definedName>
    <definedName name="projtitle" localSheetId="3">#REF!</definedName>
    <definedName name="projtitle">#REF!</definedName>
    <definedName name="Ps" localSheetId="2">#REF!</definedName>
    <definedName name="Ps" localSheetId="3">#REF!</definedName>
    <definedName name="Ps">#REF!</definedName>
    <definedName name="Ptotal" localSheetId="2">#REF!</definedName>
    <definedName name="Ptotal" localSheetId="3">#REF!</definedName>
    <definedName name="Ptotal">#REF!</definedName>
    <definedName name="Ptotal_worn" localSheetId="2">#REF!</definedName>
    <definedName name="Ptotal_worn" localSheetId="3">#REF!</definedName>
    <definedName name="Ptotal_worn">#REF!</definedName>
    <definedName name="Pvap" localSheetId="2">#REF!</definedName>
    <definedName name="Pvap" localSheetId="3">#REF!</definedName>
    <definedName name="Pvap">#REF!</definedName>
    <definedName name="Pworn" localSheetId="2">#REF!</definedName>
    <definedName name="Pworn" localSheetId="3">#REF!</definedName>
    <definedName name="Pworn">#REF!</definedName>
    <definedName name="q" localSheetId="2">#REF!</definedName>
    <definedName name="q" localSheetId="3">#REF!</definedName>
    <definedName name="q">#REF!</definedName>
    <definedName name="Qm" localSheetId="2">#REF!</definedName>
    <definedName name="Qm" localSheetId="3">#REF!</definedName>
    <definedName name="Qm">#REF!</definedName>
    <definedName name="Qreqd" localSheetId="2">#REF!</definedName>
    <definedName name="Qreqd" localSheetId="3">#REF!</definedName>
    <definedName name="Qreqd">#REF!</definedName>
    <definedName name="Raff" localSheetId="2">#REF!</definedName>
    <definedName name="Raff" localSheetId="3">#REF!</definedName>
    <definedName name="Raff">#REF!</definedName>
    <definedName name="RaffBleed" localSheetId="2">#REF!</definedName>
    <definedName name="RaffBleed" localSheetId="3">#REF!</definedName>
    <definedName name="RaffBleed">#REF!</definedName>
    <definedName name="RaffBleed1" localSheetId="2">#REF!</definedName>
    <definedName name="RaffBleed1" localSheetId="3">#REF!</definedName>
    <definedName name="RaffBleed1">#REF!</definedName>
    <definedName name="RaffBleed2" localSheetId="2">#REF!</definedName>
    <definedName name="RaffBleed2" localSheetId="3">#REF!</definedName>
    <definedName name="RaffBleed2">#REF!</definedName>
    <definedName name="RaffDump" localSheetId="2">#REF!</definedName>
    <definedName name="RaffDump" localSheetId="3">#REF!</definedName>
    <definedName name="RaffDump">#REF!</definedName>
    <definedName name="RaffRecycle" localSheetId="2">#REF!</definedName>
    <definedName name="RaffRecycle" localSheetId="3">#REF!</definedName>
    <definedName name="RaffRecycle">#REF!</definedName>
    <definedName name="RAOutputs" hidden="1">11</definedName>
    <definedName name="RAOutputs1" localSheetId="2" hidden="1">#REF!+"A"</definedName>
    <definedName name="RAOutputs1" localSheetId="3" hidden="1">#REF!+"A"</definedName>
    <definedName name="RAOutputs1" hidden="1">#REF!+"A"</definedName>
    <definedName name="RAOutputs10" localSheetId="2" hidden="1">#REF!+"J"</definedName>
    <definedName name="RAOutputs10" localSheetId="3" hidden="1">#REF!+"J"</definedName>
    <definedName name="RAOutputs10" hidden="1">#REF!+"J"</definedName>
    <definedName name="RAOutputs11" localSheetId="2" hidden="1">#REF!+"$/oz"</definedName>
    <definedName name="RAOutputs11" localSheetId="3" hidden="1">#REF!+"$/oz"</definedName>
    <definedName name="RAOutputs11" hidden="1">#REF!+"$/oz"</definedName>
    <definedName name="RAOutputs2" localSheetId="2" hidden="1">#REF!+"B"</definedName>
    <definedName name="RAOutputs2" localSheetId="3" hidden="1">#REF!+"B"</definedName>
    <definedName name="RAOutputs2" hidden="1">#REF!+"B"</definedName>
    <definedName name="RAOutputs3" localSheetId="2" hidden="1">#REF!+"C"</definedName>
    <definedName name="RAOutputs3" localSheetId="3" hidden="1">#REF!+"C"</definedName>
    <definedName name="RAOutputs3" hidden="1">#REF!+"C"</definedName>
    <definedName name="RAOutputs4" localSheetId="2" hidden="1">#REF!+"D"</definedName>
    <definedName name="RAOutputs4" localSheetId="3" hidden="1">#REF!+"D"</definedName>
    <definedName name="RAOutputs4" hidden="1">#REF!+"D"</definedName>
    <definedName name="RAOutputs5" localSheetId="2" hidden="1">#REF!+"E"</definedName>
    <definedName name="RAOutputs5" localSheetId="3" hidden="1">#REF!+"E"</definedName>
    <definedName name="RAOutputs5" hidden="1">#REF!+"E"</definedName>
    <definedName name="RAOutputs6" localSheetId="2" hidden="1">#REF!+"F"</definedName>
    <definedName name="RAOutputs6" localSheetId="3" hidden="1">#REF!+"F"</definedName>
    <definedName name="RAOutputs6" hidden="1">#REF!+"F"</definedName>
    <definedName name="RAOutputs7" localSheetId="2" hidden="1">#REF!+"G"</definedName>
    <definedName name="RAOutputs7" localSheetId="3" hidden="1">#REF!+"G"</definedName>
    <definedName name="RAOutputs7" hidden="1">#REF!+"G"</definedName>
    <definedName name="RAOutputs8" localSheetId="2" hidden="1">#REF!+"H"</definedName>
    <definedName name="RAOutputs8" localSheetId="3" hidden="1">#REF!+"H"</definedName>
    <definedName name="RAOutputs8" hidden="1">#REF!+"H"</definedName>
    <definedName name="RAOutputs9" localSheetId="2" hidden="1">#REF!+"I"</definedName>
    <definedName name="RAOutputs9" localSheetId="3" hidden="1">#REF!+"I"</definedName>
    <definedName name="RAOutputs9" hidden="1">#REF!+"I"</definedName>
    <definedName name="RAVersion" hidden="1">"Ra Version 1.2"</definedName>
    <definedName name="Rd" localSheetId="2">#REF!</definedName>
    <definedName name="Rd" localSheetId="3">#REF!</definedName>
    <definedName name="Rd">#REF!</definedName>
    <definedName name="Reagent" localSheetId="2" hidden="1">#REF!</definedName>
    <definedName name="Reagent" localSheetId="3" hidden="1">#REF!</definedName>
    <definedName name="Reagent" hidden="1">#REF!</definedName>
    <definedName name="Reagents" localSheetId="2">#REF!</definedName>
    <definedName name="Reagents" localSheetId="3">#REF!</definedName>
    <definedName name="Reagents">#REF!</definedName>
    <definedName name="ReBarF81" localSheetId="2">#REF!</definedName>
    <definedName name="ReBarF81" localSheetId="3">#REF!</definedName>
    <definedName name="ReBarF81">#REF!</definedName>
    <definedName name="ReBarF82" localSheetId="2">#REF!</definedName>
    <definedName name="ReBarF82" localSheetId="3">#REF!</definedName>
    <definedName name="ReBarF82">#REF!</definedName>
    <definedName name="ReBarYRod" localSheetId="2">#REF!</definedName>
    <definedName name="ReBarYRod" localSheetId="3">#REF!</definedName>
    <definedName name="ReBarYRod">#REF!</definedName>
    <definedName name="rev_date" localSheetId="2">#REF!</definedName>
    <definedName name="rev_date" localSheetId="3">#REF!</definedName>
    <definedName name="rev_date">#REF!</definedName>
    <definedName name="REVIEWLOCK" localSheetId="2">#REF!</definedName>
    <definedName name="REVIEWLOCK" localSheetId="3">#REF!</definedName>
    <definedName name="REVIEWLOCK">#REF!</definedName>
    <definedName name="REVIEWSTART" localSheetId="2">#REF!</definedName>
    <definedName name="REVIEWSTART" localSheetId="3">#REF!</definedName>
    <definedName name="REVIEWSTART">#REF!</definedName>
    <definedName name="Revision" localSheetId="2">#REF!</definedName>
    <definedName name="Revision" localSheetId="3">#REF!</definedName>
    <definedName name="Revision">#REF!</definedName>
    <definedName name="revnumber" localSheetId="2">#REF!</definedName>
    <definedName name="revnumber" localSheetId="3">#REF!</definedName>
    <definedName name="revnumber">#REF!</definedName>
    <definedName name="Rffirstapprox" localSheetId="2">#REF!</definedName>
    <definedName name="Rffirstapprox" localSheetId="3">#REF!</definedName>
    <definedName name="Rffirstapprox">#REF!</definedName>
    <definedName name="rftbl1" localSheetId="2">#REF!</definedName>
    <definedName name="rftbl1" localSheetId="3">#REF!</definedName>
    <definedName name="rftbl1">#REF!</definedName>
    <definedName name="Rftbl2" localSheetId="2">#REF!</definedName>
    <definedName name="Rftbl2" localSheetId="3">#REF!</definedName>
    <definedName name="Rftbl2">#REF!</definedName>
    <definedName name="Rftbl3" localSheetId="2">#REF!</definedName>
    <definedName name="Rftbl3" localSheetId="3">#REF!</definedName>
    <definedName name="Rftbl3">#REF!</definedName>
    <definedName name="rftbl4" localSheetId="2">#REF!</definedName>
    <definedName name="rftbl4" localSheetId="3">#REF!</definedName>
    <definedName name="rftbl4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ngAvgKW" localSheetId="2">#REF!</definedName>
    <definedName name="RngAvgKW" localSheetId="3">#REF!</definedName>
    <definedName name="RngAvgKW">#REF!</definedName>
    <definedName name="RngBtmRow" localSheetId="2">#REF!</definedName>
    <definedName name="RngBtmRow" localSheetId="3">#REF!</definedName>
    <definedName name="RngBtmRow">#REF!</definedName>
    <definedName name="RngCommentsStyle" localSheetId="2">#REF!</definedName>
    <definedName name="RngCommentsStyle" localSheetId="3">#REF!</definedName>
    <definedName name="RngCommentsStyle">#REF!</definedName>
    <definedName name="RngDutyPt" localSheetId="2">#REF!</definedName>
    <definedName name="RngDutyPt" localSheetId="3">#REF!</definedName>
    <definedName name="RngDutyPt">#REF!</definedName>
    <definedName name="RngDutyPtStyle" localSheetId="2">#REF!</definedName>
    <definedName name="RngDutyPtStyle" localSheetId="3">#REF!</definedName>
    <definedName name="RngDutyPtStyle">#REF!</definedName>
    <definedName name="RngEqptLst" localSheetId="2">#REF!</definedName>
    <definedName name="RngEqptLst" localSheetId="3">#REF!</definedName>
    <definedName name="RngEqptLst">#REF!</definedName>
    <definedName name="RngGeneric2" localSheetId="2">#REF!</definedName>
    <definedName name="RngGeneric2" localSheetId="3">#REF!</definedName>
    <definedName name="RngGeneric2">#REF!</definedName>
    <definedName name="RngPeakKW" localSheetId="2">#REF!</definedName>
    <definedName name="RngPeakKW" localSheetId="3">#REF!</definedName>
    <definedName name="RngPeakKW">#REF!</definedName>
    <definedName name="RngSize" localSheetId="2">#REF!</definedName>
    <definedName name="RngSize" localSheetId="3">#REF!</definedName>
    <definedName name="RngSize">#REF!</definedName>
    <definedName name="RngSizeStyle" localSheetId="2">#REF!</definedName>
    <definedName name="RngSizeStyle" localSheetId="3">#REF!</definedName>
    <definedName name="RngSizeStyle">#REF!</definedName>
    <definedName name="RngTopRow" localSheetId="2">#REF!</definedName>
    <definedName name="RngTopRow" localSheetId="3">#REF!</definedName>
    <definedName name="RngTopRow">#REF!</definedName>
    <definedName name="RngTotKW" localSheetId="2">#REF!</definedName>
    <definedName name="RngTotKW" localSheetId="3">#REF!</definedName>
    <definedName name="RngTotKW">#REF!</definedName>
    <definedName name="roping" localSheetId="2">#REF!</definedName>
    <definedName name="roping" localSheetId="3">#REF!</definedName>
    <definedName name="roping">#REF!</definedName>
    <definedName name="Rough" localSheetId="2">#REF!</definedName>
    <definedName name="Rough" localSheetId="3">#REF!</definedName>
    <definedName name="Rough">#REF!</definedName>
    <definedName name="Rs" localSheetId="2">#REF!</definedName>
    <definedName name="Rs" localSheetId="3">#REF!</definedName>
    <definedName name="Rs">#REF!</definedName>
    <definedName name="s" localSheetId="2">#REF!</definedName>
    <definedName name="s" localSheetId="3">#REF!</definedName>
    <definedName name="s">#REF!</definedName>
    <definedName name="screen" localSheetId="2">#REF!</definedName>
    <definedName name="screen" localSheetId="3">#REF!</definedName>
    <definedName name="screen">#REF!</definedName>
    <definedName name="sd" localSheetId="2">#REF!</definedName>
    <definedName name="sd" localSheetId="3">#REF!</definedName>
    <definedName name="sd">#REF!</definedName>
    <definedName name="SFOxide" localSheetId="2">#REF!</definedName>
    <definedName name="SFOxide" localSheetId="3">#REF!</definedName>
    <definedName name="SFOxide">#REF!</definedName>
    <definedName name="SFSteel" localSheetId="2">#REF!</definedName>
    <definedName name="SFSteel" localSheetId="3">#REF!</definedName>
    <definedName name="SFSteel">#REF!</definedName>
    <definedName name="SFWood" localSheetId="2">#REF!</definedName>
    <definedName name="SFWood" localSheetId="3">#REF!</definedName>
    <definedName name="SFWood">#REF!</definedName>
    <definedName name="SGlink" localSheetId="2">#REF!</definedName>
    <definedName name="SGlink" localSheetId="3">#REF!</definedName>
    <definedName name="SGlink">#REF!</definedName>
    <definedName name="SGplace" localSheetId="2">#REF!</definedName>
    <definedName name="SGplace" localSheetId="3">#REF!</definedName>
    <definedName name="SGplace">#REF!</definedName>
    <definedName name="sheep" localSheetId="2">#REF!</definedName>
    <definedName name="sheep" localSheetId="3">#REF!</definedName>
    <definedName name="sheep">#REF!</definedName>
    <definedName name="sheet3" localSheetId="4" hidden="1">{"CORP COP",#N/A,FALSE,"Corporate"}</definedName>
    <definedName name="sheet3" localSheetId="2" hidden="1">{"CORP COP",#N/A,FALSE,"Corporate"}</definedName>
    <definedName name="sheet3" localSheetId="1" hidden="1">{"CORP COP",#N/A,FALSE,"Corporate"}</definedName>
    <definedName name="sheet3" localSheetId="3" hidden="1">{"CORP COP",#N/A,FALSE,"Corporate"}</definedName>
    <definedName name="sheet3" hidden="1">{"CORP COP",#N/A,FALSE,"Corporate"}</definedName>
    <definedName name="sheetnumber" localSheetId="2">#REF!</definedName>
    <definedName name="sheetnumber" localSheetId="3">#REF!</definedName>
    <definedName name="sheetnumber">#REF!</definedName>
    <definedName name="Site_Development" localSheetId="2">#REF!</definedName>
    <definedName name="Site_Development" localSheetId="3">#REF!</definedName>
    <definedName name="Site_Development">#REF!</definedName>
    <definedName name="Site_Preparation" localSheetId="2">#REF!</definedName>
    <definedName name="Site_Preparation" localSheetId="3">#REF!</definedName>
    <definedName name="Site_Preparation">#REF!</definedName>
    <definedName name="SiteMgr" localSheetId="2">#REF!</definedName>
    <definedName name="SiteMgr" localSheetId="3">#REF!</definedName>
    <definedName name="SiteMgr">#REF!</definedName>
    <definedName name="sizedist" localSheetId="2">#REF!</definedName>
    <definedName name="sizedist" localSheetId="3">#REF!</definedName>
    <definedName name="sizedist">#REF!</definedName>
    <definedName name="sizeoftph" localSheetId="2">#REF!</definedName>
    <definedName name="sizeoftph" localSheetId="3">#REF!</definedName>
    <definedName name="sizeoftph">#REF!</definedName>
    <definedName name="Sl" localSheetId="2">#REF!</definedName>
    <definedName name="Sl" localSheetId="3">#REF!</definedName>
    <definedName name="Sl">#REF!</definedName>
    <definedName name="Sm" localSheetId="2">#REF!</definedName>
    <definedName name="Sm" localSheetId="3">#REF!</definedName>
    <definedName name="Sm">#REF!</definedName>
    <definedName name="solidssg" localSheetId="2">#REF!</definedName>
    <definedName name="solidssg" localSheetId="3">#REF!</definedName>
    <definedName name="solidssg">#REF!</definedName>
    <definedName name="Specs" localSheetId="2">#REF!</definedName>
    <definedName name="Specs" localSheetId="3">#REF!</definedName>
    <definedName name="Specs">#REF!</definedName>
    <definedName name="Spoil" localSheetId="2">#REF!</definedName>
    <definedName name="Spoil" localSheetId="3">#REF!</definedName>
    <definedName name="Spoil">#REF!</definedName>
    <definedName name="SRExcavBeam" localSheetId="2">#REF!</definedName>
    <definedName name="SRExcavBeam" localSheetId="3">#REF!</definedName>
    <definedName name="SRExcavBeam">#REF!</definedName>
    <definedName name="SRExcavPit" localSheetId="2">#REF!</definedName>
    <definedName name="SRExcavPit" localSheetId="3">#REF!</definedName>
    <definedName name="SRExcavPit">#REF!</definedName>
    <definedName name="SRExcavTunnel" localSheetId="2">#REF!</definedName>
    <definedName name="SRExcavTunnel" localSheetId="3">#REF!</definedName>
    <definedName name="SRExcavTunnel">#REF!</definedName>
    <definedName name="ss" localSheetId="2">#REF!</definedName>
    <definedName name="ss" localSheetId="3">#REF!</definedName>
    <definedName name="ss">#REF!</definedName>
    <definedName name="SS0.47SpandekSupplyInstall" localSheetId="2">#REF!</definedName>
    <definedName name="SS0.47SpandekSupplyInstall" localSheetId="3">#REF!</definedName>
    <definedName name="SS0.47SpandekSupplyInstall">#REF!</definedName>
    <definedName name="SSBeamsColsSupply" localSheetId="2">#REF!</definedName>
    <definedName name="SSBeamsColsSupply" localSheetId="3">#REF!</definedName>
    <definedName name="SSBeamsColsSupply">#REF!</definedName>
    <definedName name="SSBeamsColsSupplyInstall" localSheetId="2">#REF!</definedName>
    <definedName name="SSBeamsColsSupplyInstall" localSheetId="3">#REF!</definedName>
    <definedName name="SSBeamsColsSupplyInstall">#REF!</definedName>
    <definedName name="SSC15019SupplyInstall" localSheetId="2">#REF!</definedName>
    <definedName name="SSC15019SupplyInstall" localSheetId="3">#REF!</definedName>
    <definedName name="SSC15019SupplyInstall">#REF!</definedName>
    <definedName name="SSC15024SupplyInstall" localSheetId="2">#REF!</definedName>
    <definedName name="SSC15024SupplyInstall" localSheetId="3">#REF!</definedName>
    <definedName name="SSC15024SupplyInstall">#REF!</definedName>
    <definedName name="SSFastenersSupplyInstall" localSheetId="2">#REF!</definedName>
    <definedName name="SSFastenersSupplyInstall" localSheetId="3">#REF!</definedName>
    <definedName name="SSFastenersSupplyInstall">#REF!</definedName>
    <definedName name="SSFloorPlSupply" localSheetId="2">#REF!</definedName>
    <definedName name="SSFloorPlSupply" localSheetId="3">#REF!</definedName>
    <definedName name="SSFloorPlSupply">#REF!</definedName>
    <definedName name="SSFloorPlSupplyInstall" localSheetId="2">#REF!</definedName>
    <definedName name="SSFloorPlSupplyInstall" localSheetId="3">#REF!</definedName>
    <definedName name="SSFloorPlSupplyInstall">#REF!</definedName>
    <definedName name="SSGridSupply" localSheetId="2">#REF!</definedName>
    <definedName name="SSGridSupply" localSheetId="3">#REF!</definedName>
    <definedName name="SSGridSupply">#REF!</definedName>
    <definedName name="SSHandrailSupplyInstall" localSheetId="2">#REF!</definedName>
    <definedName name="SSHandrailSupplyInstall" localSheetId="3">#REF!</definedName>
    <definedName name="SSHandrailSupplyInstall">#REF!</definedName>
    <definedName name="SSHopperGridSupply" localSheetId="2">#REF!</definedName>
    <definedName name="SSHopperGridSupply" localSheetId="3">#REF!</definedName>
    <definedName name="SSHopperGridSupply">#REF!</definedName>
    <definedName name="SSHoppersSupply" localSheetId="2">#REF!</definedName>
    <definedName name="SSHoppersSupply" localSheetId="3">#REF!</definedName>
    <definedName name="SSHoppersSupply">#REF!</definedName>
    <definedName name="SSHoppersSupplyInstall" localSheetId="2">#REF!</definedName>
    <definedName name="SSHoppersSupplyInstall" localSheetId="3">#REF!</definedName>
    <definedName name="SSHoppersSupplyInstall">#REF!</definedName>
    <definedName name="SSLabour" localSheetId="2">#REF!</definedName>
    <definedName name="SSLabour" localSheetId="3">#REF!</definedName>
    <definedName name="SSLabour">#REF!</definedName>
    <definedName name="sssskk222kkkssskkkdkdkkkk" localSheetId="2">#REF!</definedName>
    <definedName name="sssskk222kkkssskkkdkdkkkk" localSheetId="3">#REF!</definedName>
    <definedName name="sssskk222kkkssskkkdkdkkkk">#REF!</definedName>
    <definedName name="ssssssd" localSheetId="2">#REF!</definedName>
    <definedName name="ssssssd" localSheetId="3">#REF!</definedName>
    <definedName name="ssssssd">#REF!</definedName>
    <definedName name="ssssssssssssssssssddddddddjjjjjjjj" localSheetId="2">#REF!</definedName>
    <definedName name="ssssssssssssssssssddddddddjjjjjjjj" localSheetId="3">#REF!</definedName>
    <definedName name="ssssssssssssssssssddddddddjjjjjjjj">#REF!</definedName>
    <definedName name="SSStairTreadSupply" localSheetId="2">#REF!</definedName>
    <definedName name="SSStairTreadSupply" localSheetId="3">#REF!</definedName>
    <definedName name="SSStairTreadSupply">#REF!</definedName>
    <definedName name="staff" localSheetId="2">#REF!</definedName>
    <definedName name="staff" localSheetId="3">#REF!</definedName>
    <definedName name="staff">#REF!</definedName>
    <definedName name="status" localSheetId="2">#REF!</definedName>
    <definedName name="status" localSheetId="3">#REF!</definedName>
    <definedName name="status">#REF!</definedName>
    <definedName name="Steel" localSheetId="2">#REF!</definedName>
    <definedName name="Steel" localSheetId="3">#REF!</definedName>
    <definedName name="Steel">#REF!</definedName>
    <definedName name="SteelAvail" localSheetId="2">#REF!</definedName>
    <definedName name="SteelAvail" localSheetId="3">#REF!</definedName>
    <definedName name="SteelAvail">#REF!</definedName>
    <definedName name="SteelBore" localSheetId="2">#REF!</definedName>
    <definedName name="SteelBore" localSheetId="3">#REF!</definedName>
    <definedName name="SteelBore">#REF!</definedName>
    <definedName name="STEELCODES" localSheetId="2">#REF!</definedName>
    <definedName name="STEELCODES" localSheetId="3">#REF!</definedName>
    <definedName name="STEELCODES">#REF!</definedName>
    <definedName name="SteelErectorPerHr" localSheetId="2">#REF!</definedName>
    <definedName name="SteelErectorPerHr" localSheetId="3">#REF!</definedName>
    <definedName name="SteelErectorPerHr">#REF!</definedName>
    <definedName name="SteelFabCommodityRatesTable" localSheetId="2">#REF!</definedName>
    <definedName name="SteelFabCommodityRatesTable" localSheetId="3">#REF!</definedName>
    <definedName name="SteelFabCommodityRatesTable">#REF!</definedName>
    <definedName name="SteelRough" localSheetId="2">#REF!</definedName>
    <definedName name="SteelRough" localSheetId="3">#REF!</definedName>
    <definedName name="SteelRough">#REF!</definedName>
    <definedName name="SteelSize" localSheetId="2">#REF!</definedName>
    <definedName name="SteelSize" localSheetId="3">#REF!</definedName>
    <definedName name="SteelSize">#REF!</definedName>
    <definedName name="SteelSpec" localSheetId="2">#REF!</definedName>
    <definedName name="SteelSpec" localSheetId="3">#REF!</definedName>
    <definedName name="SteelSpec">#REF!</definedName>
    <definedName name="Steelwor" localSheetId="2">#REF!</definedName>
    <definedName name="Steelwor" localSheetId="3">#REF!</definedName>
    <definedName name="Steelwor">#REF!</definedName>
    <definedName name="Steelwork" localSheetId="2">#REF!</definedName>
    <definedName name="Steelwork" localSheetId="3">#REF!</definedName>
    <definedName name="Steelwork">#REF!</definedName>
    <definedName name="Stockpiling_Reclaim_Conveying" localSheetId="2">#REF!</definedName>
    <definedName name="Stockpiling_Reclaim_Conveying" localSheetId="3">#REF!</definedName>
    <definedName name="Stockpiling_Reclaim_Conveying">#REF!</definedName>
    <definedName name="StructuralSteelworkRateCode" localSheetId="2">OFFSET(#REF!,,,COUNTA(#REF!))</definedName>
    <definedName name="StructuralSteelworkRateCode" localSheetId="3">OFFSET(#REF!,,,COUNTA(#REF!))</definedName>
    <definedName name="StructuralSteelworkRateCode">OFFSET(#REF!,,,COUNTA(#REF!))</definedName>
    <definedName name="Structure" localSheetId="2">#REF!</definedName>
    <definedName name="Structure" localSheetId="3">#REF!</definedName>
    <definedName name="Structure">#REF!</definedName>
    <definedName name="StructureHdr" localSheetId="2">#REF!</definedName>
    <definedName name="StructureHdr" localSheetId="3">#REF!</definedName>
    <definedName name="StructureHdr">#REF!</definedName>
    <definedName name="Sub_loan_paid" localSheetId="2">#REF!</definedName>
    <definedName name="Sub_loan_paid" localSheetId="3">#REF!</definedName>
    <definedName name="Sub_loan_paid">#REF!</definedName>
    <definedName name="Sub_loan_transfer_acc_pay" localSheetId="2">#REF!</definedName>
    <definedName name="Sub_loan_transfer_acc_pay" localSheetId="3">#REF!</definedName>
    <definedName name="Sub_loan_transfer_acc_pay">#REF!</definedName>
    <definedName name="SUBSIDIARY" localSheetId="2">#REF!</definedName>
    <definedName name="SUBSIDIARY" localSheetId="3">#REF!</definedName>
    <definedName name="SUBSIDIARY">#REF!</definedName>
    <definedName name="SuptClk" localSheetId="2">#REF!</definedName>
    <definedName name="SuptClk" localSheetId="3">#REF!</definedName>
    <definedName name="SuptClk">#REF!</definedName>
    <definedName name="SuptEng" localSheetId="2">#REF!</definedName>
    <definedName name="SuptEng" localSheetId="3">#REF!</definedName>
    <definedName name="SuptEng">#REF!</definedName>
    <definedName name="SurvAss" localSheetId="2">#REF!</definedName>
    <definedName name="SurvAss" localSheetId="3">#REF!</definedName>
    <definedName name="SurvAss">#REF!</definedName>
    <definedName name="Table_12" localSheetId="2">#REF!</definedName>
    <definedName name="Table_12" localSheetId="3">#REF!</definedName>
    <definedName name="Table_12">#REF!</definedName>
    <definedName name="Table_13" localSheetId="2">#REF!</definedName>
    <definedName name="Table_13" localSheetId="3">#REF!</definedName>
    <definedName name="Table_13">#REF!</definedName>
    <definedName name="Table_37" localSheetId="2">#REF!</definedName>
    <definedName name="Table_37" localSheetId="3">#REF!</definedName>
    <definedName name="Table_37">#REF!</definedName>
    <definedName name="Table_42" localSheetId="2">#REF!</definedName>
    <definedName name="Table_42" localSheetId="3">#REF!</definedName>
    <definedName name="Table_42">#REF!</definedName>
    <definedName name="Tailings_Handling_Disposal" localSheetId="2">#REF!</definedName>
    <definedName name="Tailings_Handling_Disposal" localSheetId="3">#REF!</definedName>
    <definedName name="Tailings_Handling_Disposal">#REF!</definedName>
    <definedName name="Tails1" localSheetId="2">#REF!</definedName>
    <definedName name="Tails1" localSheetId="3">#REF!</definedName>
    <definedName name="Tails1">#REF!</definedName>
    <definedName name="TailsThickUF" localSheetId="2">#REF!</definedName>
    <definedName name="TailsThickUF" localSheetId="3">#REF!</definedName>
    <definedName name="TailsThickUF">#REF!</definedName>
    <definedName name="Tanks_Pl" localSheetId="2">#REF!</definedName>
    <definedName name="Tanks_Pl" localSheetId="3">#REF!</definedName>
    <definedName name="Tanks_Pl">#REF!</definedName>
    <definedName name="targetd50c" localSheetId="2">#REF!</definedName>
    <definedName name="targetd50c" localSheetId="3">#REF!</definedName>
    <definedName name="targetd50c">#REF!</definedName>
    <definedName name="targetd50c_1" localSheetId="2">#REF!</definedName>
    <definedName name="targetd50c_1" localSheetId="3">#REF!</definedName>
    <definedName name="targetd50c_1">#REF!</definedName>
    <definedName name="targetd50c_2" localSheetId="2">#REF!</definedName>
    <definedName name="targetd50c_2" localSheetId="3">#REF!</definedName>
    <definedName name="targetd50c_2">#REF!</definedName>
    <definedName name="targetd50c_3" localSheetId="2">#REF!</definedName>
    <definedName name="targetd50c_3" localSheetId="3">#REF!</definedName>
    <definedName name="targetd50c_3">#REF!</definedName>
    <definedName name="targetdeltaP" localSheetId="2">#REF!</definedName>
    <definedName name="targetdeltaP" localSheetId="3">#REF!</definedName>
    <definedName name="targetdeltaP">#REF!</definedName>
    <definedName name="targetdeltaP_1" localSheetId="2">#REF!</definedName>
    <definedName name="targetdeltaP_1" localSheetId="3">#REF!</definedName>
    <definedName name="targetdeltaP_1">#REF!</definedName>
    <definedName name="targetdeltaP_2" localSheetId="2">#REF!</definedName>
    <definedName name="targetdeltaP_2" localSheetId="3">#REF!</definedName>
    <definedName name="targetdeltaP_2">#REF!</definedName>
    <definedName name="targetdeltaP_3" localSheetId="2">#REF!</definedName>
    <definedName name="targetdeltaP_3" localSheetId="3">#REF!</definedName>
    <definedName name="targetdeltaP_3">#REF!</definedName>
    <definedName name="TAssMHr" localSheetId="2">#REF!</definedName>
    <definedName name="TAssMHr" localSheetId="3">#REF!</definedName>
    <definedName name="TAssMHr">#REF!</definedName>
    <definedName name="temp" localSheetId="2">#REF!</definedName>
    <definedName name="temp" localSheetId="3">#REF!</definedName>
    <definedName name="temp">#REF!</definedName>
    <definedName name="thisUnit">"Uthis Unit"</definedName>
    <definedName name="THMembers" localSheetId="2">#REF!</definedName>
    <definedName name="THMembers" localSheetId="3">#REF!</definedName>
    <definedName name="THMembers">#REF!</definedName>
    <definedName name="ti" localSheetId="2">#REF!</definedName>
    <definedName name="ti" localSheetId="3">#REF!</definedName>
    <definedName name="ti">#REF!</definedName>
    <definedName name="TlsDisposalThickOF" localSheetId="2">#REF!</definedName>
    <definedName name="TlsDisposalThickOF" localSheetId="3">#REF!</definedName>
    <definedName name="TlsDisposalThickOF">#REF!</definedName>
    <definedName name="TlsTonnage" localSheetId="2">#REF!</definedName>
    <definedName name="TlsTonnage" localSheetId="3">#REF!</definedName>
    <definedName name="TlsTonnage">#REF!</definedName>
    <definedName name="Tom" localSheetId="2">#REF!</definedName>
    <definedName name="Tom" localSheetId="3">#REF!</definedName>
    <definedName name="Tom">#REF!</definedName>
    <definedName name="Tonnage" localSheetId="2">#REF!</definedName>
    <definedName name="Tonnage" localSheetId="3">#REF!</definedName>
    <definedName name="Tonnage">#REF!</definedName>
    <definedName name="Tonnage1" localSheetId="2">#REF!</definedName>
    <definedName name="Tonnage1" localSheetId="3">#REF!</definedName>
    <definedName name="Tonnage1">#REF!</definedName>
    <definedName name="Tonnage2" localSheetId="2">#REF!</definedName>
    <definedName name="Tonnage2" localSheetId="3">#REF!</definedName>
    <definedName name="Tonnage2">#REF!</definedName>
    <definedName name="TotalMakeUpWater" localSheetId="2">#REF!</definedName>
    <definedName name="TotalMakeUpWater" localSheetId="3">#REF!</definedName>
    <definedName name="TotalMakeUpWater">#REF!</definedName>
    <definedName name="TOTDIR_IND" localSheetId="2">#REF!</definedName>
    <definedName name="TOTDIR_IND" localSheetId="3">#REF!</definedName>
    <definedName name="TOTDIR_IND">#REF!</definedName>
    <definedName name="TOTHRS" localSheetId="2">#REF!</definedName>
    <definedName name="TOTHRS" localSheetId="3">#REF!</definedName>
    <definedName name="TOTHRS">#REF!</definedName>
    <definedName name="TrenchShore" localSheetId="2">#REF!</definedName>
    <definedName name="TrenchShore" localSheetId="3">#REF!</definedName>
    <definedName name="TrenchShore">#REF!</definedName>
    <definedName name="TrenchStrut" localSheetId="2">#REF!</definedName>
    <definedName name="TrenchStrut" localSheetId="3">#REF!</definedName>
    <definedName name="TrenchStrut">#REF!</definedName>
    <definedName name="uf" localSheetId="2">#REF!</definedName>
    <definedName name="uf" localSheetId="3">#REF!</definedName>
    <definedName name="uf">#REF!</definedName>
    <definedName name="ufofcslope" localSheetId="2">#REF!</definedName>
    <definedName name="ufofcslope" localSheetId="3">#REF!</definedName>
    <definedName name="ufofcslope">#REF!</definedName>
    <definedName name="ufofgslope" localSheetId="2">#REF!</definedName>
    <definedName name="ufofgslope" localSheetId="3">#REF!</definedName>
    <definedName name="ufofgslope">#REF!</definedName>
    <definedName name="ufofrotot" localSheetId="2">#REF!</definedName>
    <definedName name="ufofrotot" localSheetId="3">#REF!</definedName>
    <definedName name="ufofrotot">#REF!</definedName>
    <definedName name="ufofrtot" localSheetId="2">#REF!</definedName>
    <definedName name="ufofrtot" localSheetId="3">#REF!</definedName>
    <definedName name="ufofrtot">#REF!</definedName>
    <definedName name="ufofsharpness" localSheetId="2">#REF!</definedName>
    <definedName name="ufofsharpness" localSheetId="3">#REF!</definedName>
    <definedName name="ufofsharpness">#REF!</definedName>
    <definedName name="uftph" localSheetId="2">#REF!</definedName>
    <definedName name="uftph" localSheetId="3">#REF!</definedName>
    <definedName name="uftph">#REF!</definedName>
    <definedName name="uftpha" localSheetId="2">#REF!</definedName>
    <definedName name="uftpha" localSheetId="3">#REF!</definedName>
    <definedName name="uftpha">#REF!</definedName>
    <definedName name="uftphb" localSheetId="2">#REF!</definedName>
    <definedName name="uftphb" localSheetId="3">#REF!</definedName>
    <definedName name="uftphb">#REF!</definedName>
    <definedName name="ufvolpctsolids" localSheetId="2">#REF!</definedName>
    <definedName name="ufvolpctsolids" localSheetId="3">#REF!</definedName>
    <definedName name="ufvolpctsolids">#REF!</definedName>
    <definedName name="um" localSheetId="2">#REF!</definedName>
    <definedName name="um" localSheetId="3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ildSpecs" localSheetId="2">#REF!</definedName>
    <definedName name="VaildSpecs" localSheetId="3">#REF!</definedName>
    <definedName name="VaildSpecs">#REF!</definedName>
    <definedName name="ValidSpecs" localSheetId="2">#REF!</definedName>
    <definedName name="ValidSpecs" localSheetId="3">#REF!</definedName>
    <definedName name="ValidSpecs">#REF!</definedName>
    <definedName name="VdF" localSheetId="2">#REF!</definedName>
    <definedName name="VdF" localSheetId="3">#REF!</definedName>
    <definedName name="VdF">#REF!</definedName>
    <definedName name="VdL" localSheetId="2">#REF!</definedName>
    <definedName name="VdL" localSheetId="3">#REF!</definedName>
    <definedName name="VdL">#REF!</definedName>
    <definedName name="Vdm" localSheetId="2">#REF!</definedName>
    <definedName name="Vdm" localSheetId="3">#REF!</definedName>
    <definedName name="Vdm">#REF!</definedName>
    <definedName name="Vdratio" localSheetId="2">#REF!</definedName>
    <definedName name="Vdratio" localSheetId="3">#REF!</definedName>
    <definedName name="Vdratio">#REF!</definedName>
    <definedName name="vdsv" localSheetId="2" hidden="1">#REF!</definedName>
    <definedName name="vdsv" localSheetId="3" hidden="1">#REF!</definedName>
    <definedName name="vdsv" hidden="1">#REF!</definedName>
    <definedName name="vmm" localSheetId="2">#REF!</definedName>
    <definedName name="vmm" localSheetId="3">#REF!</definedName>
    <definedName name="vmm">#REF!</definedName>
    <definedName name="vmr" localSheetId="2">#REF!</definedName>
    <definedName name="vmr" localSheetId="3">#REF!</definedName>
    <definedName name="vmr">#REF!</definedName>
    <definedName name="vrr" localSheetId="2">#REF!</definedName>
    <definedName name="vrr" localSheetId="3">#REF!</definedName>
    <definedName name="vrr">#REF!</definedName>
    <definedName name="VsF" localSheetId="2">#REF!</definedName>
    <definedName name="VsF" localSheetId="3">#REF!</definedName>
    <definedName name="VsF">#REF!</definedName>
    <definedName name="VsL" localSheetId="2">#REF!</definedName>
    <definedName name="VsL" localSheetId="3">#REF!</definedName>
    <definedName name="VsL">#REF!</definedName>
    <definedName name="Vsm" localSheetId="2">#REF!</definedName>
    <definedName name="Vsm" localSheetId="3">#REF!</definedName>
    <definedName name="Vsm">#REF!</definedName>
    <definedName name="Vsratio" localSheetId="2">#REF!</definedName>
    <definedName name="Vsratio" localSheetId="3">#REF!</definedName>
    <definedName name="Vsratio">#REF!</definedName>
    <definedName name="W" localSheetId="2">#REF!</definedName>
    <definedName name="W" localSheetId="3">#REF!</definedName>
    <definedName name="W">#REF!</definedName>
    <definedName name="W_Contractors_Distrubutables_Preliminaries" localSheetId="2">#REF!</definedName>
    <definedName name="W_Contractors_Distrubutables_Preliminaries" localSheetId="3">#REF!</definedName>
    <definedName name="W_Contractors_Distrubutables_Preliminaries">#REF!</definedName>
    <definedName name="WaterSG" localSheetId="2">#REF!</definedName>
    <definedName name="WaterSG" localSheetId="3">#REF!</definedName>
    <definedName name="WaterSG">#REF!</definedName>
    <definedName name="WCBPrint" localSheetId="2">#REF!</definedName>
    <definedName name="WCBPrint" localSheetId="3">#REF!</definedName>
    <definedName name="WCBPrint">#REF!</definedName>
    <definedName name="WetPlantConcreteCommodityRatesTable" localSheetId="2">#REF!</definedName>
    <definedName name="WetPlantConcreteCommodityRatesTable" localSheetId="3">#REF!</definedName>
    <definedName name="WetPlantConcreteCommodityRatesTable">#REF!</definedName>
    <definedName name="Working_Capital" localSheetId="2">#REF!</definedName>
    <definedName name="Working_Capital" localSheetId="3">#REF!</definedName>
    <definedName name="Working_Capital">#REF!</definedName>
    <definedName name="wrn.ADMIN." localSheetId="4" hidden="1">{"ADMIN 1",#N/A,FALSE,"Admin";"ADMIN 2",#N/A,FALSE,"Admin";"ADMIN 3",#N/A,FALSE,"Admin";"ADMIN 4",#N/A,FALSE,"Admin";"ADMIN 5",#N/A,FALSE,"Admin"}</definedName>
    <definedName name="wrn.ADMIN." localSheetId="2" hidden="1">{"ADMIN 1",#N/A,FALSE,"Admin";"ADMIN 2",#N/A,FALSE,"Admin";"ADMIN 3",#N/A,FALSE,"Admin";"ADMIN 4",#N/A,FALSE,"Admin";"ADMIN 5",#N/A,FALSE,"Admin"}</definedName>
    <definedName name="wrn.ADMIN." localSheetId="1" hidden="1">{"ADMIN 1",#N/A,FALSE,"Admin";"ADMIN 2",#N/A,FALSE,"Admin";"ADMIN 3",#N/A,FALSE,"Admin";"ADMIN 4",#N/A,FALSE,"Admin";"ADMIN 5",#N/A,FALSE,"Admin"}</definedName>
    <definedName name="wrn.ADMIN." localSheetId="3" hidden="1">{"ADMIN 1",#N/A,FALSE,"Admin";"ADMIN 2",#N/A,FALSE,"Admin";"ADMIN 3",#N/A,FALSE,"Admin";"ADMIN 4",#N/A,FALSE,"Admin";"ADMIN 5",#N/A,FALSE,"Admin"}</definedName>
    <definedName name="wrn.ADMIN." hidden="1">{"ADMIN 1",#N/A,FALSE,"Admin";"ADMIN 2",#N/A,FALSE,"Admin";"ADMIN 3",#N/A,FALSE,"Admin";"ADMIN 4",#N/A,FALSE,"Admin";"ADMIN 5",#N/A,FALSE,"Admin"}</definedName>
    <definedName name="wrn.ALL." localSheetId="4" hidden="1">{"VERSION",#N/A,TRUE,"Version";"CORP PL",#N/A,TRUE,"Corporate";"CORP COP",#N/A,TRUE,"Corporate";"CORP UGRND",#N/A,TRUE,"Corporate";"CORP MLP",#N/A,TRUE,"Corporate";"CORP JACCOLETTI",#N/A,TRUE,"Corporate";"CORP SATELLITES",#N/A,TRUE,"Corporate";"CORP TREATMENT",#N/A,TRUE,"Corporate";"SUMMARY 1",#N/A,TRUE,"Corporate";"SUMMARY 2",#N/A,TRUE,"Corporate";"SUMMARY 3",#N/A,TRUE,"Corporate";"UGRND 1",#N/A,TRUE,"Corporate";"UGRND 2",#N/A,TRUE,"Corporate";"UGRND 3",#N/A,TRUE,"Corporate";"UGRND 4",#N/A,TRUE,"Corporate";"UGRND 5",#N/A,TRUE,"Corporate";"UGRND 6",#N/A,TRUE,"Corporate";"UGRND 7",#N/A,TRUE,"Corporate";"UGRND 8",#N/A,TRUE,"Corporate";"UGRND 9",#N/A,TRUE,"Corporate";"UGRND 10",#N/A,TRUE,"Corporate";"MLP 1",#N/A,TRUE,"Corporate";"MLP 2",#N/A,TRUE,"Corporate";"MLP 3",#N/A,TRUE,"Corporate";"MLP 4",#N/A,TRUE,"Corporate";"MLP 5",#N/A,TRUE,"Corporate";"MLP 6",#N/A,TRUE,"Corporate";"MLP 7",#N/A,TRUE,"Corporate";"MLP 8",#N/A,TRUE,"Corporate";"MLP 9",#N/A,TRUE,"Corporate";"MLP 10",#N/A,TRUE,"Corporate";"JACC 1",#N/A,TRUE,"Corporate";"JACC 2",#N/A,TRUE,"Corporate";"JACC 3",#N/A,TRUE,"Corporate";"JACC 4",#N/A,TRUE,"Corporate";"JACC 5",#N/A,TRUE,"Corporate";"JACC 6",#N/A,TRUE,"Corporate";"JACC 7",#N/A,TRUE,"Corporate";"JACC 8",#N/A,TRUE,"Corporate";"SATT 1",#N/A,TRUE,"Corporate";"SATT 1_2",#N/A,TRUE,"Corporate";"SATT 2",#N/A,TRUE,"Corporate";"SATT 3",#N/A,TRUE,"Corporate";"SATT 4",#N/A,TRUE,"Corporate";"SATT 5",#N/A,TRUE,"Corporate";"SATT 6",#N/A,TRUE,"Corporate";"SATT 7",#N/A,TRUE,"Corporate";"SURFACE HAUL",#N/A,TRUE,"Corporate";"MLM 1",#N/A,TRUE,"Corporate";"MLM 2",#N/A,TRUE,"Corporate";"MLM 3",#N/A,TRUE,"Corporate";"MLM 4",#N/A,TRUE,"Corporate";"MLM 5",#N/A,TRUE,"Corporate";"MLM 6",#N/A,TRUE,"Corporate";"MLM 7",#N/A,TRUE,"Corporate";"MLM 8",#N/A,TRUE,"Corporate";"MLM 9",#N/A,TRUE,"Corporate";"MLM 10",#N/A,TRUE,"Corporate";"MLM 11",#N/A,TRUE,"Corporate";"ADMIN 1",#N/A,TRUE,"Corporate";"ADMIN 2",#N/A,TRUE,"Corporate";"ADMIN 3",#N/A,TRUE,"Corporate";"ADMIN 4",#N/A,TRUE,"Corporate";"ADMIN 5",#N/A,TRUE,"Corporate";"NON CASH 1",#N/A,TRUE,"Corporate";"NON CASH 2",#N/A,TRUE,"Corporate";"NON CASH 3",#N/A,TRUE,"Corporate";"NON CASH 4",#N/A,TRUE,"Corporate";"NON CASH 5",#N/A,TRUE,"Corporate";"NON CASH 6",#N/A,TRUE,"Corporate";"NON CASH 7",#N/A,TRUE,"Corporate";"CAPITAL 1",#N/A,TRUE,"Corporate";"CAPITAL 2",#N/A,TRUE,"Corporate";"CAPITAL 3",#N/A,TRUE,"Corporate";"CAPITAL 4",#N/A,TRUE,"Corporate";"MANNING 1",#N/A,TRUE,"Corporate";"MANNING 2",#N/A,TRUE,"Corporate";"MANNING 3",#N/A,TRUE,"Corporate"}</definedName>
    <definedName name="wrn.ALL." localSheetId="2" hidden="1">{"VERSION",#N/A,TRUE,"Version";"CORP PL",#N/A,TRUE,"Corporate";"CORP COP",#N/A,TRUE,"Corporate";"CORP UGRND",#N/A,TRUE,"Corporate";"CORP MLP",#N/A,TRUE,"Corporate";"CORP JACCOLETTI",#N/A,TRUE,"Corporate";"CORP SATELLITES",#N/A,TRUE,"Corporate";"CORP TREATMENT",#N/A,TRUE,"Corporate";"SUMMARY 1",#N/A,TRUE,"Corporate";"SUMMARY 2",#N/A,TRUE,"Corporate";"SUMMARY 3",#N/A,TRUE,"Corporate";"UGRND 1",#N/A,TRUE,"Corporate";"UGRND 2",#N/A,TRUE,"Corporate";"UGRND 3",#N/A,TRUE,"Corporate";"UGRND 4",#N/A,TRUE,"Corporate";"UGRND 5",#N/A,TRUE,"Corporate";"UGRND 6",#N/A,TRUE,"Corporate";"UGRND 7",#N/A,TRUE,"Corporate";"UGRND 8",#N/A,TRUE,"Corporate";"UGRND 9",#N/A,TRUE,"Corporate";"UGRND 10",#N/A,TRUE,"Corporate";"MLP 1",#N/A,TRUE,"Corporate";"MLP 2",#N/A,TRUE,"Corporate";"MLP 3",#N/A,TRUE,"Corporate";"MLP 4",#N/A,TRUE,"Corporate";"MLP 5",#N/A,TRUE,"Corporate";"MLP 6",#N/A,TRUE,"Corporate";"MLP 7",#N/A,TRUE,"Corporate";"MLP 8",#N/A,TRUE,"Corporate";"MLP 9",#N/A,TRUE,"Corporate";"MLP 10",#N/A,TRUE,"Corporate";"JACC 1",#N/A,TRUE,"Corporate";"JACC 2",#N/A,TRUE,"Corporate";"JACC 3",#N/A,TRUE,"Corporate";"JACC 4",#N/A,TRUE,"Corporate";"JACC 5",#N/A,TRUE,"Corporate";"JACC 6",#N/A,TRUE,"Corporate";"JACC 7",#N/A,TRUE,"Corporate";"JACC 8",#N/A,TRUE,"Corporate";"SATT 1",#N/A,TRUE,"Corporate";"SATT 1_2",#N/A,TRUE,"Corporate";"SATT 2",#N/A,TRUE,"Corporate";"SATT 3",#N/A,TRUE,"Corporate";"SATT 4",#N/A,TRUE,"Corporate";"SATT 5",#N/A,TRUE,"Corporate";"SATT 6",#N/A,TRUE,"Corporate";"SATT 7",#N/A,TRUE,"Corporate";"SURFACE HAUL",#N/A,TRUE,"Corporate";"MLM 1",#N/A,TRUE,"Corporate";"MLM 2",#N/A,TRUE,"Corporate";"MLM 3",#N/A,TRUE,"Corporate";"MLM 4",#N/A,TRUE,"Corporate";"MLM 5",#N/A,TRUE,"Corporate";"MLM 6",#N/A,TRUE,"Corporate";"MLM 7",#N/A,TRUE,"Corporate";"MLM 8",#N/A,TRUE,"Corporate";"MLM 9",#N/A,TRUE,"Corporate";"MLM 10",#N/A,TRUE,"Corporate";"MLM 11",#N/A,TRUE,"Corporate";"ADMIN 1",#N/A,TRUE,"Corporate";"ADMIN 2",#N/A,TRUE,"Corporate";"ADMIN 3",#N/A,TRUE,"Corporate";"ADMIN 4",#N/A,TRUE,"Corporate";"ADMIN 5",#N/A,TRUE,"Corporate";"NON CASH 1",#N/A,TRUE,"Corporate";"NON CASH 2",#N/A,TRUE,"Corporate";"NON CASH 3",#N/A,TRUE,"Corporate";"NON CASH 4",#N/A,TRUE,"Corporate";"NON CASH 5",#N/A,TRUE,"Corporate";"NON CASH 6",#N/A,TRUE,"Corporate";"NON CASH 7",#N/A,TRUE,"Corporate";"CAPITAL 1",#N/A,TRUE,"Corporate";"CAPITAL 2",#N/A,TRUE,"Corporate";"CAPITAL 3",#N/A,TRUE,"Corporate";"CAPITAL 4",#N/A,TRUE,"Corporate";"MANNING 1",#N/A,TRUE,"Corporate";"MANNING 2",#N/A,TRUE,"Corporate";"MANNING 3",#N/A,TRUE,"Corporate"}</definedName>
    <definedName name="wrn.ALL." localSheetId="1" hidden="1">{"VERSION",#N/A,TRUE,"Version";"CORP PL",#N/A,TRUE,"Corporate";"CORP COP",#N/A,TRUE,"Corporate";"CORP UGRND",#N/A,TRUE,"Corporate";"CORP MLP",#N/A,TRUE,"Corporate";"CORP JACCOLETTI",#N/A,TRUE,"Corporate";"CORP SATELLITES",#N/A,TRUE,"Corporate";"CORP TREATMENT",#N/A,TRUE,"Corporate";"SUMMARY 1",#N/A,TRUE,"Corporate";"SUMMARY 2",#N/A,TRUE,"Corporate";"SUMMARY 3",#N/A,TRUE,"Corporate";"UGRND 1",#N/A,TRUE,"Corporate";"UGRND 2",#N/A,TRUE,"Corporate";"UGRND 3",#N/A,TRUE,"Corporate";"UGRND 4",#N/A,TRUE,"Corporate";"UGRND 5",#N/A,TRUE,"Corporate";"UGRND 6",#N/A,TRUE,"Corporate";"UGRND 7",#N/A,TRUE,"Corporate";"UGRND 8",#N/A,TRUE,"Corporate";"UGRND 9",#N/A,TRUE,"Corporate";"UGRND 10",#N/A,TRUE,"Corporate";"MLP 1",#N/A,TRUE,"Corporate";"MLP 2",#N/A,TRUE,"Corporate";"MLP 3",#N/A,TRUE,"Corporate";"MLP 4",#N/A,TRUE,"Corporate";"MLP 5",#N/A,TRUE,"Corporate";"MLP 6",#N/A,TRUE,"Corporate";"MLP 7",#N/A,TRUE,"Corporate";"MLP 8",#N/A,TRUE,"Corporate";"MLP 9",#N/A,TRUE,"Corporate";"MLP 10",#N/A,TRUE,"Corporate";"JACC 1",#N/A,TRUE,"Corporate";"JACC 2",#N/A,TRUE,"Corporate";"JACC 3",#N/A,TRUE,"Corporate";"JACC 4",#N/A,TRUE,"Corporate";"JACC 5",#N/A,TRUE,"Corporate";"JACC 6",#N/A,TRUE,"Corporate";"JACC 7",#N/A,TRUE,"Corporate";"JACC 8",#N/A,TRUE,"Corporate";"SATT 1",#N/A,TRUE,"Corporate";"SATT 1_2",#N/A,TRUE,"Corporate";"SATT 2",#N/A,TRUE,"Corporate";"SATT 3",#N/A,TRUE,"Corporate";"SATT 4",#N/A,TRUE,"Corporate";"SATT 5",#N/A,TRUE,"Corporate";"SATT 6",#N/A,TRUE,"Corporate";"SATT 7",#N/A,TRUE,"Corporate";"SURFACE HAUL",#N/A,TRUE,"Corporate";"MLM 1",#N/A,TRUE,"Corporate";"MLM 2",#N/A,TRUE,"Corporate";"MLM 3",#N/A,TRUE,"Corporate";"MLM 4",#N/A,TRUE,"Corporate";"MLM 5",#N/A,TRUE,"Corporate";"MLM 6",#N/A,TRUE,"Corporate";"MLM 7",#N/A,TRUE,"Corporate";"MLM 8",#N/A,TRUE,"Corporate";"MLM 9",#N/A,TRUE,"Corporate";"MLM 10",#N/A,TRUE,"Corporate";"MLM 11",#N/A,TRUE,"Corporate";"ADMIN 1",#N/A,TRUE,"Corporate";"ADMIN 2",#N/A,TRUE,"Corporate";"ADMIN 3",#N/A,TRUE,"Corporate";"ADMIN 4",#N/A,TRUE,"Corporate";"ADMIN 5",#N/A,TRUE,"Corporate";"NON CASH 1",#N/A,TRUE,"Corporate";"NON CASH 2",#N/A,TRUE,"Corporate";"NON CASH 3",#N/A,TRUE,"Corporate";"NON CASH 4",#N/A,TRUE,"Corporate";"NON CASH 5",#N/A,TRUE,"Corporate";"NON CASH 6",#N/A,TRUE,"Corporate";"NON CASH 7",#N/A,TRUE,"Corporate";"CAPITAL 1",#N/A,TRUE,"Corporate";"CAPITAL 2",#N/A,TRUE,"Corporate";"CAPITAL 3",#N/A,TRUE,"Corporate";"CAPITAL 4",#N/A,TRUE,"Corporate";"MANNING 1",#N/A,TRUE,"Corporate";"MANNING 2",#N/A,TRUE,"Corporate";"MANNING 3",#N/A,TRUE,"Corporate"}</definedName>
    <definedName name="wrn.ALL." localSheetId="3" hidden="1">{"VERSION",#N/A,TRUE,"Version";"CORP PL",#N/A,TRUE,"Corporate";"CORP COP",#N/A,TRUE,"Corporate";"CORP UGRND",#N/A,TRUE,"Corporate";"CORP MLP",#N/A,TRUE,"Corporate";"CORP JACCOLETTI",#N/A,TRUE,"Corporate";"CORP SATELLITES",#N/A,TRUE,"Corporate";"CORP TREATMENT",#N/A,TRUE,"Corporate";"SUMMARY 1",#N/A,TRUE,"Corporate";"SUMMARY 2",#N/A,TRUE,"Corporate";"SUMMARY 3",#N/A,TRUE,"Corporate";"UGRND 1",#N/A,TRUE,"Corporate";"UGRND 2",#N/A,TRUE,"Corporate";"UGRND 3",#N/A,TRUE,"Corporate";"UGRND 4",#N/A,TRUE,"Corporate";"UGRND 5",#N/A,TRUE,"Corporate";"UGRND 6",#N/A,TRUE,"Corporate";"UGRND 7",#N/A,TRUE,"Corporate";"UGRND 8",#N/A,TRUE,"Corporate";"UGRND 9",#N/A,TRUE,"Corporate";"UGRND 10",#N/A,TRUE,"Corporate";"MLP 1",#N/A,TRUE,"Corporate";"MLP 2",#N/A,TRUE,"Corporate";"MLP 3",#N/A,TRUE,"Corporate";"MLP 4",#N/A,TRUE,"Corporate";"MLP 5",#N/A,TRUE,"Corporate";"MLP 6",#N/A,TRUE,"Corporate";"MLP 7",#N/A,TRUE,"Corporate";"MLP 8",#N/A,TRUE,"Corporate";"MLP 9",#N/A,TRUE,"Corporate";"MLP 10",#N/A,TRUE,"Corporate";"JACC 1",#N/A,TRUE,"Corporate";"JACC 2",#N/A,TRUE,"Corporate";"JACC 3",#N/A,TRUE,"Corporate";"JACC 4",#N/A,TRUE,"Corporate";"JACC 5",#N/A,TRUE,"Corporate";"JACC 6",#N/A,TRUE,"Corporate";"JACC 7",#N/A,TRUE,"Corporate";"JACC 8",#N/A,TRUE,"Corporate";"SATT 1",#N/A,TRUE,"Corporate";"SATT 1_2",#N/A,TRUE,"Corporate";"SATT 2",#N/A,TRUE,"Corporate";"SATT 3",#N/A,TRUE,"Corporate";"SATT 4",#N/A,TRUE,"Corporate";"SATT 5",#N/A,TRUE,"Corporate";"SATT 6",#N/A,TRUE,"Corporate";"SATT 7",#N/A,TRUE,"Corporate";"SURFACE HAUL",#N/A,TRUE,"Corporate";"MLM 1",#N/A,TRUE,"Corporate";"MLM 2",#N/A,TRUE,"Corporate";"MLM 3",#N/A,TRUE,"Corporate";"MLM 4",#N/A,TRUE,"Corporate";"MLM 5",#N/A,TRUE,"Corporate";"MLM 6",#N/A,TRUE,"Corporate";"MLM 7",#N/A,TRUE,"Corporate";"MLM 8",#N/A,TRUE,"Corporate";"MLM 9",#N/A,TRUE,"Corporate";"MLM 10",#N/A,TRUE,"Corporate";"MLM 11",#N/A,TRUE,"Corporate";"ADMIN 1",#N/A,TRUE,"Corporate";"ADMIN 2",#N/A,TRUE,"Corporate";"ADMIN 3",#N/A,TRUE,"Corporate";"ADMIN 4",#N/A,TRUE,"Corporate";"ADMIN 5",#N/A,TRUE,"Corporate";"NON CASH 1",#N/A,TRUE,"Corporate";"NON CASH 2",#N/A,TRUE,"Corporate";"NON CASH 3",#N/A,TRUE,"Corporate";"NON CASH 4",#N/A,TRUE,"Corporate";"NON CASH 5",#N/A,TRUE,"Corporate";"NON CASH 6",#N/A,TRUE,"Corporate";"NON CASH 7",#N/A,TRUE,"Corporate";"CAPITAL 1",#N/A,TRUE,"Corporate";"CAPITAL 2",#N/A,TRUE,"Corporate";"CAPITAL 3",#N/A,TRUE,"Corporate";"CAPITAL 4",#N/A,TRUE,"Corporate";"MANNING 1",#N/A,TRUE,"Corporate";"MANNING 2",#N/A,TRUE,"Corporate";"MANNING 3",#N/A,TRUE,"Corporate"}</definedName>
    <definedName name="wrn.ALL." hidden="1">{"VERSION",#N/A,TRUE,"Version";"CORP PL",#N/A,TRUE,"Corporate";"CORP COP",#N/A,TRUE,"Corporate";"CORP UGRND",#N/A,TRUE,"Corporate";"CORP MLP",#N/A,TRUE,"Corporate";"CORP JACCOLETTI",#N/A,TRUE,"Corporate";"CORP SATELLITES",#N/A,TRUE,"Corporate";"CORP TREATMENT",#N/A,TRUE,"Corporate";"SUMMARY 1",#N/A,TRUE,"Corporate";"SUMMARY 2",#N/A,TRUE,"Corporate";"SUMMARY 3",#N/A,TRUE,"Corporate";"UGRND 1",#N/A,TRUE,"Corporate";"UGRND 2",#N/A,TRUE,"Corporate";"UGRND 3",#N/A,TRUE,"Corporate";"UGRND 4",#N/A,TRUE,"Corporate";"UGRND 5",#N/A,TRUE,"Corporate";"UGRND 6",#N/A,TRUE,"Corporate";"UGRND 7",#N/A,TRUE,"Corporate";"UGRND 8",#N/A,TRUE,"Corporate";"UGRND 9",#N/A,TRUE,"Corporate";"UGRND 10",#N/A,TRUE,"Corporate";"MLP 1",#N/A,TRUE,"Corporate";"MLP 2",#N/A,TRUE,"Corporate";"MLP 3",#N/A,TRUE,"Corporate";"MLP 4",#N/A,TRUE,"Corporate";"MLP 5",#N/A,TRUE,"Corporate";"MLP 6",#N/A,TRUE,"Corporate";"MLP 7",#N/A,TRUE,"Corporate";"MLP 8",#N/A,TRUE,"Corporate";"MLP 9",#N/A,TRUE,"Corporate";"MLP 10",#N/A,TRUE,"Corporate";"JACC 1",#N/A,TRUE,"Corporate";"JACC 2",#N/A,TRUE,"Corporate";"JACC 3",#N/A,TRUE,"Corporate";"JACC 4",#N/A,TRUE,"Corporate";"JACC 5",#N/A,TRUE,"Corporate";"JACC 6",#N/A,TRUE,"Corporate";"JACC 7",#N/A,TRUE,"Corporate";"JACC 8",#N/A,TRUE,"Corporate";"SATT 1",#N/A,TRUE,"Corporate";"SATT 1_2",#N/A,TRUE,"Corporate";"SATT 2",#N/A,TRUE,"Corporate";"SATT 3",#N/A,TRUE,"Corporate";"SATT 4",#N/A,TRUE,"Corporate";"SATT 5",#N/A,TRUE,"Corporate";"SATT 6",#N/A,TRUE,"Corporate";"SATT 7",#N/A,TRUE,"Corporate";"SURFACE HAUL",#N/A,TRUE,"Corporate";"MLM 1",#N/A,TRUE,"Corporate";"MLM 2",#N/A,TRUE,"Corporate";"MLM 3",#N/A,TRUE,"Corporate";"MLM 4",#N/A,TRUE,"Corporate";"MLM 5",#N/A,TRUE,"Corporate";"MLM 6",#N/A,TRUE,"Corporate";"MLM 7",#N/A,TRUE,"Corporate";"MLM 8",#N/A,TRUE,"Corporate";"MLM 9",#N/A,TRUE,"Corporate";"MLM 10",#N/A,TRUE,"Corporate";"MLM 11",#N/A,TRUE,"Corporate";"ADMIN 1",#N/A,TRUE,"Corporate";"ADMIN 2",#N/A,TRUE,"Corporate";"ADMIN 3",#N/A,TRUE,"Corporate";"ADMIN 4",#N/A,TRUE,"Corporate";"ADMIN 5",#N/A,TRUE,"Corporate";"NON CASH 1",#N/A,TRUE,"Corporate";"NON CASH 2",#N/A,TRUE,"Corporate";"NON CASH 3",#N/A,TRUE,"Corporate";"NON CASH 4",#N/A,TRUE,"Corporate";"NON CASH 5",#N/A,TRUE,"Corporate";"NON CASH 6",#N/A,TRUE,"Corporate";"NON CASH 7",#N/A,TRUE,"Corporate";"CAPITAL 1",#N/A,TRUE,"Corporate";"CAPITAL 2",#N/A,TRUE,"Corporate";"CAPITAL 3",#N/A,TRUE,"Corporate";"CAPITAL 4",#N/A,TRUE,"Corporate";"MANNING 1",#N/A,TRUE,"Corporate";"MANNING 2",#N/A,TRUE,"Corporate";"MANNING 3",#N/A,TRUE,"Corporate"}</definedName>
    <definedName name="wrn.CAPITAL." localSheetId="4" hidden="1">{"CAPITAL 1",#N/A,FALSE,"Capital";"CAPITAL 2",#N/A,FALSE,"Capital";"CAPITAL 3",#N/A,FALSE,"Capital";"CAPITAL 4",#N/A,FALSE,"Capital"}</definedName>
    <definedName name="wrn.CAPITAL." localSheetId="2" hidden="1">{"CAPITAL 1",#N/A,FALSE,"Capital";"CAPITAL 2",#N/A,FALSE,"Capital";"CAPITAL 3",#N/A,FALSE,"Capital";"CAPITAL 4",#N/A,FALSE,"Capital"}</definedName>
    <definedName name="wrn.CAPITAL." localSheetId="1" hidden="1">{"CAPITAL 1",#N/A,FALSE,"Capital";"CAPITAL 2",#N/A,FALSE,"Capital";"CAPITAL 3",#N/A,FALSE,"Capital";"CAPITAL 4",#N/A,FALSE,"Capital"}</definedName>
    <definedName name="wrn.CAPITAL." localSheetId="3" hidden="1">{"CAPITAL 1",#N/A,FALSE,"Capital";"CAPITAL 2",#N/A,FALSE,"Capital";"CAPITAL 3",#N/A,FALSE,"Capital";"CAPITAL 4",#N/A,FALSE,"Capital"}</definedName>
    <definedName name="wrn.CAPITAL." hidden="1">{"CAPITAL 1",#N/A,FALSE,"Capital";"CAPITAL 2",#N/A,FALSE,"Capital";"CAPITAL 3",#N/A,FALSE,"Capital";"CAPITAL 4",#N/A,FALSE,"Capital"}</definedName>
    <definedName name="wrn.CORPORATE." localSheetId="4" hidden="1">{"CORP PL",#N/A,FALSE,"Corporate";"CORP COP",#N/A,FALSE,"Corporate";"CORP ML",#N/A,FALSE,"Corporate";"CORP JAC",#N/A,FALSE,"Corporate";"CORP SAT",#N/A,FALSE,"Corporate";"CORP UG",#N/A,FALSE,"Corporate";"CORP MILL",#N/A,FALSE,"Corporate";"SUMMARY 1",#N/A,FALSE,"Summary";"SUMMARY 3",#N/A,FALSE,"Summary"}</definedName>
    <definedName name="wrn.CORPORATE." localSheetId="2" hidden="1">{"CORP PL",#N/A,FALSE,"Corporate";"CORP COP",#N/A,FALSE,"Corporate";"CORP ML",#N/A,FALSE,"Corporate";"CORP JAC",#N/A,FALSE,"Corporate";"CORP SAT",#N/A,FALSE,"Corporate";"CORP UG",#N/A,FALSE,"Corporate";"CORP MILL",#N/A,FALSE,"Corporate";"SUMMARY 1",#N/A,FALSE,"Summary";"SUMMARY 3",#N/A,FALSE,"Summary"}</definedName>
    <definedName name="wrn.CORPORATE." localSheetId="1" hidden="1">{"CORP PL",#N/A,FALSE,"Corporate";"CORP COP",#N/A,FALSE,"Corporate";"CORP ML",#N/A,FALSE,"Corporate";"CORP JAC",#N/A,FALSE,"Corporate";"CORP SAT",#N/A,FALSE,"Corporate";"CORP UG",#N/A,FALSE,"Corporate";"CORP MILL",#N/A,FALSE,"Corporate";"SUMMARY 1",#N/A,FALSE,"Summary";"SUMMARY 3",#N/A,FALSE,"Summary"}</definedName>
    <definedName name="wrn.CORPORATE." localSheetId="3" hidden="1">{"CORP PL",#N/A,FALSE,"Corporate";"CORP COP",#N/A,FALSE,"Corporate";"CORP ML",#N/A,FALSE,"Corporate";"CORP JAC",#N/A,FALSE,"Corporate";"CORP SAT",#N/A,FALSE,"Corporate";"CORP UG",#N/A,FALSE,"Corporate";"CORP MILL",#N/A,FALSE,"Corporate";"SUMMARY 1",#N/A,FALSE,"Summary";"SUMMARY 3",#N/A,FALSE,"Summary"}</definedName>
    <definedName name="wrn.CORPORATE." hidden="1">{"CORP PL",#N/A,FALSE,"Corporate";"CORP COP",#N/A,FALSE,"Corporate";"CORP ML",#N/A,FALSE,"Corporate";"CORP JAC",#N/A,FALSE,"Corporate";"CORP SAT",#N/A,FALSE,"Corporate";"CORP UG",#N/A,FALSE,"Corporate";"CORP MILL",#N/A,FALSE,"Corporate";"SUMMARY 1",#N/A,FALSE,"Summary";"SUMMARY 3",#N/A,FALSE,"Summary"}</definedName>
    <definedName name="wrn.EXEC_1." localSheetId="4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3" hidden="1">{"EXEC",#N/A,TRUE,"Header";"EXEC_1",#N/A,TRUE,"Summary_1"}</definedName>
    <definedName name="wrn.EXEC_1." hidden="1">{"EXEC",#N/A,TRUE,"Header";"EXEC_1",#N/A,TRUE,"Summary_1"}</definedName>
    <definedName name="wrn.EXEC_2." localSheetId="4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3" hidden="1">{"EXEC",#N/A,FALSE,"Header";"EXEC_2",#N/A,FALSE,"Summary_2"}</definedName>
    <definedName name="wrn.EXEC_2." hidden="1">{"EXEC",#N/A,FALSE,"Header";"EXEC_2",#N/A,FALSE,"Summary_2"}</definedName>
    <definedName name="wrn.EXEC_3." localSheetId="4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3" hidden="1">{"EXEC",#N/A,FALSE,"Header";"EXEC_3",#N/A,FALSE,"Summary_3"}</definedName>
    <definedName name="wrn.EXEC_3." hidden="1">{"EXEC",#N/A,FALSE,"Header";"EXEC_3",#N/A,FALSE,"Summary_3"}</definedName>
    <definedName name="wrn.EXEC_4." localSheetId="4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3" hidden="1">{"EXEC",#N/A,FALSE,"Header";"EXEC_4",#N/A,FALSE,"Summary_4"}</definedName>
    <definedName name="wrn.EXEC_4." hidden="1">{"EXEC",#N/A,FALSE,"Header";"EXEC_4",#N/A,FALSE,"Summary_4"}</definedName>
    <definedName name="wrn.Forecast." localSheetId="4" hidden="1">{#N/A,#N/A,FALSE,"Summary";#N/A,#N/A,FALSE,"Schedule";#N/A,#N/A,FALSE,"Revenue";#N/A,#N/A,FALSE,"Costs";#N/A,#N/A,FALSE,"Plant Sch";#N/A,#N/A,FALSE,"Plant Cost";#N/A,#N/A,FALSE,"Labour"}</definedName>
    <definedName name="wrn.Forecast." localSheetId="2" hidden="1">{#N/A,#N/A,FALSE,"Summary";#N/A,#N/A,FALSE,"Schedule";#N/A,#N/A,FALSE,"Revenue";#N/A,#N/A,FALSE,"Costs";#N/A,#N/A,FALSE,"Plant Sch";#N/A,#N/A,FALSE,"Plant Cost";#N/A,#N/A,FALSE,"Labour"}</definedName>
    <definedName name="wrn.Forecast." localSheetId="1" hidden="1">{#N/A,#N/A,FALSE,"Summary";#N/A,#N/A,FALSE,"Schedule";#N/A,#N/A,FALSE,"Revenue";#N/A,#N/A,FALSE,"Costs";#N/A,#N/A,FALSE,"Plant Sch";#N/A,#N/A,FALSE,"Plant Cost";#N/A,#N/A,FALSE,"Labour"}</definedName>
    <definedName name="wrn.Forecast." localSheetId="3" hidden="1">{#N/A,#N/A,FALSE,"Summary";#N/A,#N/A,FALSE,"Schedule";#N/A,#N/A,FALSE,"Revenue";#N/A,#N/A,FALSE,"Costs";#N/A,#N/A,FALSE,"Plant Sch";#N/A,#N/A,FALSE,"Plant Cost";#N/A,#N/A,FALSE,"Labour"}</definedName>
    <definedName name="wrn.Forecast." hidden="1">{#N/A,#N/A,FALSE,"Summary";#N/A,#N/A,FALSE,"Schedule";#N/A,#N/A,FALSE,"Revenue";#N/A,#N/A,FALSE,"Costs";#N/A,#N/A,FALSE,"Plant Sch";#N/A,#N/A,FALSE,"Plant Cost";#N/A,#N/A,FALSE,"Labour"}</definedName>
    <definedName name="wrn.HAUL." localSheetId="4" hidden="1">{"SURFACE HAUL",#N/A,FALSE,"Haul"}</definedName>
    <definedName name="wrn.HAUL." localSheetId="2" hidden="1">{"SURFACE HAUL",#N/A,FALSE,"Haul"}</definedName>
    <definedName name="wrn.HAUL." localSheetId="1" hidden="1">{"SURFACE HAUL",#N/A,FALSE,"Haul"}</definedName>
    <definedName name="wrn.HAUL." localSheetId="3" hidden="1">{"SURFACE HAUL",#N/A,FALSE,"Haul"}</definedName>
    <definedName name="wrn.HAUL." hidden="1">{"SURFACE HAUL",#N/A,FALSE,"Haul"}</definedName>
    <definedName name="wrn.JACCOLETTI." localSheetId="4" hidden="1">{"JACC 2",#N/A,FALSE,"Jaccoletti";"JACC 1",#N/A,FALSE,"Jaccoletti";"JACC 3",#N/A,FALSE,"Jaccoletti";"JACC 4",#N/A,FALSE,"Jaccoletti";"JACC 5",#N/A,FALSE,"Jaccoletti";"JACC 6",#N/A,FALSE,"Jaccoletti";"JACC 7",#N/A,FALSE,"Jaccoletti";"JACC 8",#N/A,FALSE,"Jaccoletti"}</definedName>
    <definedName name="wrn.JACCOLETTI." localSheetId="2" hidden="1">{"JACC 2",#N/A,FALSE,"Jaccoletti";"JACC 1",#N/A,FALSE,"Jaccoletti";"JACC 3",#N/A,FALSE,"Jaccoletti";"JACC 4",#N/A,FALSE,"Jaccoletti";"JACC 5",#N/A,FALSE,"Jaccoletti";"JACC 6",#N/A,FALSE,"Jaccoletti";"JACC 7",#N/A,FALSE,"Jaccoletti";"JACC 8",#N/A,FALSE,"Jaccoletti"}</definedName>
    <definedName name="wrn.JACCOLETTI." localSheetId="1" hidden="1">{"JACC 2",#N/A,FALSE,"Jaccoletti";"JACC 1",#N/A,FALSE,"Jaccoletti";"JACC 3",#N/A,FALSE,"Jaccoletti";"JACC 4",#N/A,FALSE,"Jaccoletti";"JACC 5",#N/A,FALSE,"Jaccoletti";"JACC 6",#N/A,FALSE,"Jaccoletti";"JACC 7",#N/A,FALSE,"Jaccoletti";"JACC 8",#N/A,FALSE,"Jaccoletti"}</definedName>
    <definedName name="wrn.JACCOLETTI." localSheetId="3" hidden="1">{"JACC 2",#N/A,FALSE,"Jaccoletti";"JACC 1",#N/A,FALSE,"Jaccoletti";"JACC 3",#N/A,FALSE,"Jaccoletti";"JACC 4",#N/A,FALSE,"Jaccoletti";"JACC 5",#N/A,FALSE,"Jaccoletti";"JACC 6",#N/A,FALSE,"Jaccoletti";"JACC 7",#N/A,FALSE,"Jaccoletti";"JACC 8",#N/A,FALSE,"Jaccoletti"}</definedName>
    <definedName name="wrn.JACCOLETTI." hidden="1">{"JACC 2",#N/A,FALSE,"Jaccoletti";"JACC 1",#N/A,FALSE,"Jaccoletti";"JACC 3",#N/A,FALSE,"Jaccoletti";"JACC 4",#N/A,FALSE,"Jaccoletti";"JACC 5",#N/A,FALSE,"Jaccoletti";"JACC 6",#N/A,FALSE,"Jaccoletti";"JACC 7",#N/A,FALSE,"Jaccoletti";"JACC 8",#N/A,FALSE,"Jaccoletti"}</definedName>
    <definedName name="wrn.MANNING." localSheetId="4" hidden="1">{"MANNING 1",#N/A,FALSE,"Manning";"MANNING 2",#N/A,FALSE,"Manning";"MANNING 3",#N/A,FALSE,"Manning"}</definedName>
    <definedName name="wrn.MANNING." localSheetId="2" hidden="1">{"MANNING 1",#N/A,FALSE,"Manning";"MANNING 2",#N/A,FALSE,"Manning";"MANNING 3",#N/A,FALSE,"Manning"}</definedName>
    <definedName name="wrn.MANNING." localSheetId="1" hidden="1">{"MANNING 1",#N/A,FALSE,"Manning";"MANNING 2",#N/A,FALSE,"Manning";"MANNING 3",#N/A,FALSE,"Manning"}</definedName>
    <definedName name="wrn.MANNING." localSheetId="3" hidden="1">{"MANNING 1",#N/A,FALSE,"Manning";"MANNING 2",#N/A,FALSE,"Manning";"MANNING 3",#N/A,FALSE,"Manning"}</definedName>
    <definedName name="wrn.MANNING." hidden="1">{"MANNING 1",#N/A,FALSE,"Manning";"MANNING 2",#N/A,FALSE,"Manning";"MANNING 3",#N/A,FALSE,"Manning"}</definedName>
    <definedName name="wrn.MILL." localSheetId="4" hidden="1">{"MLM 1",#N/A,FALSE,"Mill";"MLM 2",#N/A,FALSE,"Mill";"MLM 3",#N/A,FALSE,"Mill";"MLM 4",#N/A,FALSE,"Mill";"MLM 5",#N/A,FALSE,"Mill";"MLM 6",#N/A,FALSE,"Mill";"MLM 7",#N/A,FALSE,"Mill";"MLM 8",#N/A,FALSE,"Mill";"MLM 9",#N/A,FALSE,"Mill";"MLM 10",#N/A,FALSE,"Mill";"MLM 11",#N/A,FALSE,"Mill"}</definedName>
    <definedName name="wrn.MILL." localSheetId="2" hidden="1">{"MLM 1",#N/A,FALSE,"Mill";"MLM 2",#N/A,FALSE,"Mill";"MLM 3",#N/A,FALSE,"Mill";"MLM 4",#N/A,FALSE,"Mill";"MLM 5",#N/A,FALSE,"Mill";"MLM 6",#N/A,FALSE,"Mill";"MLM 7",#N/A,FALSE,"Mill";"MLM 8",#N/A,FALSE,"Mill";"MLM 9",#N/A,FALSE,"Mill";"MLM 10",#N/A,FALSE,"Mill";"MLM 11",#N/A,FALSE,"Mill"}</definedName>
    <definedName name="wrn.MILL." localSheetId="1" hidden="1">{"MLM 1",#N/A,FALSE,"Mill";"MLM 2",#N/A,FALSE,"Mill";"MLM 3",#N/A,FALSE,"Mill";"MLM 4",#N/A,FALSE,"Mill";"MLM 5",#N/A,FALSE,"Mill";"MLM 6",#N/A,FALSE,"Mill";"MLM 7",#N/A,FALSE,"Mill";"MLM 8",#N/A,FALSE,"Mill";"MLM 9",#N/A,FALSE,"Mill";"MLM 10",#N/A,FALSE,"Mill";"MLM 11",#N/A,FALSE,"Mill"}</definedName>
    <definedName name="wrn.MILL." localSheetId="3" hidden="1">{"MLM 1",#N/A,FALSE,"Mill";"MLM 2",#N/A,FALSE,"Mill";"MLM 3",#N/A,FALSE,"Mill";"MLM 4",#N/A,FALSE,"Mill";"MLM 5",#N/A,FALSE,"Mill";"MLM 6",#N/A,FALSE,"Mill";"MLM 7",#N/A,FALSE,"Mill";"MLM 8",#N/A,FALSE,"Mill";"MLM 9",#N/A,FALSE,"Mill";"MLM 10",#N/A,FALSE,"Mill";"MLM 11",#N/A,FALSE,"Mill"}</definedName>
    <definedName name="wrn.MILL." hidden="1">{"MLM 1",#N/A,FALSE,"Mill";"MLM 2",#N/A,FALSE,"Mill";"MLM 3",#N/A,FALSE,"Mill";"MLM 4",#N/A,FALSE,"Mill";"MLM 5",#N/A,FALSE,"Mill";"MLM 6",#N/A,FALSE,"Mill";"MLM 7",#N/A,FALSE,"Mill";"MLM 8",#N/A,FALSE,"Mill";"MLM 9",#N/A,FALSE,"Mill";"MLM 10",#N/A,FALSE,"Mill";"MLM 11",#N/A,FALSE,"Mill"}</definedName>
    <definedName name="wrn.MLP." localSheetId="4" hidden="1">{"MLP 1",#N/A,FALSE,"Marvel Loch Pit";"MLP 2",#N/A,FALSE,"Marvel Loch Pit";"MLP 3",#N/A,FALSE,"Marvel Loch Pit";"MLP 4",#N/A,FALSE,"Marvel Loch Pit";"MLP 5",#N/A,FALSE,"Marvel Loch Pit";"MLP 6",#N/A,FALSE,"Marvel Loch Pit";"MLP 7",#N/A,FALSE,"Marvel Loch Pit";"MLP 8",#N/A,FALSE,"Marvel Loch Pit";"MLP 9",#N/A,FALSE,"Marvel Loch Pit";"MLP 10",#N/A,FALSE,"Marvel Loch Pit"}</definedName>
    <definedName name="wrn.MLP." localSheetId="2" hidden="1">{"MLP 1",#N/A,FALSE,"Marvel Loch Pit";"MLP 2",#N/A,FALSE,"Marvel Loch Pit";"MLP 3",#N/A,FALSE,"Marvel Loch Pit";"MLP 4",#N/A,FALSE,"Marvel Loch Pit";"MLP 5",#N/A,FALSE,"Marvel Loch Pit";"MLP 6",#N/A,FALSE,"Marvel Loch Pit";"MLP 7",#N/A,FALSE,"Marvel Loch Pit";"MLP 8",#N/A,FALSE,"Marvel Loch Pit";"MLP 9",#N/A,FALSE,"Marvel Loch Pit";"MLP 10",#N/A,FALSE,"Marvel Loch Pit"}</definedName>
    <definedName name="wrn.MLP." localSheetId="1" hidden="1">{"MLP 1",#N/A,FALSE,"Marvel Loch Pit";"MLP 2",#N/A,FALSE,"Marvel Loch Pit";"MLP 3",#N/A,FALSE,"Marvel Loch Pit";"MLP 4",#N/A,FALSE,"Marvel Loch Pit";"MLP 5",#N/A,FALSE,"Marvel Loch Pit";"MLP 6",#N/A,FALSE,"Marvel Loch Pit";"MLP 7",#N/A,FALSE,"Marvel Loch Pit";"MLP 8",#N/A,FALSE,"Marvel Loch Pit";"MLP 9",#N/A,FALSE,"Marvel Loch Pit";"MLP 10",#N/A,FALSE,"Marvel Loch Pit"}</definedName>
    <definedName name="wrn.MLP." localSheetId="3" hidden="1">{"MLP 1",#N/A,FALSE,"Marvel Loch Pit";"MLP 2",#N/A,FALSE,"Marvel Loch Pit";"MLP 3",#N/A,FALSE,"Marvel Loch Pit";"MLP 4",#N/A,FALSE,"Marvel Loch Pit";"MLP 5",#N/A,FALSE,"Marvel Loch Pit";"MLP 6",#N/A,FALSE,"Marvel Loch Pit";"MLP 7",#N/A,FALSE,"Marvel Loch Pit";"MLP 8",#N/A,FALSE,"Marvel Loch Pit";"MLP 9",#N/A,FALSE,"Marvel Loch Pit";"MLP 10",#N/A,FALSE,"Marvel Loch Pit"}</definedName>
    <definedName name="wrn.MLP." hidden="1">{"MLP 1",#N/A,FALSE,"Marvel Loch Pit";"MLP 2",#N/A,FALSE,"Marvel Loch Pit";"MLP 3",#N/A,FALSE,"Marvel Loch Pit";"MLP 4",#N/A,FALSE,"Marvel Loch Pit";"MLP 5",#N/A,FALSE,"Marvel Loch Pit";"MLP 6",#N/A,FALSE,"Marvel Loch Pit";"MLP 7",#N/A,FALSE,"Marvel Loch Pit";"MLP 8",#N/A,FALSE,"Marvel Loch Pit";"MLP 9",#N/A,FALSE,"Marvel Loch Pit";"MLP 10",#N/A,FALSE,"Marvel Loch Pit"}</definedName>
    <definedName name="wrn.Monthly._.Report." localSheetId="4" hidden="1">{#N/A,#N/A,FALSE,"Production Data";#N/A,#N/A,FALSE,"Prod Data Monthly";#N/A,#N/A,FALSE,"Cost Data";#N/A,#N/A,FALSE,"Cost Data Monthly";#N/A,#N/A,FALSE,"Executive Summary";#N/A,#N/A,FALSE,"P &amp; L Perth";#N/A,#N/A,FALSE,"P&amp;L Site";#N/A,#N/A,FALSE,"Costs Summary";#N/A,#N/A,FALSE,"Prod Stats";#N/A,#N/A,FALSE,"Costs per Oz";#N/A,#N/A,FALSE,"Capex";#N/A,#N/A,FALSE,"Minex $ &amp; % Var";#N/A,#N/A,FALSE,"Regex $";#N/A,#N/A,FALSE,"Mining $ &amp; % Var's";#N/A,#N/A,FALSE,"Process $ &amp; % Var's";#N/A,#N/A,FALSE,"Admin $ &amp; % Var's"}</definedName>
    <definedName name="wrn.Monthly._.Report." localSheetId="2" hidden="1">{#N/A,#N/A,FALSE,"Production Data";#N/A,#N/A,FALSE,"Prod Data Monthly";#N/A,#N/A,FALSE,"Cost Data";#N/A,#N/A,FALSE,"Cost Data Monthly";#N/A,#N/A,FALSE,"Executive Summary";#N/A,#N/A,FALSE,"P &amp; L Perth";#N/A,#N/A,FALSE,"P&amp;L Site";#N/A,#N/A,FALSE,"Costs Summary";#N/A,#N/A,FALSE,"Prod Stats";#N/A,#N/A,FALSE,"Costs per Oz";#N/A,#N/A,FALSE,"Capex";#N/A,#N/A,FALSE,"Minex $ &amp; % Var";#N/A,#N/A,FALSE,"Regex $";#N/A,#N/A,FALSE,"Mining $ &amp; % Var's";#N/A,#N/A,FALSE,"Process $ &amp; % Var's";#N/A,#N/A,FALSE,"Admin $ &amp; % Var's"}</definedName>
    <definedName name="wrn.Monthly._.Report." localSheetId="1" hidden="1">{#N/A,#N/A,FALSE,"Production Data";#N/A,#N/A,FALSE,"Prod Data Monthly";#N/A,#N/A,FALSE,"Cost Data";#N/A,#N/A,FALSE,"Cost Data Monthly";#N/A,#N/A,FALSE,"Executive Summary";#N/A,#N/A,FALSE,"P &amp; L Perth";#N/A,#N/A,FALSE,"P&amp;L Site";#N/A,#N/A,FALSE,"Costs Summary";#N/A,#N/A,FALSE,"Prod Stats";#N/A,#N/A,FALSE,"Costs per Oz";#N/A,#N/A,FALSE,"Capex";#N/A,#N/A,FALSE,"Minex $ &amp; % Var";#N/A,#N/A,FALSE,"Regex $";#N/A,#N/A,FALSE,"Mining $ &amp; % Var's";#N/A,#N/A,FALSE,"Process $ &amp; % Var's";#N/A,#N/A,FALSE,"Admin $ &amp; % Var's"}</definedName>
    <definedName name="wrn.Monthly._.Report." localSheetId="3" hidden="1">{#N/A,#N/A,FALSE,"Production Data";#N/A,#N/A,FALSE,"Prod Data Monthly";#N/A,#N/A,FALSE,"Cost Data";#N/A,#N/A,FALSE,"Cost Data Monthly";#N/A,#N/A,FALSE,"Executive Summary";#N/A,#N/A,FALSE,"P &amp; L Perth";#N/A,#N/A,FALSE,"P&amp;L Site";#N/A,#N/A,FALSE,"Costs Summary";#N/A,#N/A,FALSE,"Prod Stats";#N/A,#N/A,FALSE,"Costs per Oz";#N/A,#N/A,FALSE,"Capex";#N/A,#N/A,FALSE,"Minex $ &amp; % Var";#N/A,#N/A,FALSE,"Regex $";#N/A,#N/A,FALSE,"Mining $ &amp; % Var's";#N/A,#N/A,FALSE,"Process $ &amp; % Var's";#N/A,#N/A,FALSE,"Admin $ &amp; % Var's"}</definedName>
    <definedName name="wrn.Monthly._.Report." hidden="1">{#N/A,#N/A,FALSE,"Production Data";#N/A,#N/A,FALSE,"Prod Data Monthly";#N/A,#N/A,FALSE,"Cost Data";#N/A,#N/A,FALSE,"Cost Data Monthly";#N/A,#N/A,FALSE,"Executive Summary";#N/A,#N/A,FALSE,"P &amp; L Perth";#N/A,#N/A,FALSE,"P&amp;L Site";#N/A,#N/A,FALSE,"Costs Summary";#N/A,#N/A,FALSE,"Prod Stats";#N/A,#N/A,FALSE,"Costs per Oz";#N/A,#N/A,FALSE,"Capex";#N/A,#N/A,FALSE,"Minex $ &amp; % Var";#N/A,#N/A,FALSE,"Regex $";#N/A,#N/A,FALSE,"Mining $ &amp; % Var's";#N/A,#N/A,FALSE,"Process $ &amp; % Var's";#N/A,#N/A,FALSE,"Admin $ &amp; % Var's"}</definedName>
    <definedName name="wrn.NON._.CASH." localSheetId="4" hidden="1">{"NON CASH 1",#N/A,FALSE,"Non Cash";"NON CASH 2",#N/A,FALSE,"Non Cash";"NON CASH 3",#N/A,FALSE,"Non Cash";"NON CASH 4",#N/A,FALSE,"Non Cash";"NON CASH 5",#N/A,FALSE,"Non Cash";"NON CASH 6",#N/A,FALSE,"Non Cash";"NON CASH 7",#N/A,FALSE,"Non Cash"}</definedName>
    <definedName name="wrn.NON._.CASH." localSheetId="2" hidden="1">{"NON CASH 1",#N/A,FALSE,"Non Cash";"NON CASH 2",#N/A,FALSE,"Non Cash";"NON CASH 3",#N/A,FALSE,"Non Cash";"NON CASH 4",#N/A,FALSE,"Non Cash";"NON CASH 5",#N/A,FALSE,"Non Cash";"NON CASH 6",#N/A,FALSE,"Non Cash";"NON CASH 7",#N/A,FALSE,"Non Cash"}</definedName>
    <definedName name="wrn.NON._.CASH." localSheetId="1" hidden="1">{"NON CASH 1",#N/A,FALSE,"Non Cash";"NON CASH 2",#N/A,FALSE,"Non Cash";"NON CASH 3",#N/A,FALSE,"Non Cash";"NON CASH 4",#N/A,FALSE,"Non Cash";"NON CASH 5",#N/A,FALSE,"Non Cash";"NON CASH 6",#N/A,FALSE,"Non Cash";"NON CASH 7",#N/A,FALSE,"Non Cash"}</definedName>
    <definedName name="wrn.NON._.CASH." localSheetId="3" hidden="1">{"NON CASH 1",#N/A,FALSE,"Non Cash";"NON CASH 2",#N/A,FALSE,"Non Cash";"NON CASH 3",#N/A,FALSE,"Non Cash";"NON CASH 4",#N/A,FALSE,"Non Cash";"NON CASH 5",#N/A,FALSE,"Non Cash";"NON CASH 6",#N/A,FALSE,"Non Cash";"NON CASH 7",#N/A,FALSE,"Non Cash"}</definedName>
    <definedName name="wrn.NON._.CASH." hidden="1">{"NON CASH 1",#N/A,FALSE,"Non Cash";"NON CASH 2",#N/A,FALSE,"Non Cash";"NON CASH 3",#N/A,FALSE,"Non Cash";"NON CASH 4",#N/A,FALSE,"Non Cash";"NON CASH 5",#N/A,FALSE,"Non Cash";"NON CASH 6",#N/A,FALSE,"Non Cash";"NON CASH 7",#N/A,FALSE,"Non Cash"}</definedName>
    <definedName name="wrn.Operating." localSheetId="4" hidden="1">{#N/A,#N/A,FALSE,"40-40 Processing General";#N/A,#N/A,FALSE,"40-41 Convey &amp; FOSP";#N/A,#N/A,FALSE,"40-42 Mill Feed Hoppers ";#N/A,#N/A,FALSE,"40-45 Process Water";#N/A,#N/A,FALSE,"40-47 Mill 1";#N/A,#N/A,FALSE,"40-48 Mill 2";#N/A,#N/A,FALSE,"40-49 Mill 3";#N/A,#N/A,FALSE,"40-50 Pebble Crusher";#N/A,#N/A,FALSE,"40-54 Screens &amp; Cyclones";#N/A,#N/A,FALSE,"40-56 Reagent Storage";#N/A,#N/A,FALSE,"40-58 Leach And Adsorption";#N/A,#N/A,FALSE,"40-60 Gold Room";#N/A,#N/A,FALSE,"40-63 Tails Disposal";#N/A,#N/A,FALSE,"40-68 Laboratory";#N/A,#N/A,FALSE,"40-73 Workshop And Vehicles ";#N/A,#N/A,FALSE,"40-75 Power Supply";#N/A,#N/A,FALSE,"40-77 Switching and Power Dist "}</definedName>
    <definedName name="wrn.Operating." localSheetId="2" hidden="1">{#N/A,#N/A,FALSE,"40-40 Processing General";#N/A,#N/A,FALSE,"40-41 Convey &amp; FOSP";#N/A,#N/A,FALSE,"40-42 Mill Feed Hoppers ";#N/A,#N/A,FALSE,"40-45 Process Water";#N/A,#N/A,FALSE,"40-47 Mill 1";#N/A,#N/A,FALSE,"40-48 Mill 2";#N/A,#N/A,FALSE,"40-49 Mill 3";#N/A,#N/A,FALSE,"40-50 Pebble Crusher";#N/A,#N/A,FALSE,"40-54 Screens &amp; Cyclones";#N/A,#N/A,FALSE,"40-56 Reagent Storage";#N/A,#N/A,FALSE,"40-58 Leach And Adsorption";#N/A,#N/A,FALSE,"40-60 Gold Room";#N/A,#N/A,FALSE,"40-63 Tails Disposal";#N/A,#N/A,FALSE,"40-68 Laboratory";#N/A,#N/A,FALSE,"40-73 Workshop And Vehicles ";#N/A,#N/A,FALSE,"40-75 Power Supply";#N/A,#N/A,FALSE,"40-77 Switching and Power Dist "}</definedName>
    <definedName name="wrn.Operating." localSheetId="1" hidden="1">{#N/A,#N/A,FALSE,"40-40 Processing General";#N/A,#N/A,FALSE,"40-41 Convey &amp; FOSP";#N/A,#N/A,FALSE,"40-42 Mill Feed Hoppers ";#N/A,#N/A,FALSE,"40-45 Process Water";#N/A,#N/A,FALSE,"40-47 Mill 1";#N/A,#N/A,FALSE,"40-48 Mill 2";#N/A,#N/A,FALSE,"40-49 Mill 3";#N/A,#N/A,FALSE,"40-50 Pebble Crusher";#N/A,#N/A,FALSE,"40-54 Screens &amp; Cyclones";#N/A,#N/A,FALSE,"40-56 Reagent Storage";#N/A,#N/A,FALSE,"40-58 Leach And Adsorption";#N/A,#N/A,FALSE,"40-60 Gold Room";#N/A,#N/A,FALSE,"40-63 Tails Disposal";#N/A,#N/A,FALSE,"40-68 Laboratory";#N/A,#N/A,FALSE,"40-73 Workshop And Vehicles ";#N/A,#N/A,FALSE,"40-75 Power Supply";#N/A,#N/A,FALSE,"40-77 Switching and Power Dist "}</definedName>
    <definedName name="wrn.Operating." localSheetId="3" hidden="1">{#N/A,#N/A,FALSE,"40-40 Processing General";#N/A,#N/A,FALSE,"40-41 Convey &amp; FOSP";#N/A,#N/A,FALSE,"40-42 Mill Feed Hoppers ";#N/A,#N/A,FALSE,"40-45 Process Water";#N/A,#N/A,FALSE,"40-47 Mill 1";#N/A,#N/A,FALSE,"40-48 Mill 2";#N/A,#N/A,FALSE,"40-49 Mill 3";#N/A,#N/A,FALSE,"40-50 Pebble Crusher";#N/A,#N/A,FALSE,"40-54 Screens &amp; Cyclones";#N/A,#N/A,FALSE,"40-56 Reagent Storage";#N/A,#N/A,FALSE,"40-58 Leach And Adsorption";#N/A,#N/A,FALSE,"40-60 Gold Room";#N/A,#N/A,FALSE,"40-63 Tails Disposal";#N/A,#N/A,FALSE,"40-68 Laboratory";#N/A,#N/A,FALSE,"40-73 Workshop And Vehicles ";#N/A,#N/A,FALSE,"40-75 Power Supply";#N/A,#N/A,FALSE,"40-77 Switching and Power Dist "}</definedName>
    <definedName name="wrn.Operating." hidden="1">{#N/A,#N/A,FALSE,"40-40 Processing General";#N/A,#N/A,FALSE,"40-41 Convey &amp; FOSP";#N/A,#N/A,FALSE,"40-42 Mill Feed Hoppers ";#N/A,#N/A,FALSE,"40-45 Process Water";#N/A,#N/A,FALSE,"40-47 Mill 1";#N/A,#N/A,FALSE,"40-48 Mill 2";#N/A,#N/A,FALSE,"40-49 Mill 3";#N/A,#N/A,FALSE,"40-50 Pebble Crusher";#N/A,#N/A,FALSE,"40-54 Screens &amp; Cyclones";#N/A,#N/A,FALSE,"40-56 Reagent Storage";#N/A,#N/A,FALSE,"40-58 Leach And Adsorption";#N/A,#N/A,FALSE,"40-60 Gold Room";#N/A,#N/A,FALSE,"40-63 Tails Disposal";#N/A,#N/A,FALSE,"40-68 Laboratory";#N/A,#N/A,FALSE,"40-73 Workshop And Vehicles ";#N/A,#N/A,FALSE,"40-75 Power Supply";#N/A,#N/A,FALSE,"40-77 Switching and Power Dist "}</definedName>
    <definedName name="wrn.Processing._.Budget._.1998._.1999." localSheetId="4" hidden="1">{#N/A,#N/A,TRUE,"Budget Cash &amp; Production Report";#N/A,#N/A,TRUE,"Dollars";#N/A,#N/A,TRUE,"Physicals";#N/A,#N/A,TRUE,"AFE Expenditure";#N/A,#N/A,TRUE,"Manpower";#N/A,#N/A,TRUE,"40-40 Processing General";#N/A,#N/A,TRUE,"40-41 Convey &amp; FOSP";#N/A,#N/A,TRUE,"40-42 Mill Feed Hoppers ";#N/A,#N/A,TRUE,"40-45 Process Water";#N/A,#N/A,TRUE,"40-47 Mill 1";#N/A,#N/A,TRUE,"40-48 Mill 2";#N/A,#N/A,TRUE,"40-49 Mill 3";#N/A,#N/A,TRUE,"40-50 Pebble Crusher";#N/A,#N/A,TRUE,"40-54 Screens &amp; Cyclones";#N/A,#N/A,TRUE,"40-56 Reagent Storage";#N/A,#N/A,TRUE,"40-58 Leach And Adsorption";#N/A,#N/A,TRUE,"40-60 Gold Room";#N/A,#N/A,TRUE,"40-63 Tails Disposal";#N/A,#N/A,TRUE,"40-68 Laboratory";#N/A,#N/A,TRUE,"40-73 Workshop And Vehicles ";#N/A,#N/A,TRUE,"40-75 Power Supply";#N/A,#N/A,TRUE,"40-77 Switching and Power Dist "}</definedName>
    <definedName name="wrn.Processing._.Budget._.1998._.1999." localSheetId="2" hidden="1">{#N/A,#N/A,TRUE,"Budget Cash &amp; Production Report";#N/A,#N/A,TRUE,"Dollars";#N/A,#N/A,TRUE,"Physicals";#N/A,#N/A,TRUE,"AFE Expenditure";#N/A,#N/A,TRUE,"Manpower";#N/A,#N/A,TRUE,"40-40 Processing General";#N/A,#N/A,TRUE,"40-41 Convey &amp; FOSP";#N/A,#N/A,TRUE,"40-42 Mill Feed Hoppers ";#N/A,#N/A,TRUE,"40-45 Process Water";#N/A,#N/A,TRUE,"40-47 Mill 1";#N/A,#N/A,TRUE,"40-48 Mill 2";#N/A,#N/A,TRUE,"40-49 Mill 3";#N/A,#N/A,TRUE,"40-50 Pebble Crusher";#N/A,#N/A,TRUE,"40-54 Screens &amp; Cyclones";#N/A,#N/A,TRUE,"40-56 Reagent Storage";#N/A,#N/A,TRUE,"40-58 Leach And Adsorption";#N/A,#N/A,TRUE,"40-60 Gold Room";#N/A,#N/A,TRUE,"40-63 Tails Disposal";#N/A,#N/A,TRUE,"40-68 Laboratory";#N/A,#N/A,TRUE,"40-73 Workshop And Vehicles ";#N/A,#N/A,TRUE,"40-75 Power Supply";#N/A,#N/A,TRUE,"40-77 Switching and Power Dist "}</definedName>
    <definedName name="wrn.Processing._.Budget._.1998._.1999." localSheetId="1" hidden="1">{#N/A,#N/A,TRUE,"Budget Cash &amp; Production Report";#N/A,#N/A,TRUE,"Dollars";#N/A,#N/A,TRUE,"Physicals";#N/A,#N/A,TRUE,"AFE Expenditure";#N/A,#N/A,TRUE,"Manpower";#N/A,#N/A,TRUE,"40-40 Processing General";#N/A,#N/A,TRUE,"40-41 Convey &amp; FOSP";#N/A,#N/A,TRUE,"40-42 Mill Feed Hoppers ";#N/A,#N/A,TRUE,"40-45 Process Water";#N/A,#N/A,TRUE,"40-47 Mill 1";#N/A,#N/A,TRUE,"40-48 Mill 2";#N/A,#N/A,TRUE,"40-49 Mill 3";#N/A,#N/A,TRUE,"40-50 Pebble Crusher";#N/A,#N/A,TRUE,"40-54 Screens &amp; Cyclones";#N/A,#N/A,TRUE,"40-56 Reagent Storage";#N/A,#N/A,TRUE,"40-58 Leach And Adsorption";#N/A,#N/A,TRUE,"40-60 Gold Room";#N/A,#N/A,TRUE,"40-63 Tails Disposal";#N/A,#N/A,TRUE,"40-68 Laboratory";#N/A,#N/A,TRUE,"40-73 Workshop And Vehicles ";#N/A,#N/A,TRUE,"40-75 Power Supply";#N/A,#N/A,TRUE,"40-77 Switching and Power Dist "}</definedName>
    <definedName name="wrn.Processing._.Budget._.1998._.1999." localSheetId="3" hidden="1">{#N/A,#N/A,TRUE,"Budget Cash &amp; Production Report";#N/A,#N/A,TRUE,"Dollars";#N/A,#N/A,TRUE,"Physicals";#N/A,#N/A,TRUE,"AFE Expenditure";#N/A,#N/A,TRUE,"Manpower";#N/A,#N/A,TRUE,"40-40 Processing General";#N/A,#N/A,TRUE,"40-41 Convey &amp; FOSP";#N/A,#N/A,TRUE,"40-42 Mill Feed Hoppers ";#N/A,#N/A,TRUE,"40-45 Process Water";#N/A,#N/A,TRUE,"40-47 Mill 1";#N/A,#N/A,TRUE,"40-48 Mill 2";#N/A,#N/A,TRUE,"40-49 Mill 3";#N/A,#N/A,TRUE,"40-50 Pebble Crusher";#N/A,#N/A,TRUE,"40-54 Screens &amp; Cyclones";#N/A,#N/A,TRUE,"40-56 Reagent Storage";#N/A,#N/A,TRUE,"40-58 Leach And Adsorption";#N/A,#N/A,TRUE,"40-60 Gold Room";#N/A,#N/A,TRUE,"40-63 Tails Disposal";#N/A,#N/A,TRUE,"40-68 Laboratory";#N/A,#N/A,TRUE,"40-73 Workshop And Vehicles ";#N/A,#N/A,TRUE,"40-75 Power Supply";#N/A,#N/A,TRUE,"40-77 Switching and Power Dist "}</definedName>
    <definedName name="wrn.Processing._.Budget._.1998._.1999." hidden="1">{#N/A,#N/A,TRUE,"Budget Cash &amp; Production Report";#N/A,#N/A,TRUE,"Dollars";#N/A,#N/A,TRUE,"Physicals";#N/A,#N/A,TRUE,"AFE Expenditure";#N/A,#N/A,TRUE,"Manpower";#N/A,#N/A,TRUE,"40-40 Processing General";#N/A,#N/A,TRUE,"40-41 Convey &amp; FOSP";#N/A,#N/A,TRUE,"40-42 Mill Feed Hoppers ";#N/A,#N/A,TRUE,"40-45 Process Water";#N/A,#N/A,TRUE,"40-47 Mill 1";#N/A,#N/A,TRUE,"40-48 Mill 2";#N/A,#N/A,TRUE,"40-49 Mill 3";#N/A,#N/A,TRUE,"40-50 Pebble Crusher";#N/A,#N/A,TRUE,"40-54 Screens &amp; Cyclones";#N/A,#N/A,TRUE,"40-56 Reagent Storage";#N/A,#N/A,TRUE,"40-58 Leach And Adsorption";#N/A,#N/A,TRUE,"40-60 Gold Room";#N/A,#N/A,TRUE,"40-63 Tails Disposal";#N/A,#N/A,TRUE,"40-68 Laboratory";#N/A,#N/A,TRUE,"40-73 Workshop And Vehicles ";#N/A,#N/A,TRUE,"40-75 Power Supply";#N/A,#N/A,TRUE,"40-77 Switching and Power Dist "}</definedName>
    <definedName name="wrn.SATELLITES." localSheetId="4" hidden="1">{"SATT 1_2",#N/A,FALSE,"Satellite Pits";"SATT 1",#N/A,FALSE,"Satellite Pits";"SATT 2",#N/A,FALSE,"Satellite Pits";"SATT 3",#N/A,FALSE,"Satellite Pits";"SATT 4",#N/A,FALSE,"Satellite Pits";"SATT 5",#N/A,FALSE,"Satellite Pits";"SATT 6",#N/A,FALSE,"Satellite Pits";"SATT 7",#N/A,FALSE,"Satellite Pits"}</definedName>
    <definedName name="wrn.SATELLITES." localSheetId="2" hidden="1">{"SATT 1_2",#N/A,FALSE,"Satellite Pits";"SATT 1",#N/A,FALSE,"Satellite Pits";"SATT 2",#N/A,FALSE,"Satellite Pits";"SATT 3",#N/A,FALSE,"Satellite Pits";"SATT 4",#N/A,FALSE,"Satellite Pits";"SATT 5",#N/A,FALSE,"Satellite Pits";"SATT 6",#N/A,FALSE,"Satellite Pits";"SATT 7",#N/A,FALSE,"Satellite Pits"}</definedName>
    <definedName name="wrn.SATELLITES." localSheetId="1" hidden="1">{"SATT 1_2",#N/A,FALSE,"Satellite Pits";"SATT 1",#N/A,FALSE,"Satellite Pits";"SATT 2",#N/A,FALSE,"Satellite Pits";"SATT 3",#N/A,FALSE,"Satellite Pits";"SATT 4",#N/A,FALSE,"Satellite Pits";"SATT 5",#N/A,FALSE,"Satellite Pits";"SATT 6",#N/A,FALSE,"Satellite Pits";"SATT 7",#N/A,FALSE,"Satellite Pits"}</definedName>
    <definedName name="wrn.SATELLITES." localSheetId="3" hidden="1">{"SATT 1_2",#N/A,FALSE,"Satellite Pits";"SATT 1",#N/A,FALSE,"Satellite Pits";"SATT 2",#N/A,FALSE,"Satellite Pits";"SATT 3",#N/A,FALSE,"Satellite Pits";"SATT 4",#N/A,FALSE,"Satellite Pits";"SATT 5",#N/A,FALSE,"Satellite Pits";"SATT 6",#N/A,FALSE,"Satellite Pits";"SATT 7",#N/A,FALSE,"Satellite Pits"}</definedName>
    <definedName name="wrn.SATELLITES." hidden="1">{"SATT 1_2",#N/A,FALSE,"Satellite Pits";"SATT 1",#N/A,FALSE,"Satellite Pits";"SATT 2",#N/A,FALSE,"Satellite Pits";"SATT 3",#N/A,FALSE,"Satellite Pits";"SATT 4",#N/A,FALSE,"Satellite Pits";"SATT 5",#N/A,FALSE,"Satellite Pits";"SATT 6",#N/A,FALSE,"Satellite Pits";"SATT 7",#N/A,FALSE,"Satellite Pits"}</definedName>
    <definedName name="wrn.SUMMARY." localSheetId="4" hidden="1">{"SUMMARY 1",#N/A,FALSE,"Summary";"SUMMARY 2",#N/A,FALSE,"Summary";"SUMMARY 3",#N/A,FALSE,"Summary"}</definedName>
    <definedName name="wrn.SUMMARY." localSheetId="2" hidden="1">{"SUMMARY 1",#N/A,FALSE,"Summary";"SUMMARY 2",#N/A,FALSE,"Summary";"SUMMARY 3",#N/A,FALSE,"Summary"}</definedName>
    <definedName name="wrn.SUMMARY." localSheetId="1" hidden="1">{"SUMMARY 1",#N/A,FALSE,"Summary";"SUMMARY 2",#N/A,FALSE,"Summary";"SUMMARY 3",#N/A,FALSE,"Summary"}</definedName>
    <definedName name="wrn.SUMMARY." localSheetId="3" hidden="1">{"SUMMARY 1",#N/A,FALSE,"Summary";"SUMMARY 2",#N/A,FALSE,"Summary";"SUMMARY 3",#N/A,FALSE,"Summary"}</definedName>
    <definedName name="wrn.SUMMARY." hidden="1">{"SUMMARY 1",#N/A,FALSE,"Summary";"SUMMARY 2",#N/A,FALSE,"Summary";"SUMMARY 3",#N/A,FALSE,"Summary"}</definedName>
    <definedName name="wrn.Summary._.Sheet._.only." localSheetId="4" hidden="1">{#N/A,#N/A,FALSE,"Summary"}</definedName>
    <definedName name="wrn.Summary._.Sheet._.only." localSheetId="2" hidden="1">{#N/A,#N/A,FALSE,"Summary"}</definedName>
    <definedName name="wrn.Summary._.Sheet._.only." localSheetId="1" hidden="1">{#N/A,#N/A,FALSE,"Summary"}</definedName>
    <definedName name="wrn.Summary._.Sheet._.only." localSheetId="3" hidden="1">{#N/A,#N/A,FALSE,"Summary"}</definedName>
    <definedName name="wrn.Summary._.Sheet._.only." hidden="1">{#N/A,#N/A,FALSE,"Summary"}</definedName>
    <definedName name="wrn.UNDERGROUND." localSheetId="4" hidden="1">{"UGRND 1",#N/A,FALSE,"UG";"UGRND 2",#N/A,FALSE,"UG";"UGRND 3",#N/A,FALSE,"UG";"UGRND 4",#N/A,FALSE,"UG";"UGRND 5",#N/A,FALSE,"UG";"UGRND 6",#N/A,FALSE,"UG";"UGRND 7",#N/A,FALSE,"UG";"UGRND 8",#N/A,FALSE,"UG";"UGRND 9",#N/A,FALSE,"UG";"UGRND 10",#N/A,FALSE,"UG";"UGRND STOPES",#N/A,FALSE,"UG"}</definedName>
    <definedName name="wrn.UNDERGROUND." localSheetId="2" hidden="1">{"UGRND 1",#N/A,FALSE,"UG";"UGRND 2",#N/A,FALSE,"UG";"UGRND 3",#N/A,FALSE,"UG";"UGRND 4",#N/A,FALSE,"UG";"UGRND 5",#N/A,FALSE,"UG";"UGRND 6",#N/A,FALSE,"UG";"UGRND 7",#N/A,FALSE,"UG";"UGRND 8",#N/A,FALSE,"UG";"UGRND 9",#N/A,FALSE,"UG";"UGRND 10",#N/A,FALSE,"UG";"UGRND STOPES",#N/A,FALSE,"UG"}</definedName>
    <definedName name="wrn.UNDERGROUND." localSheetId="1" hidden="1">{"UGRND 1",#N/A,FALSE,"UG";"UGRND 2",#N/A,FALSE,"UG";"UGRND 3",#N/A,FALSE,"UG";"UGRND 4",#N/A,FALSE,"UG";"UGRND 5",#N/A,FALSE,"UG";"UGRND 6",#N/A,FALSE,"UG";"UGRND 7",#N/A,FALSE,"UG";"UGRND 8",#N/A,FALSE,"UG";"UGRND 9",#N/A,FALSE,"UG";"UGRND 10",#N/A,FALSE,"UG";"UGRND STOPES",#N/A,FALSE,"UG"}</definedName>
    <definedName name="wrn.UNDERGROUND." localSheetId="3" hidden="1">{"UGRND 1",#N/A,FALSE,"UG";"UGRND 2",#N/A,FALSE,"UG";"UGRND 3",#N/A,FALSE,"UG";"UGRND 4",#N/A,FALSE,"UG";"UGRND 5",#N/A,FALSE,"UG";"UGRND 6",#N/A,FALSE,"UG";"UGRND 7",#N/A,FALSE,"UG";"UGRND 8",#N/A,FALSE,"UG";"UGRND 9",#N/A,FALSE,"UG";"UGRND 10",#N/A,FALSE,"UG";"UGRND STOPES",#N/A,FALSE,"UG"}</definedName>
    <definedName name="wrn.UNDERGROUND." hidden="1">{"UGRND 1",#N/A,FALSE,"UG";"UGRND 2",#N/A,FALSE,"UG";"UGRND 3",#N/A,FALSE,"UG";"UGRND 4",#N/A,FALSE,"UG";"UGRND 5",#N/A,FALSE,"UG";"UGRND 6",#N/A,FALSE,"UG";"UGRND 7",#N/A,FALSE,"UG";"UGRND 8",#N/A,FALSE,"UG";"UGRND 9",#N/A,FALSE,"UG";"UGRND 10",#N/A,FALSE,"UG";"UGRND STOPES",#N/A,FALSE,"UG"}</definedName>
    <definedName name="wrn.VERSION." localSheetId="4" hidden="1">{"VERSION",#N/A,FALSE,"Version"}</definedName>
    <definedName name="wrn.VERSION." localSheetId="2" hidden="1">{"VERSION",#N/A,FALSE,"Version"}</definedName>
    <definedName name="wrn.VERSION." localSheetId="1" hidden="1">{"VERSION",#N/A,FALSE,"Version"}</definedName>
    <definedName name="wrn.VERSION." localSheetId="3" hidden="1">{"VERSION",#N/A,FALSE,"Version"}</definedName>
    <definedName name="wrn.VERSION." hidden="1">{"VERSION",#N/A,FALSE,"Version"}</definedName>
    <definedName name="wrn.ZZZ." localSheetId="4" hidden="1">{"CORP COP",#N/A,FALSE,"Corporate"}</definedName>
    <definedName name="wrn.ZZZ." localSheetId="2" hidden="1">{"CORP COP",#N/A,FALSE,"Corporate"}</definedName>
    <definedName name="wrn.ZZZ." localSheetId="1" hidden="1">{"CORP COP",#N/A,FALSE,"Corporate"}</definedName>
    <definedName name="wrn.ZZZ." localSheetId="3" hidden="1">{"CORP COP",#N/A,FALSE,"Corporate"}</definedName>
    <definedName name="wrn.ZZZ." hidden="1">{"CORP COP",#N/A,FALSE,"Corporate"}</definedName>
    <definedName name="WS200PVC" localSheetId="2">#REF!</definedName>
    <definedName name="WS200PVC" localSheetId="3">#REF!</definedName>
    <definedName name="WS200PVC">#REF!</definedName>
    <definedName name="X_Indirect_Costs" localSheetId="2">#REF!</definedName>
    <definedName name="X_Indirect_Costs" localSheetId="3">#REF!</definedName>
    <definedName name="X_Indirect_Costs">#REF!</definedName>
    <definedName name="Xd" localSheetId="2">#REF!</definedName>
    <definedName name="Xd" localSheetId="3">#REF!</definedName>
    <definedName name="Xd">#REF!</definedName>
    <definedName name="Y_General_Expenses" localSheetId="2">#REF!</definedName>
    <definedName name="Y_General_Expenses" localSheetId="3">#REF!</definedName>
    <definedName name="Y_General_Expenses">#REF!</definedName>
    <definedName name="ydashmintbl2" localSheetId="2">#REF!</definedName>
    <definedName name="ydashmintbl2" localSheetId="3">#REF!</definedName>
    <definedName name="ydashmintbl2">#REF!</definedName>
    <definedName name="ydashmintbl3" localSheetId="2">#REF!</definedName>
    <definedName name="ydashmintbl3" localSheetId="3">#REF!</definedName>
    <definedName name="ydashmintbl3">#REF!</definedName>
    <definedName name="Zd" localSheetId="2">#REF!</definedName>
    <definedName name="Zd" localSheetId="3">#REF!</definedName>
    <definedName name="Zd">#REF!</definedName>
    <definedName name="Zs" localSheetId="2">#REF!</definedName>
    <definedName name="Zs" localSheetId="3">#REF!</definedName>
    <definedName name="Zs">#REF!</definedName>
    <definedName name="zzzzz" localSheetId="2" hidden="1">#REF!</definedName>
    <definedName name="zzzzz" localSheetId="3" hidden="1">#REF!</definedName>
    <definedName name="zzz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87" i="5" l="1"/>
  <c r="BB386" i="5"/>
  <c r="BB385" i="5"/>
  <c r="BB384" i="5"/>
  <c r="BB383" i="5"/>
  <c r="BB382" i="5"/>
  <c r="BB381" i="5"/>
  <c r="BB380" i="5"/>
  <c r="BB379" i="5"/>
  <c r="BB378" i="5"/>
  <c r="BB377" i="5"/>
  <c r="BB376" i="5"/>
  <c r="BB375" i="5"/>
  <c r="BB374" i="5"/>
  <c r="BB373" i="5"/>
  <c r="BB372" i="5"/>
  <c r="BB371" i="5"/>
  <c r="BB370" i="5"/>
  <c r="BB369" i="5"/>
  <c r="BB368" i="5"/>
  <c r="BB367" i="5"/>
  <c r="BB366" i="5"/>
  <c r="BB365" i="5"/>
  <c r="BB364" i="5"/>
  <c r="BB363" i="5"/>
  <c r="BB362" i="5"/>
  <c r="BB361" i="5"/>
  <c r="BB360" i="5"/>
  <c r="BB359" i="5"/>
  <c r="BB358" i="5"/>
  <c r="BB357" i="5"/>
  <c r="BB356" i="5"/>
  <c r="BB355" i="5"/>
  <c r="BB354" i="5"/>
  <c r="BB353" i="5"/>
  <c r="BB352" i="5"/>
  <c r="BB351" i="5"/>
  <c r="BB350" i="5"/>
  <c r="BB349" i="5"/>
  <c r="BB348" i="5"/>
  <c r="BB347" i="5"/>
  <c r="BB346" i="5"/>
  <c r="BB345" i="5"/>
  <c r="BB344" i="5"/>
  <c r="BB343" i="5"/>
  <c r="BB342" i="5"/>
  <c r="BB341" i="5"/>
  <c r="BB340" i="5"/>
  <c r="BB339" i="5"/>
  <c r="BB338" i="5"/>
  <c r="BB337" i="5"/>
  <c r="BB336" i="5"/>
  <c r="BB335" i="5"/>
  <c r="BB334" i="5"/>
  <c r="BB333" i="5"/>
  <c r="BB332" i="5"/>
  <c r="BB331" i="5"/>
  <c r="BB330" i="5"/>
  <c r="BB329" i="5"/>
  <c r="BB328" i="5"/>
  <c r="BB327" i="5"/>
  <c r="BB326" i="5"/>
  <c r="BB325" i="5"/>
  <c r="BB324" i="5"/>
  <c r="BB323" i="5"/>
  <c r="BB322" i="5"/>
  <c r="BB321" i="5"/>
  <c r="BB320" i="5"/>
  <c r="BB319" i="5"/>
  <c r="BB318" i="5"/>
  <c r="BB317" i="5"/>
  <c r="BB316" i="5"/>
  <c r="BB315" i="5"/>
  <c r="BB314" i="5"/>
  <c r="BB313" i="5"/>
  <c r="BB312" i="5"/>
  <c r="BB311" i="5"/>
  <c r="BB310" i="5"/>
  <c r="BB309" i="5"/>
  <c r="BB308" i="5"/>
  <c r="BB307" i="5"/>
  <c r="BB306" i="5"/>
  <c r="BB305" i="5"/>
  <c r="BB304" i="5"/>
  <c r="BB303" i="5"/>
  <c r="BB302" i="5"/>
  <c r="BB301" i="5"/>
  <c r="BB300" i="5"/>
  <c r="BB299" i="5"/>
  <c r="BB298" i="5"/>
  <c r="BB297" i="5"/>
  <c r="BB296" i="5"/>
  <c r="BB295" i="5"/>
  <c r="BB294" i="5"/>
  <c r="BB293" i="5"/>
  <c r="BB292" i="5"/>
  <c r="BB291" i="5"/>
  <c r="BB290" i="5"/>
  <c r="BB289" i="5"/>
  <c r="BB288" i="5"/>
  <c r="BB287" i="5"/>
  <c r="BB286" i="5"/>
  <c r="BB285" i="5"/>
  <c r="BB284" i="5"/>
  <c r="BB283" i="5"/>
  <c r="BB282" i="5"/>
  <c r="BB281" i="5"/>
  <c r="BB280" i="5"/>
  <c r="BB279" i="5"/>
  <c r="BB278" i="5"/>
  <c r="BB277" i="5"/>
  <c r="BB276" i="5"/>
  <c r="BB275" i="5"/>
  <c r="BB274" i="5"/>
  <c r="BB273" i="5"/>
  <c r="BB272" i="5"/>
  <c r="BB271" i="5"/>
  <c r="BB270" i="5"/>
  <c r="BB269" i="5"/>
  <c r="BB268" i="5"/>
  <c r="BB267" i="5"/>
  <c r="BB266" i="5"/>
  <c r="BB265" i="5"/>
  <c r="BB264" i="5"/>
  <c r="BB263" i="5"/>
  <c r="BB262" i="5"/>
  <c r="BB261" i="5"/>
  <c r="BB260" i="5"/>
  <c r="BB259" i="5"/>
  <c r="BB258" i="5"/>
  <c r="BB257" i="5"/>
  <c r="BB256" i="5"/>
  <c r="BB255" i="5"/>
  <c r="BB254" i="5"/>
  <c r="BB253" i="5"/>
  <c r="BB252" i="5"/>
  <c r="BB251" i="5"/>
  <c r="BB250" i="5"/>
  <c r="BB249" i="5"/>
  <c r="BB248" i="5"/>
  <c r="BB247" i="5"/>
  <c r="BB246" i="5"/>
  <c r="BB245" i="5"/>
  <c r="BB244" i="5"/>
  <c r="BB243" i="5"/>
  <c r="BB242" i="5"/>
  <c r="BB241" i="5"/>
  <c r="BB240" i="5"/>
  <c r="BB239" i="5"/>
  <c r="BB238" i="5"/>
  <c r="BB237" i="5"/>
  <c r="BB236" i="5"/>
  <c r="BB235" i="5"/>
  <c r="BB234" i="5"/>
  <c r="BB233" i="5"/>
  <c r="BB232" i="5"/>
  <c r="BB231" i="5"/>
  <c r="BB230" i="5"/>
  <c r="BB229" i="5"/>
  <c r="BB228" i="5"/>
  <c r="BB227" i="5"/>
  <c r="BB226" i="5"/>
  <c r="BB225" i="5"/>
  <c r="BB224" i="5"/>
  <c r="BB223" i="5"/>
  <c r="BB222" i="5"/>
  <c r="BB221" i="5"/>
  <c r="BB220" i="5"/>
  <c r="BB219" i="5"/>
  <c r="BB218" i="5"/>
  <c r="BB217" i="5"/>
  <c r="BB216" i="5"/>
  <c r="BB215" i="5"/>
  <c r="BB214" i="5"/>
  <c r="BB213" i="5"/>
  <c r="BB212" i="5"/>
  <c r="BB211" i="5"/>
  <c r="BB210" i="5"/>
  <c r="BB209" i="5"/>
  <c r="BB208" i="5"/>
  <c r="BB207" i="5"/>
  <c r="BB206" i="5"/>
  <c r="BB205" i="5"/>
  <c r="BB204" i="5"/>
  <c r="BB203" i="5"/>
  <c r="BB202" i="5"/>
  <c r="BB201" i="5"/>
  <c r="BB200" i="5"/>
  <c r="BB199" i="5"/>
  <c r="BB198" i="5"/>
  <c r="BB197" i="5"/>
  <c r="BB196" i="5"/>
  <c r="BB195" i="5"/>
  <c r="BB194" i="5"/>
  <c r="BB193" i="5"/>
  <c r="BB192" i="5"/>
  <c r="BB191" i="5"/>
  <c r="BB190" i="5"/>
  <c r="BB189" i="5"/>
  <c r="BB188" i="5"/>
  <c r="BB187" i="5"/>
  <c r="BB186" i="5"/>
  <c r="BB185" i="5"/>
  <c r="BB184" i="5"/>
  <c r="BB183" i="5"/>
  <c r="BB182" i="5"/>
  <c r="BB181" i="5"/>
  <c r="BB180" i="5"/>
  <c r="BB179" i="5"/>
  <c r="BB178" i="5"/>
  <c r="BB177" i="5"/>
  <c r="BB176" i="5"/>
  <c r="BB175" i="5"/>
  <c r="BB174" i="5"/>
  <c r="BB173" i="5"/>
  <c r="BB172" i="5"/>
  <c r="BB171" i="5"/>
  <c r="BB170" i="5"/>
  <c r="BB169" i="5"/>
  <c r="BB168" i="5"/>
  <c r="BB167" i="5"/>
  <c r="BB166" i="5"/>
  <c r="BB165" i="5"/>
  <c r="BB164" i="5"/>
  <c r="BB163" i="5"/>
  <c r="BB162" i="5"/>
  <c r="BB161" i="5"/>
  <c r="BB160" i="5"/>
  <c r="BB159" i="5"/>
  <c r="BB158" i="5"/>
  <c r="BB157" i="5"/>
  <c r="BB156" i="5"/>
  <c r="BB155" i="5"/>
  <c r="BB154" i="5"/>
  <c r="BB153" i="5"/>
  <c r="BB152" i="5"/>
  <c r="BB151" i="5"/>
  <c r="BB150" i="5"/>
  <c r="BB149" i="5"/>
  <c r="BB148" i="5"/>
  <c r="BB147" i="5"/>
  <c r="BB146" i="5"/>
  <c r="BB145" i="5"/>
  <c r="BB144" i="5"/>
  <c r="BB143" i="5"/>
  <c r="BB142" i="5"/>
  <c r="BB141" i="5"/>
  <c r="BB140" i="5"/>
  <c r="BB139" i="5"/>
  <c r="BB138" i="5"/>
  <c r="BB137" i="5"/>
  <c r="BB136" i="5"/>
  <c r="BB135" i="5"/>
  <c r="BB134" i="5"/>
  <c r="BB133" i="5"/>
  <c r="BB132" i="5"/>
  <c r="BB131" i="5"/>
  <c r="BB130" i="5"/>
  <c r="BB129" i="5"/>
  <c r="BB128" i="5"/>
  <c r="BB127" i="5"/>
  <c r="BB126" i="5"/>
  <c r="BB125" i="5"/>
  <c r="BB124" i="5"/>
  <c r="BB123" i="5"/>
  <c r="BB122" i="5"/>
  <c r="BB121" i="5"/>
  <c r="BB120" i="5"/>
  <c r="BB119" i="5"/>
  <c r="BB118" i="5"/>
  <c r="BB117" i="5"/>
  <c r="BB116" i="5"/>
  <c r="BB115" i="5"/>
  <c r="BB114" i="5"/>
  <c r="BB113" i="5"/>
  <c r="BB112" i="5"/>
  <c r="BB111" i="5"/>
  <c r="BB110" i="5"/>
  <c r="BB109" i="5"/>
  <c r="BB108" i="5"/>
  <c r="BB107" i="5"/>
  <c r="BB106" i="5"/>
  <c r="BB105" i="5"/>
  <c r="BB104" i="5"/>
  <c r="BB103" i="5"/>
  <c r="BB102" i="5"/>
  <c r="BB101" i="5"/>
  <c r="BB100" i="5"/>
  <c r="BB99" i="5"/>
  <c r="BB98" i="5"/>
  <c r="BB97" i="5"/>
  <c r="BB96" i="5"/>
  <c r="BB95" i="5"/>
  <c r="BB94" i="5"/>
  <c r="BB93" i="5"/>
  <c r="BB92" i="5"/>
  <c r="BB91" i="5"/>
  <c r="BB90" i="5"/>
  <c r="BB89" i="5"/>
  <c r="BB88" i="5"/>
  <c r="BB87" i="5"/>
  <c r="BB86" i="5"/>
  <c r="BB85" i="5"/>
  <c r="BB84" i="5"/>
  <c r="BB83" i="5"/>
  <c r="BB82" i="5"/>
  <c r="BB81" i="5"/>
  <c r="BB80" i="5"/>
  <c r="BB79" i="5"/>
  <c r="BB78" i="5"/>
  <c r="BB77" i="5"/>
  <c r="BB76" i="5"/>
  <c r="BB75" i="5"/>
  <c r="BB74" i="5"/>
  <c r="BB73" i="5"/>
  <c r="BB72" i="5"/>
  <c r="BB71" i="5"/>
  <c r="BB70" i="5"/>
  <c r="BB69" i="5"/>
  <c r="BB68" i="5"/>
  <c r="BB67" i="5"/>
  <c r="BB66" i="5"/>
  <c r="BB65" i="5"/>
  <c r="BB64" i="5"/>
  <c r="BB63" i="5"/>
  <c r="BB62" i="5"/>
  <c r="BB61" i="5"/>
  <c r="BB60" i="5"/>
  <c r="BB59" i="5"/>
  <c r="BB58" i="5"/>
  <c r="BB57" i="5"/>
  <c r="BB56" i="5"/>
  <c r="BB55" i="5"/>
  <c r="BB54" i="5"/>
  <c r="BB53" i="5"/>
  <c r="BB52" i="5"/>
  <c r="BB51" i="5"/>
  <c r="BB50" i="5"/>
  <c r="BB49" i="5"/>
  <c r="BB48" i="5"/>
  <c r="BB47" i="5"/>
  <c r="BB46" i="5"/>
  <c r="BB45" i="5"/>
  <c r="BB44" i="5"/>
  <c r="BB43" i="5"/>
  <c r="BB42" i="5"/>
  <c r="BB41" i="5"/>
  <c r="BB40" i="5"/>
  <c r="C40" i="5"/>
  <c r="C52" i="5" s="1"/>
  <c r="BB39" i="5"/>
  <c r="BB38" i="5"/>
  <c r="BB37" i="5"/>
  <c r="BB36" i="5"/>
  <c r="BB35" i="5"/>
  <c r="BB34" i="5"/>
  <c r="BB33" i="5"/>
  <c r="BB32" i="5"/>
  <c r="BB31" i="5"/>
  <c r="BB30" i="5"/>
  <c r="BB29" i="5"/>
  <c r="BB28" i="5"/>
  <c r="C28" i="5"/>
  <c r="BB27" i="5"/>
  <c r="D27" i="5"/>
  <c r="BB26" i="5"/>
  <c r="BB25" i="5"/>
  <c r="BB24" i="5"/>
  <c r="D24" i="5"/>
  <c r="BB23" i="5"/>
  <c r="BB22" i="5"/>
  <c r="D22" i="5"/>
  <c r="BB21" i="5"/>
  <c r="D21" i="5"/>
  <c r="BB20" i="5"/>
  <c r="BB19" i="5"/>
  <c r="BB18" i="5"/>
  <c r="BB17" i="5"/>
  <c r="E17" i="5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D17" i="5"/>
  <c r="BB16" i="5"/>
  <c r="F16" i="5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D16" i="5"/>
  <c r="D23" i="5" s="1"/>
  <c r="F9" i="5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E9" i="5"/>
  <c r="BB387" i="3"/>
  <c r="BB386" i="3"/>
  <c r="BB385" i="3"/>
  <c r="BB384" i="3"/>
  <c r="BB383" i="3"/>
  <c r="BB382" i="3"/>
  <c r="BB381" i="3"/>
  <c r="BB380" i="3"/>
  <c r="BB379" i="3"/>
  <c r="BB378" i="3"/>
  <c r="BB377" i="3"/>
  <c r="BB376" i="3"/>
  <c r="BB375" i="3"/>
  <c r="BB374" i="3"/>
  <c r="BB373" i="3"/>
  <c r="BB372" i="3"/>
  <c r="BB371" i="3"/>
  <c r="BB370" i="3"/>
  <c r="BB369" i="3"/>
  <c r="BB368" i="3"/>
  <c r="BB367" i="3"/>
  <c r="BB366" i="3"/>
  <c r="BB365" i="3"/>
  <c r="BB364" i="3"/>
  <c r="BB363" i="3"/>
  <c r="BB362" i="3"/>
  <c r="BB361" i="3"/>
  <c r="BB360" i="3"/>
  <c r="BB359" i="3"/>
  <c r="BB358" i="3"/>
  <c r="BB357" i="3"/>
  <c r="BB356" i="3"/>
  <c r="BB355" i="3"/>
  <c r="BB354" i="3"/>
  <c r="BB353" i="3"/>
  <c r="BB352" i="3"/>
  <c r="BB351" i="3"/>
  <c r="BB350" i="3"/>
  <c r="BB349" i="3"/>
  <c r="BB348" i="3"/>
  <c r="BB347" i="3"/>
  <c r="BB346" i="3"/>
  <c r="BB345" i="3"/>
  <c r="BB344" i="3"/>
  <c r="BB343" i="3"/>
  <c r="BB342" i="3"/>
  <c r="BB341" i="3"/>
  <c r="BB340" i="3"/>
  <c r="BB339" i="3"/>
  <c r="BB338" i="3"/>
  <c r="BB337" i="3"/>
  <c r="BB336" i="3"/>
  <c r="BB335" i="3"/>
  <c r="BB334" i="3"/>
  <c r="BB333" i="3"/>
  <c r="BB332" i="3"/>
  <c r="BB331" i="3"/>
  <c r="BB330" i="3"/>
  <c r="BB329" i="3"/>
  <c r="BB328" i="3"/>
  <c r="BB327" i="3"/>
  <c r="BB326" i="3"/>
  <c r="BB325" i="3"/>
  <c r="BB324" i="3"/>
  <c r="BB323" i="3"/>
  <c r="BB322" i="3"/>
  <c r="BB321" i="3"/>
  <c r="BB320" i="3"/>
  <c r="BB319" i="3"/>
  <c r="BB318" i="3"/>
  <c r="BB317" i="3"/>
  <c r="BB316" i="3"/>
  <c r="BB315" i="3"/>
  <c r="BB314" i="3"/>
  <c r="BB313" i="3"/>
  <c r="BB312" i="3"/>
  <c r="BB311" i="3"/>
  <c r="BB310" i="3"/>
  <c r="BB309" i="3"/>
  <c r="BB308" i="3"/>
  <c r="BB307" i="3"/>
  <c r="BB306" i="3"/>
  <c r="BB305" i="3"/>
  <c r="BB304" i="3"/>
  <c r="BB303" i="3"/>
  <c r="BB302" i="3"/>
  <c r="BB301" i="3"/>
  <c r="BB300" i="3"/>
  <c r="BB299" i="3"/>
  <c r="BB298" i="3"/>
  <c r="BB297" i="3"/>
  <c r="BB296" i="3"/>
  <c r="BB295" i="3"/>
  <c r="BB294" i="3"/>
  <c r="BB293" i="3"/>
  <c r="BB292" i="3"/>
  <c r="BB291" i="3"/>
  <c r="BB290" i="3"/>
  <c r="BB289" i="3"/>
  <c r="BB288" i="3"/>
  <c r="BB287" i="3"/>
  <c r="BB286" i="3"/>
  <c r="BB285" i="3"/>
  <c r="BB284" i="3"/>
  <c r="BB283" i="3"/>
  <c r="BB282" i="3"/>
  <c r="BB281" i="3"/>
  <c r="BB280" i="3"/>
  <c r="BB279" i="3"/>
  <c r="BB278" i="3"/>
  <c r="BB277" i="3"/>
  <c r="BB276" i="3"/>
  <c r="BB275" i="3"/>
  <c r="BB274" i="3"/>
  <c r="BB273" i="3"/>
  <c r="BB272" i="3"/>
  <c r="BB271" i="3"/>
  <c r="BB270" i="3"/>
  <c r="BB269" i="3"/>
  <c r="BB268" i="3"/>
  <c r="BB267" i="3"/>
  <c r="BB266" i="3"/>
  <c r="BB265" i="3"/>
  <c r="BB264" i="3"/>
  <c r="BB263" i="3"/>
  <c r="BB262" i="3"/>
  <c r="BB261" i="3"/>
  <c r="BB260" i="3"/>
  <c r="BB259" i="3"/>
  <c r="BB258" i="3"/>
  <c r="BB257" i="3"/>
  <c r="BB256" i="3"/>
  <c r="BB255" i="3"/>
  <c r="BB254" i="3"/>
  <c r="BB253" i="3"/>
  <c r="BB252" i="3"/>
  <c r="BB251" i="3"/>
  <c r="BB250" i="3"/>
  <c r="BB249" i="3"/>
  <c r="BB248" i="3"/>
  <c r="BB247" i="3"/>
  <c r="BB246" i="3"/>
  <c r="BB245" i="3"/>
  <c r="BB244" i="3"/>
  <c r="BB243" i="3"/>
  <c r="BB242" i="3"/>
  <c r="BB241" i="3"/>
  <c r="BB240" i="3"/>
  <c r="BB239" i="3"/>
  <c r="BB238" i="3"/>
  <c r="BB237" i="3"/>
  <c r="BB236" i="3"/>
  <c r="BB235" i="3"/>
  <c r="BB234" i="3"/>
  <c r="BB233" i="3"/>
  <c r="BB232" i="3"/>
  <c r="BB231" i="3"/>
  <c r="BB230" i="3"/>
  <c r="BB229" i="3"/>
  <c r="BB228" i="3"/>
  <c r="BB227" i="3"/>
  <c r="BB226" i="3"/>
  <c r="BB225" i="3"/>
  <c r="BB224" i="3"/>
  <c r="BB223" i="3"/>
  <c r="BB222" i="3"/>
  <c r="BB221" i="3"/>
  <c r="BB220" i="3"/>
  <c r="BB219" i="3"/>
  <c r="BB218" i="3"/>
  <c r="BB217" i="3"/>
  <c r="BB216" i="3"/>
  <c r="BB215" i="3"/>
  <c r="BB214" i="3"/>
  <c r="BB213" i="3"/>
  <c r="BB212" i="3"/>
  <c r="BB211" i="3"/>
  <c r="BB210" i="3"/>
  <c r="BB209" i="3"/>
  <c r="BB208" i="3"/>
  <c r="BB207" i="3"/>
  <c r="BB206" i="3"/>
  <c r="BB205" i="3"/>
  <c r="BB204" i="3"/>
  <c r="BB203" i="3"/>
  <c r="BB202" i="3"/>
  <c r="BB201" i="3"/>
  <c r="BB200" i="3"/>
  <c r="BB199" i="3"/>
  <c r="BB198" i="3"/>
  <c r="BB197" i="3"/>
  <c r="BB196" i="3"/>
  <c r="BB195" i="3"/>
  <c r="BB194" i="3"/>
  <c r="BB193" i="3"/>
  <c r="BB192" i="3"/>
  <c r="BB191" i="3"/>
  <c r="BB190" i="3"/>
  <c r="BB189" i="3"/>
  <c r="BB188" i="3"/>
  <c r="BB187" i="3"/>
  <c r="BB186" i="3"/>
  <c r="BB185" i="3"/>
  <c r="BB184" i="3"/>
  <c r="BB183" i="3"/>
  <c r="BB182" i="3"/>
  <c r="BB181" i="3"/>
  <c r="BB180" i="3"/>
  <c r="BB179" i="3"/>
  <c r="BB178" i="3"/>
  <c r="BB177" i="3"/>
  <c r="BB176" i="3"/>
  <c r="BB175" i="3"/>
  <c r="BB174" i="3"/>
  <c r="BB173" i="3"/>
  <c r="BB172" i="3"/>
  <c r="BB171" i="3"/>
  <c r="BB170" i="3"/>
  <c r="BB169" i="3"/>
  <c r="BB168" i="3"/>
  <c r="BB167" i="3"/>
  <c r="BB166" i="3"/>
  <c r="BB165" i="3"/>
  <c r="BB164" i="3"/>
  <c r="BB163" i="3"/>
  <c r="BB162" i="3"/>
  <c r="BB161" i="3"/>
  <c r="BB160" i="3"/>
  <c r="BB159" i="3"/>
  <c r="BB158" i="3"/>
  <c r="BB157" i="3"/>
  <c r="BB156" i="3"/>
  <c r="BB155" i="3"/>
  <c r="BB154" i="3"/>
  <c r="BB153" i="3"/>
  <c r="BB152" i="3"/>
  <c r="BB151" i="3"/>
  <c r="BB150" i="3"/>
  <c r="BB149" i="3"/>
  <c r="BB148" i="3"/>
  <c r="BB147" i="3"/>
  <c r="BB146" i="3"/>
  <c r="BB145" i="3"/>
  <c r="BB144" i="3"/>
  <c r="BB143" i="3"/>
  <c r="BB142" i="3"/>
  <c r="BB141" i="3"/>
  <c r="BB140" i="3"/>
  <c r="BB139" i="3"/>
  <c r="BB138" i="3"/>
  <c r="BB137" i="3"/>
  <c r="BB136" i="3"/>
  <c r="BB135" i="3"/>
  <c r="BB134" i="3"/>
  <c r="BB133" i="3"/>
  <c r="BB132" i="3"/>
  <c r="BB131" i="3"/>
  <c r="BB130" i="3"/>
  <c r="BB129" i="3"/>
  <c r="BB128" i="3"/>
  <c r="BB127" i="3"/>
  <c r="BB126" i="3"/>
  <c r="BB125" i="3"/>
  <c r="BB124" i="3"/>
  <c r="BB123" i="3"/>
  <c r="BB122" i="3"/>
  <c r="BB121" i="3"/>
  <c r="BB120" i="3"/>
  <c r="BB119" i="3"/>
  <c r="BB118" i="3"/>
  <c r="BB117" i="3"/>
  <c r="BB116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B100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E53" i="3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BB52" i="3"/>
  <c r="E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C28" i="3"/>
  <c r="C40" i="3" s="1"/>
  <c r="BB27" i="3"/>
  <c r="D27" i="3"/>
  <c r="BB26" i="3"/>
  <c r="D26" i="3"/>
  <c r="BB25" i="3"/>
  <c r="D25" i="3"/>
  <c r="BB24" i="3"/>
  <c r="D24" i="3"/>
  <c r="BB23" i="3"/>
  <c r="D23" i="3"/>
  <c r="BB22" i="3"/>
  <c r="D22" i="3"/>
  <c r="BB21" i="3"/>
  <c r="D21" i="3"/>
  <c r="BB20" i="3"/>
  <c r="D20" i="3"/>
  <c r="BB19" i="3"/>
  <c r="D19" i="3"/>
  <c r="BB18" i="3"/>
  <c r="D18" i="3"/>
  <c r="BB17" i="3"/>
  <c r="E17" i="3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D17" i="3"/>
  <c r="BB16" i="3"/>
  <c r="D16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9" i="3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E9" i="3"/>
  <c r="D52" i="5" l="1"/>
  <c r="C64" i="5"/>
  <c r="D40" i="5"/>
  <c r="D19" i="5"/>
  <c r="D28" i="5"/>
  <c r="D25" i="5"/>
  <c r="D18" i="5"/>
  <c r="D26" i="5"/>
  <c r="D20" i="5"/>
  <c r="C52" i="3"/>
  <c r="D40" i="3"/>
  <c r="D28" i="3"/>
  <c r="C76" i="5" l="1"/>
  <c r="D64" i="5"/>
  <c r="D38" i="5"/>
  <c r="D31" i="5"/>
  <c r="D29" i="5"/>
  <c r="D39" i="5"/>
  <c r="D35" i="5"/>
  <c r="D30" i="5"/>
  <c r="D34" i="5"/>
  <c r="D33" i="5"/>
  <c r="D37" i="5"/>
  <c r="D32" i="5"/>
  <c r="D36" i="5"/>
  <c r="D51" i="5"/>
  <c r="D48" i="5"/>
  <c r="D45" i="5"/>
  <c r="D42" i="5"/>
  <c r="D41" i="5"/>
  <c r="D44" i="5"/>
  <c r="D47" i="5"/>
  <c r="D43" i="5"/>
  <c r="D46" i="5"/>
  <c r="D50" i="5"/>
  <c r="D49" i="5"/>
  <c r="D60" i="5"/>
  <c r="D63" i="5"/>
  <c r="D61" i="5"/>
  <c r="D62" i="5"/>
  <c r="D59" i="5"/>
  <c r="D55" i="5"/>
  <c r="D53" i="5"/>
  <c r="D58" i="5"/>
  <c r="D54" i="5"/>
  <c r="D57" i="5"/>
  <c r="D56" i="5"/>
  <c r="D39" i="3"/>
  <c r="D38" i="3"/>
  <c r="D37" i="3"/>
  <c r="D36" i="3"/>
  <c r="D35" i="3"/>
  <c r="D34" i="3"/>
  <c r="D33" i="3"/>
  <c r="D32" i="3"/>
  <c r="D31" i="3"/>
  <c r="D30" i="3"/>
  <c r="D29" i="3"/>
  <c r="D41" i="3"/>
  <c r="D51" i="3"/>
  <c r="D50" i="3"/>
  <c r="D49" i="3"/>
  <c r="D48" i="3"/>
  <c r="D47" i="3"/>
  <c r="D46" i="3"/>
  <c r="D45" i="3"/>
  <c r="D44" i="3"/>
  <c r="D43" i="3"/>
  <c r="D42" i="3"/>
  <c r="C64" i="3"/>
  <c r="D52" i="3"/>
  <c r="D73" i="5" l="1"/>
  <c r="D70" i="5"/>
  <c r="D67" i="5"/>
  <c r="D74" i="5"/>
  <c r="D68" i="5"/>
  <c r="D65" i="5"/>
  <c r="D69" i="5"/>
  <c r="D72" i="5"/>
  <c r="D66" i="5"/>
  <c r="D75" i="5"/>
  <c r="D71" i="5"/>
  <c r="C88" i="5"/>
  <c r="D76" i="5"/>
  <c r="C76" i="3"/>
  <c r="D64" i="3"/>
  <c r="D63" i="3"/>
  <c r="D62" i="3"/>
  <c r="D61" i="3"/>
  <c r="D60" i="3"/>
  <c r="D59" i="3"/>
  <c r="D58" i="3"/>
  <c r="D57" i="3"/>
  <c r="D56" i="3"/>
  <c r="D55" i="3"/>
  <c r="D54" i="3"/>
  <c r="D53" i="3"/>
  <c r="C100" i="5" l="1"/>
  <c r="D88" i="5"/>
  <c r="D85" i="5"/>
  <c r="D82" i="5"/>
  <c r="D79" i="5"/>
  <c r="D87" i="5"/>
  <c r="D77" i="5"/>
  <c r="D80" i="5"/>
  <c r="D78" i="5"/>
  <c r="D86" i="5"/>
  <c r="D81" i="5"/>
  <c r="D84" i="5"/>
  <c r="D83" i="5"/>
  <c r="D75" i="3"/>
  <c r="D67" i="3"/>
  <c r="D74" i="3"/>
  <c r="D72" i="3"/>
  <c r="D70" i="3"/>
  <c r="D68" i="3"/>
  <c r="D66" i="3"/>
  <c r="D73" i="3"/>
  <c r="D69" i="3"/>
  <c r="D71" i="3"/>
  <c r="D65" i="3"/>
  <c r="C88" i="3"/>
  <c r="D76" i="3"/>
  <c r="D91" i="5" l="1"/>
  <c r="D90" i="5"/>
  <c r="D97" i="5"/>
  <c r="D93" i="5"/>
  <c r="D95" i="5"/>
  <c r="D99" i="5"/>
  <c r="D94" i="5"/>
  <c r="D89" i="5"/>
  <c r="D98" i="5"/>
  <c r="D92" i="5"/>
  <c r="D96" i="5"/>
  <c r="D100" i="5"/>
  <c r="C112" i="5"/>
  <c r="C100" i="3"/>
  <c r="D88" i="3"/>
  <c r="D87" i="3"/>
  <c r="D86" i="3"/>
  <c r="D85" i="3"/>
  <c r="D84" i="3"/>
  <c r="D83" i="3"/>
  <c r="D82" i="3"/>
  <c r="D81" i="3"/>
  <c r="D80" i="3"/>
  <c r="D79" i="3"/>
  <c r="D78" i="3"/>
  <c r="D77" i="3"/>
  <c r="D107" i="5" l="1"/>
  <c r="D111" i="5"/>
  <c r="D104" i="5"/>
  <c r="D109" i="5"/>
  <c r="D108" i="5"/>
  <c r="D103" i="5"/>
  <c r="D106" i="5"/>
  <c r="D102" i="5"/>
  <c r="D110" i="5"/>
  <c r="D105" i="5"/>
  <c r="D101" i="5"/>
  <c r="C124" i="5"/>
  <c r="D112" i="5"/>
  <c r="D99" i="3"/>
  <c r="D98" i="3"/>
  <c r="D97" i="3"/>
  <c r="D96" i="3"/>
  <c r="D95" i="3"/>
  <c r="D94" i="3"/>
  <c r="D93" i="3"/>
  <c r="D92" i="3"/>
  <c r="D91" i="3"/>
  <c r="D90" i="3"/>
  <c r="D89" i="3"/>
  <c r="C112" i="3"/>
  <c r="D100" i="3"/>
  <c r="D124" i="5" l="1"/>
  <c r="C136" i="5"/>
  <c r="D123" i="5"/>
  <c r="D120" i="5"/>
  <c r="D117" i="5"/>
  <c r="D114" i="5"/>
  <c r="D118" i="5"/>
  <c r="D121" i="5"/>
  <c r="D122" i="5"/>
  <c r="D113" i="5"/>
  <c r="D116" i="5"/>
  <c r="D115" i="5"/>
  <c r="D119" i="5"/>
  <c r="C124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C148" i="5" l="1"/>
  <c r="D136" i="5"/>
  <c r="D135" i="5"/>
  <c r="D132" i="5"/>
  <c r="D129" i="5"/>
  <c r="D126" i="5"/>
  <c r="D131" i="5"/>
  <c r="D134" i="5"/>
  <c r="D130" i="5"/>
  <c r="D125" i="5"/>
  <c r="D133" i="5"/>
  <c r="D127" i="5"/>
  <c r="D128" i="5"/>
  <c r="D122" i="3"/>
  <c r="D120" i="3"/>
  <c r="D118" i="3"/>
  <c r="D116" i="3"/>
  <c r="D114" i="3"/>
  <c r="D123" i="3"/>
  <c r="D121" i="3"/>
  <c r="D119" i="3"/>
  <c r="D117" i="3"/>
  <c r="D115" i="3"/>
  <c r="D113" i="3"/>
  <c r="C136" i="3"/>
  <c r="D124" i="3"/>
  <c r="D138" i="5" l="1"/>
  <c r="D141" i="5"/>
  <c r="D137" i="5"/>
  <c r="D144" i="5"/>
  <c r="D147" i="5"/>
  <c r="D142" i="5"/>
  <c r="D145" i="5"/>
  <c r="D139" i="5"/>
  <c r="D143" i="5"/>
  <c r="D140" i="5"/>
  <c r="D146" i="5"/>
  <c r="D148" i="5"/>
  <c r="C160" i="5"/>
  <c r="C148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54" i="5" l="1"/>
  <c r="D158" i="5"/>
  <c r="D151" i="5"/>
  <c r="D150" i="5"/>
  <c r="D159" i="5"/>
  <c r="D149" i="5"/>
  <c r="D153" i="5"/>
  <c r="D157" i="5"/>
  <c r="D152" i="5"/>
  <c r="D156" i="5"/>
  <c r="D155" i="5"/>
  <c r="D160" i="5"/>
  <c r="C172" i="5"/>
  <c r="D147" i="3"/>
  <c r="D146" i="3"/>
  <c r="D145" i="3"/>
  <c r="D144" i="3"/>
  <c r="D143" i="3"/>
  <c r="D142" i="3"/>
  <c r="D141" i="3"/>
  <c r="D140" i="3"/>
  <c r="D139" i="3"/>
  <c r="D138" i="3"/>
  <c r="D137" i="3"/>
  <c r="C160" i="3"/>
  <c r="D148" i="3"/>
  <c r="D170" i="5" l="1"/>
  <c r="D167" i="5"/>
  <c r="D164" i="5"/>
  <c r="D161" i="5"/>
  <c r="D165" i="5"/>
  <c r="D168" i="5"/>
  <c r="D169" i="5"/>
  <c r="D163" i="5"/>
  <c r="D171" i="5"/>
  <c r="D162" i="5"/>
  <c r="D166" i="5"/>
  <c r="C184" i="5"/>
  <c r="D172" i="5"/>
  <c r="C172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84" i="5" l="1"/>
  <c r="C196" i="5"/>
  <c r="D182" i="5"/>
  <c r="D179" i="5"/>
  <c r="D176" i="5"/>
  <c r="D173" i="5"/>
  <c r="D178" i="5"/>
  <c r="D181" i="5"/>
  <c r="D177" i="5"/>
  <c r="D180" i="5"/>
  <c r="D175" i="5"/>
  <c r="D174" i="5"/>
  <c r="D183" i="5"/>
  <c r="D170" i="3"/>
  <c r="D166" i="3"/>
  <c r="D162" i="3"/>
  <c r="D171" i="3"/>
  <c r="D169" i="3"/>
  <c r="D167" i="3"/>
  <c r="D165" i="3"/>
  <c r="D163" i="3"/>
  <c r="D161" i="3"/>
  <c r="D168" i="3"/>
  <c r="D164" i="3"/>
  <c r="C184" i="3"/>
  <c r="D172" i="3"/>
  <c r="D196" i="5" l="1"/>
  <c r="C208" i="5"/>
  <c r="D185" i="5"/>
  <c r="D195" i="5"/>
  <c r="D188" i="5"/>
  <c r="D191" i="5"/>
  <c r="D194" i="5"/>
  <c r="D189" i="5"/>
  <c r="D192" i="5"/>
  <c r="D186" i="5"/>
  <c r="D190" i="5"/>
  <c r="D187" i="5"/>
  <c r="D193" i="5"/>
  <c r="C196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202" i="5" l="1"/>
  <c r="D198" i="5"/>
  <c r="D206" i="5"/>
  <c r="D197" i="5"/>
  <c r="D207" i="5"/>
  <c r="D201" i="5"/>
  <c r="D204" i="5"/>
  <c r="D205" i="5"/>
  <c r="D200" i="5"/>
  <c r="D199" i="5"/>
  <c r="D203" i="5"/>
  <c r="C220" i="5"/>
  <c r="D208" i="5"/>
  <c r="D195" i="3"/>
  <c r="D193" i="3"/>
  <c r="D191" i="3"/>
  <c r="D189" i="3"/>
  <c r="D187" i="3"/>
  <c r="D185" i="3"/>
  <c r="D194" i="3"/>
  <c r="D192" i="3"/>
  <c r="D190" i="3"/>
  <c r="D188" i="3"/>
  <c r="D186" i="3"/>
  <c r="C208" i="3"/>
  <c r="D196" i="3"/>
  <c r="C232" i="5" l="1"/>
  <c r="D220" i="5"/>
  <c r="D217" i="5"/>
  <c r="D214" i="5"/>
  <c r="D211" i="5"/>
  <c r="D219" i="5"/>
  <c r="D210" i="5"/>
  <c r="D213" i="5"/>
  <c r="D212" i="5"/>
  <c r="D215" i="5"/>
  <c r="D216" i="5"/>
  <c r="D209" i="5"/>
  <c r="D218" i="5"/>
  <c r="C220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229" i="5" l="1"/>
  <c r="D226" i="5"/>
  <c r="D223" i="5"/>
  <c r="D230" i="5"/>
  <c r="D227" i="5"/>
  <c r="D224" i="5"/>
  <c r="D221" i="5"/>
  <c r="D222" i="5"/>
  <c r="D225" i="5"/>
  <c r="D231" i="5"/>
  <c r="D228" i="5"/>
  <c r="C244" i="5"/>
  <c r="D232" i="5"/>
  <c r="D219" i="3"/>
  <c r="D218" i="3"/>
  <c r="D217" i="3"/>
  <c r="D216" i="3"/>
  <c r="D215" i="3"/>
  <c r="D214" i="3"/>
  <c r="D213" i="3"/>
  <c r="D212" i="3"/>
  <c r="D211" i="3"/>
  <c r="D210" i="3"/>
  <c r="D209" i="3"/>
  <c r="C232" i="3"/>
  <c r="D220" i="3"/>
  <c r="D244" i="5" l="1"/>
  <c r="C256" i="5"/>
  <c r="D235" i="5"/>
  <c r="D237" i="5"/>
  <c r="D240" i="5"/>
  <c r="D233" i="5"/>
  <c r="D243" i="5"/>
  <c r="D236" i="5"/>
  <c r="D238" i="5"/>
  <c r="D241" i="5"/>
  <c r="D242" i="5"/>
  <c r="D239" i="5"/>
  <c r="D234" i="5"/>
  <c r="C244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56" i="5" l="1"/>
  <c r="C268" i="5"/>
  <c r="D252" i="5"/>
  <c r="D248" i="5"/>
  <c r="D251" i="5"/>
  <c r="D249" i="5"/>
  <c r="D245" i="5"/>
  <c r="D254" i="5"/>
  <c r="D247" i="5"/>
  <c r="D253" i="5"/>
  <c r="D246" i="5"/>
  <c r="D250" i="5"/>
  <c r="D255" i="5"/>
  <c r="D243" i="3"/>
  <c r="D242" i="3"/>
  <c r="D241" i="3"/>
  <c r="D240" i="3"/>
  <c r="D238" i="3"/>
  <c r="D236" i="3"/>
  <c r="D234" i="3"/>
  <c r="D235" i="3"/>
  <c r="D237" i="3"/>
  <c r="D233" i="3"/>
  <c r="D239" i="3"/>
  <c r="C256" i="3"/>
  <c r="D244" i="3"/>
  <c r="C280" i="5" l="1"/>
  <c r="D268" i="5"/>
  <c r="D267" i="5"/>
  <c r="D264" i="5"/>
  <c r="D261" i="5"/>
  <c r="D258" i="5"/>
  <c r="D265" i="5"/>
  <c r="D260" i="5"/>
  <c r="D259" i="5"/>
  <c r="D266" i="5"/>
  <c r="D257" i="5"/>
  <c r="D263" i="5"/>
  <c r="D262" i="5"/>
  <c r="C268" i="3"/>
  <c r="D256" i="3"/>
  <c r="D255" i="3"/>
  <c r="D253" i="3"/>
  <c r="D251" i="3"/>
  <c r="D249" i="3"/>
  <c r="D247" i="3"/>
  <c r="D245" i="3"/>
  <c r="D254" i="3"/>
  <c r="D246" i="3"/>
  <c r="D248" i="3"/>
  <c r="D250" i="3"/>
  <c r="D252" i="3"/>
  <c r="D280" i="5" l="1"/>
  <c r="C292" i="5"/>
  <c r="D279" i="5"/>
  <c r="D276" i="5"/>
  <c r="D273" i="5"/>
  <c r="D270" i="5"/>
  <c r="D277" i="5"/>
  <c r="D274" i="5"/>
  <c r="D271" i="5"/>
  <c r="D269" i="5"/>
  <c r="D272" i="5"/>
  <c r="D275" i="5"/>
  <c r="D278" i="5"/>
  <c r="D266" i="3"/>
  <c r="D262" i="3"/>
  <c r="D258" i="3"/>
  <c r="D267" i="3"/>
  <c r="D263" i="3"/>
  <c r="D259" i="3"/>
  <c r="D264" i="3"/>
  <c r="D260" i="3"/>
  <c r="D265" i="3"/>
  <c r="D257" i="3"/>
  <c r="D261" i="3"/>
  <c r="C280" i="3"/>
  <c r="D268" i="3"/>
  <c r="C304" i="5" l="1"/>
  <c r="D292" i="5"/>
  <c r="D286" i="5"/>
  <c r="D288" i="5"/>
  <c r="D284" i="5"/>
  <c r="D291" i="5"/>
  <c r="D287" i="5"/>
  <c r="D285" i="5"/>
  <c r="D281" i="5"/>
  <c r="D282" i="5"/>
  <c r="D290" i="5"/>
  <c r="D283" i="5"/>
  <c r="D289" i="5"/>
  <c r="C292" i="3"/>
  <c r="D280" i="3"/>
  <c r="D278" i="3"/>
  <c r="D276" i="3"/>
  <c r="D274" i="3"/>
  <c r="D272" i="3"/>
  <c r="D270" i="3"/>
  <c r="D279" i="3"/>
  <c r="D271" i="3"/>
  <c r="D273" i="3"/>
  <c r="D275" i="3"/>
  <c r="D269" i="3"/>
  <c r="D277" i="3"/>
  <c r="D301" i="5" l="1"/>
  <c r="D298" i="5"/>
  <c r="D295" i="5"/>
  <c r="D302" i="5"/>
  <c r="D293" i="5"/>
  <c r="D300" i="5"/>
  <c r="D299" i="5"/>
  <c r="D297" i="5"/>
  <c r="D303" i="5"/>
  <c r="D296" i="5"/>
  <c r="D294" i="5"/>
  <c r="D304" i="5"/>
  <c r="C316" i="5"/>
  <c r="D288" i="3"/>
  <c r="D284" i="3"/>
  <c r="D289" i="3"/>
  <c r="D285" i="3"/>
  <c r="D281" i="3"/>
  <c r="D290" i="3"/>
  <c r="D286" i="3"/>
  <c r="D282" i="3"/>
  <c r="D291" i="3"/>
  <c r="D287" i="3"/>
  <c r="D283" i="3"/>
  <c r="C304" i="3"/>
  <c r="D292" i="3"/>
  <c r="D314" i="5" l="1"/>
  <c r="D311" i="5"/>
  <c r="D308" i="5"/>
  <c r="D305" i="5"/>
  <c r="D309" i="5"/>
  <c r="D313" i="5"/>
  <c r="D306" i="5"/>
  <c r="D307" i="5"/>
  <c r="D312" i="5"/>
  <c r="D310" i="5"/>
  <c r="D315" i="5"/>
  <c r="C328" i="5"/>
  <c r="D316" i="5"/>
  <c r="C316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C340" i="5" l="1"/>
  <c r="D340" i="5" s="1"/>
  <c r="D328" i="5"/>
  <c r="D326" i="5"/>
  <c r="D323" i="5"/>
  <c r="D320" i="5"/>
  <c r="D317" i="5"/>
  <c r="D327" i="5"/>
  <c r="D324" i="5"/>
  <c r="D321" i="5"/>
  <c r="D318" i="5"/>
  <c r="D322" i="5"/>
  <c r="D319" i="5"/>
  <c r="D325" i="5"/>
  <c r="D312" i="3"/>
  <c r="D308" i="3"/>
  <c r="D313" i="3"/>
  <c r="D309" i="3"/>
  <c r="D305" i="3"/>
  <c r="D314" i="3"/>
  <c r="D310" i="3"/>
  <c r="D306" i="3"/>
  <c r="D315" i="3"/>
  <c r="D307" i="3"/>
  <c r="D311" i="3"/>
  <c r="D316" i="3"/>
  <c r="C328" i="3"/>
  <c r="D333" i="5" l="1"/>
  <c r="D336" i="5"/>
  <c r="D329" i="5"/>
  <c r="D337" i="5"/>
  <c r="D332" i="5"/>
  <c r="D331" i="5"/>
  <c r="D338" i="5"/>
  <c r="D339" i="5"/>
  <c r="D330" i="5"/>
  <c r="D335" i="5"/>
  <c r="D334" i="5"/>
  <c r="D352" i="5"/>
  <c r="D351" i="5"/>
  <c r="D348" i="5"/>
  <c r="D345" i="5"/>
  <c r="D342" i="5"/>
  <c r="D349" i="5"/>
  <c r="D344" i="5"/>
  <c r="D346" i="5"/>
  <c r="D341" i="5"/>
  <c r="D347" i="5"/>
  <c r="D343" i="5"/>
  <c r="D350" i="5"/>
  <c r="D326" i="3"/>
  <c r="D322" i="3"/>
  <c r="D318" i="3"/>
  <c r="D327" i="3"/>
  <c r="D323" i="3"/>
  <c r="D319" i="3"/>
  <c r="D325" i="3"/>
  <c r="D321" i="3"/>
  <c r="D317" i="3"/>
  <c r="D324" i="3"/>
  <c r="D320" i="3"/>
  <c r="C340" i="3"/>
  <c r="D340" i="3" s="1"/>
  <c r="D328" i="3"/>
  <c r="D364" i="5" l="1"/>
  <c r="D361" i="5"/>
  <c r="D358" i="5"/>
  <c r="D355" i="5"/>
  <c r="D357" i="5"/>
  <c r="D353" i="5"/>
  <c r="D363" i="5"/>
  <c r="C352" i="5"/>
  <c r="D362" i="5"/>
  <c r="D356" i="5"/>
  <c r="D354" i="5"/>
  <c r="D359" i="5"/>
  <c r="D360" i="5"/>
  <c r="D351" i="3"/>
  <c r="D350" i="3"/>
  <c r="D349" i="3"/>
  <c r="D348" i="3"/>
  <c r="D347" i="3"/>
  <c r="D346" i="3"/>
  <c r="D345" i="3"/>
  <c r="D344" i="3"/>
  <c r="D343" i="3"/>
  <c r="D342" i="3"/>
  <c r="D341" i="3"/>
  <c r="D352" i="3"/>
  <c r="D339" i="3"/>
  <c r="D335" i="3"/>
  <c r="D331" i="3"/>
  <c r="D336" i="3"/>
  <c r="D332" i="3"/>
  <c r="D337" i="3"/>
  <c r="D333" i="3"/>
  <c r="D329" i="3"/>
  <c r="D330" i="3"/>
  <c r="D338" i="3"/>
  <c r="D334" i="3"/>
  <c r="D373" i="5" l="1"/>
  <c r="D370" i="5"/>
  <c r="D367" i="5"/>
  <c r="C364" i="5"/>
  <c r="D374" i="5"/>
  <c r="D371" i="5"/>
  <c r="D368" i="5"/>
  <c r="D365" i="5"/>
  <c r="D369" i="5"/>
  <c r="D372" i="5"/>
  <c r="D375" i="5"/>
  <c r="D376" i="5"/>
  <c r="D366" i="5"/>
  <c r="C352" i="3"/>
  <c r="D363" i="3"/>
  <c r="D362" i="3"/>
  <c r="D361" i="3"/>
  <c r="D360" i="3"/>
  <c r="D359" i="3"/>
  <c r="D358" i="3"/>
  <c r="D357" i="3"/>
  <c r="D356" i="3"/>
  <c r="D355" i="3"/>
  <c r="D354" i="3"/>
  <c r="D353" i="3"/>
  <c r="D364" i="3"/>
  <c r="C376" i="5" l="1"/>
  <c r="D384" i="5"/>
  <c r="D380" i="5"/>
  <c r="D387" i="5"/>
  <c r="D385" i="5"/>
  <c r="D378" i="5"/>
  <c r="D382" i="5"/>
  <c r="D386" i="5"/>
  <c r="D377" i="5"/>
  <c r="D381" i="5"/>
  <c r="D379" i="5"/>
  <c r="D383" i="5"/>
  <c r="D373" i="3"/>
  <c r="D369" i="3"/>
  <c r="D365" i="3"/>
  <c r="C364" i="3"/>
  <c r="D374" i="3"/>
  <c r="D370" i="3"/>
  <c r="D366" i="3"/>
  <c r="D376" i="3"/>
  <c r="D375" i="3"/>
  <c r="D371" i="3"/>
  <c r="D367" i="3"/>
  <c r="D372" i="3"/>
  <c r="D368" i="3"/>
  <c r="D386" i="3" l="1"/>
  <c r="D382" i="3"/>
  <c r="D378" i="3"/>
  <c r="D387" i="3"/>
  <c r="D383" i="3"/>
  <c r="D379" i="3"/>
  <c r="D384" i="3"/>
  <c r="D380" i="3"/>
  <c r="D385" i="3"/>
  <c r="D377" i="3"/>
  <c r="D381" i="3"/>
  <c r="C376" i="3"/>
  <c r="BD189" i="2" l="1"/>
  <c r="C28" i="2"/>
  <c r="C40" i="2" s="1"/>
  <c r="D25" i="2"/>
  <c r="D24" i="2"/>
  <c r="D21" i="2"/>
  <c r="D20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D17" i="2"/>
  <c r="D16" i="2"/>
  <c r="D26" i="2" s="1"/>
  <c r="E9" i="2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C52" i="2" l="1"/>
  <c r="D40" i="2"/>
  <c r="D19" i="2"/>
  <c r="D23" i="2"/>
  <c r="D27" i="2"/>
  <c r="D28" i="2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D18" i="2"/>
  <c r="D22" i="2"/>
  <c r="D39" i="2" l="1"/>
  <c r="D35" i="2"/>
  <c r="D31" i="2"/>
  <c r="D36" i="2"/>
  <c r="D32" i="2"/>
  <c r="D34" i="2"/>
  <c r="D33" i="2"/>
  <c r="D38" i="2"/>
  <c r="D30" i="2"/>
  <c r="D37" i="2"/>
  <c r="D29" i="2"/>
  <c r="D48" i="2"/>
  <c r="D44" i="2"/>
  <c r="D49" i="2"/>
  <c r="D45" i="2"/>
  <c r="D41" i="2"/>
  <c r="D50" i="2"/>
  <c r="D46" i="2"/>
  <c r="D42" i="2"/>
  <c r="D51" i="2"/>
  <c r="D47" i="2"/>
  <c r="D43" i="2"/>
  <c r="C64" i="2"/>
  <c r="D52" i="2"/>
  <c r="D61" i="2" l="1"/>
  <c r="D57" i="2"/>
  <c r="D53" i="2"/>
  <c r="D62" i="2"/>
  <c r="D58" i="2"/>
  <c r="D54" i="2"/>
  <c r="D63" i="2"/>
  <c r="D59" i="2"/>
  <c r="D55" i="2"/>
  <c r="D60" i="2"/>
  <c r="D56" i="2"/>
  <c r="C76" i="2"/>
  <c r="D64" i="2"/>
  <c r="C88" i="2" l="1"/>
  <c r="D76" i="2"/>
  <c r="D74" i="2"/>
  <c r="D70" i="2"/>
  <c r="D66" i="2"/>
  <c r="D75" i="2"/>
  <c r="D71" i="2"/>
  <c r="D67" i="2"/>
  <c r="D72" i="2"/>
  <c r="D68" i="2"/>
  <c r="D73" i="2"/>
  <c r="D69" i="2"/>
  <c r="D65" i="2"/>
  <c r="D87" i="2" l="1"/>
  <c r="D83" i="2"/>
  <c r="D79" i="2"/>
  <c r="D84" i="2"/>
  <c r="D80" i="2"/>
  <c r="D85" i="2"/>
  <c r="D81" i="2"/>
  <c r="D77" i="2"/>
  <c r="D86" i="2"/>
  <c r="D82" i="2"/>
  <c r="D78" i="2"/>
  <c r="C100" i="2"/>
  <c r="D88" i="2"/>
  <c r="C112" i="2" l="1"/>
  <c r="D100" i="2"/>
  <c r="D96" i="2"/>
  <c r="D92" i="2"/>
  <c r="D97" i="2"/>
  <c r="D93" i="2"/>
  <c r="D89" i="2"/>
  <c r="D98" i="2"/>
  <c r="D94" i="2"/>
  <c r="D90" i="2"/>
  <c r="D99" i="2"/>
  <c r="D95" i="2"/>
  <c r="D91" i="2"/>
  <c r="D108" i="2" l="1"/>
  <c r="D109" i="2"/>
  <c r="D111" i="2"/>
  <c r="D105" i="2"/>
  <c r="D101" i="2"/>
  <c r="D110" i="2"/>
  <c r="D106" i="2"/>
  <c r="D102" i="2"/>
  <c r="D103" i="2"/>
  <c r="D107" i="2"/>
  <c r="D104" i="2"/>
  <c r="C124" i="2"/>
  <c r="D112" i="2"/>
  <c r="C136" i="2" l="1"/>
  <c r="D124" i="2"/>
  <c r="D121" i="2"/>
  <c r="D117" i="2"/>
  <c r="D113" i="2"/>
  <c r="D122" i="2"/>
  <c r="D118" i="2"/>
  <c r="D114" i="2"/>
  <c r="D116" i="2"/>
  <c r="D123" i="2"/>
  <c r="D115" i="2"/>
  <c r="D120" i="2"/>
  <c r="D119" i="2"/>
  <c r="D134" i="2" l="1"/>
  <c r="D130" i="2"/>
  <c r="D126" i="2"/>
  <c r="D135" i="2"/>
  <c r="D131" i="2"/>
  <c r="D127" i="2"/>
  <c r="D129" i="2"/>
  <c r="D128" i="2"/>
  <c r="D133" i="2"/>
  <c r="D125" i="2"/>
  <c r="D132" i="2"/>
  <c r="C148" i="2"/>
  <c r="D136" i="2"/>
  <c r="C160" i="2" l="1"/>
  <c r="D148" i="2"/>
  <c r="D147" i="2"/>
  <c r="D143" i="2"/>
  <c r="D139" i="2"/>
  <c r="D144" i="2"/>
  <c r="D140" i="2"/>
  <c r="D142" i="2"/>
  <c r="D141" i="2"/>
  <c r="D146" i="2"/>
  <c r="D138" i="2"/>
  <c r="D145" i="2"/>
  <c r="D137" i="2"/>
  <c r="D156" i="2" l="1"/>
  <c r="D152" i="2"/>
  <c r="D157" i="2"/>
  <c r="D153" i="2"/>
  <c r="D149" i="2"/>
  <c r="D158" i="2"/>
  <c r="D154" i="2"/>
  <c r="D150" i="2"/>
  <c r="D155" i="2"/>
  <c r="D159" i="2"/>
  <c r="D151" i="2"/>
  <c r="D160" i="2"/>
  <c r="C172" i="2"/>
  <c r="D169" i="2" l="1"/>
  <c r="D165" i="2"/>
  <c r="D161" i="2"/>
  <c r="D170" i="2"/>
  <c r="D166" i="2"/>
  <c r="D162" i="2"/>
  <c r="D171" i="2"/>
  <c r="D167" i="2"/>
  <c r="D163" i="2"/>
  <c r="D164" i="2"/>
  <c r="D168" i="2"/>
  <c r="C184" i="2"/>
  <c r="D172" i="2"/>
  <c r="C196" i="2" l="1"/>
  <c r="D184" i="2"/>
  <c r="D182" i="2"/>
  <c r="D178" i="2"/>
  <c r="D174" i="2"/>
  <c r="D183" i="2"/>
  <c r="D179" i="2"/>
  <c r="D175" i="2"/>
  <c r="D180" i="2"/>
  <c r="D176" i="2"/>
  <c r="D181" i="2"/>
  <c r="D173" i="2"/>
  <c r="D177" i="2"/>
  <c r="D192" i="2" l="1"/>
  <c r="D187" i="2"/>
  <c r="D193" i="2"/>
  <c r="D188" i="2"/>
  <c r="D194" i="2"/>
  <c r="D190" i="2"/>
  <c r="D189" i="2"/>
  <c r="D185" i="2"/>
  <c r="D191" i="2"/>
  <c r="D186" i="2"/>
  <c r="D195" i="2"/>
  <c r="D196" i="2"/>
  <c r="C208" i="2"/>
  <c r="D205" i="2" l="1"/>
  <c r="D201" i="2"/>
  <c r="D197" i="2"/>
  <c r="D206" i="2"/>
  <c r="D202" i="2"/>
  <c r="D198" i="2"/>
  <c r="D207" i="2"/>
  <c r="D203" i="2"/>
  <c r="D199" i="2"/>
  <c r="D200" i="2"/>
  <c r="D204" i="2"/>
  <c r="C220" i="2"/>
  <c r="D208" i="2"/>
  <c r="C232" i="2" l="1"/>
  <c r="D220" i="2"/>
  <c r="D218" i="2"/>
  <c r="D214" i="2"/>
  <c r="D210" i="2"/>
  <c r="D219" i="2"/>
  <c r="D215" i="2"/>
  <c r="D211" i="2"/>
  <c r="D216" i="2"/>
  <c r="D212" i="2"/>
  <c r="D217" i="2"/>
  <c r="D209" i="2"/>
  <c r="D213" i="2"/>
  <c r="D228" i="2" l="1"/>
  <c r="D224" i="2"/>
  <c r="D226" i="2"/>
  <c r="D231" i="2"/>
  <c r="D229" i="2"/>
  <c r="D222" i="2"/>
  <c r="D227" i="2"/>
  <c r="D225" i="2"/>
  <c r="D230" i="2"/>
  <c r="D223" i="2"/>
  <c r="D221" i="2"/>
  <c r="C244" i="2"/>
  <c r="D232" i="2"/>
  <c r="C256" i="2" l="1"/>
  <c r="D244" i="2"/>
  <c r="D241" i="2"/>
  <c r="D237" i="2"/>
  <c r="D233" i="2"/>
  <c r="D242" i="2"/>
  <c r="D238" i="2"/>
  <c r="D243" i="2"/>
  <c r="D240" i="2"/>
  <c r="D239" i="2"/>
  <c r="D234" i="2"/>
  <c r="D236" i="2"/>
  <c r="D235" i="2"/>
  <c r="D254" i="2" l="1"/>
  <c r="D250" i="2"/>
  <c r="D246" i="2"/>
  <c r="D255" i="2"/>
  <c r="D251" i="2"/>
  <c r="D247" i="2"/>
  <c r="D252" i="2"/>
  <c r="D248" i="2"/>
  <c r="D245" i="2"/>
  <c r="D249" i="2"/>
  <c r="D253" i="2"/>
  <c r="C268" i="2"/>
  <c r="D256" i="2"/>
  <c r="C280" i="2" l="1"/>
  <c r="D268" i="2"/>
  <c r="D267" i="2"/>
  <c r="D263" i="2"/>
  <c r="D259" i="2"/>
  <c r="D264" i="2"/>
  <c r="D260" i="2"/>
  <c r="D265" i="2"/>
  <c r="D261" i="2"/>
  <c r="D257" i="2"/>
  <c r="D266" i="2"/>
  <c r="D258" i="2"/>
  <c r="D262" i="2"/>
  <c r="D279" i="2" l="1"/>
  <c r="D276" i="2"/>
  <c r="D272" i="2"/>
  <c r="D277" i="2"/>
  <c r="D273" i="2"/>
  <c r="D269" i="2"/>
  <c r="D278" i="2"/>
  <c r="D274" i="2"/>
  <c r="D270" i="2"/>
  <c r="D271" i="2"/>
  <c r="D275" i="2"/>
  <c r="D280" i="2"/>
  <c r="C292" i="2"/>
  <c r="D289" i="2" l="1"/>
  <c r="D285" i="2"/>
  <c r="D281" i="2"/>
  <c r="D291" i="2"/>
  <c r="D284" i="2"/>
  <c r="D282" i="2"/>
  <c r="D287" i="2"/>
  <c r="D290" i="2"/>
  <c r="D283" i="2"/>
  <c r="D288" i="2"/>
  <c r="D286" i="2"/>
  <c r="D292" i="2"/>
  <c r="C304" i="2"/>
  <c r="D302" i="2" l="1"/>
  <c r="D298" i="2"/>
  <c r="D294" i="2"/>
  <c r="D303" i="2"/>
  <c r="D296" i="2"/>
  <c r="D301" i="2"/>
  <c r="D299" i="2"/>
  <c r="D297" i="2"/>
  <c r="D295" i="2"/>
  <c r="D300" i="2"/>
  <c r="D293" i="2"/>
  <c r="D304" i="2"/>
  <c r="C316" i="2"/>
  <c r="D315" i="2" l="1"/>
  <c r="D311" i="2"/>
  <c r="D307" i="2"/>
  <c r="D310" i="2"/>
  <c r="D308" i="2"/>
  <c r="D313" i="2"/>
  <c r="D306" i="2"/>
  <c r="D309" i="2"/>
  <c r="D314" i="2"/>
  <c r="D312" i="2"/>
  <c r="D305" i="2"/>
  <c r="C328" i="2"/>
  <c r="D316" i="2"/>
  <c r="C340" i="2" l="1"/>
  <c r="D340" i="2" s="1"/>
  <c r="D328" i="2"/>
  <c r="D324" i="2"/>
  <c r="D320" i="2"/>
  <c r="D322" i="2"/>
  <c r="D327" i="2"/>
  <c r="D325" i="2"/>
  <c r="D318" i="2"/>
  <c r="D323" i="2"/>
  <c r="D321" i="2"/>
  <c r="D317" i="2"/>
  <c r="D326" i="2"/>
  <c r="D319" i="2"/>
  <c r="D337" i="2" l="1"/>
  <c r="D333" i="2"/>
  <c r="D329" i="2"/>
  <c r="D339" i="2"/>
  <c r="D335" i="2"/>
  <c r="D331" i="2"/>
  <c r="D338" i="2"/>
  <c r="D330" i="2"/>
  <c r="D332" i="2"/>
  <c r="D334" i="2"/>
  <c r="D336" i="2"/>
  <c r="D350" i="2"/>
  <c r="D346" i="2"/>
  <c r="D342" i="2"/>
  <c r="D348" i="2"/>
  <c r="D344" i="2"/>
  <c r="D351" i="2"/>
  <c r="D343" i="2"/>
  <c r="D345" i="2"/>
  <c r="D352" i="2"/>
  <c r="D347" i="2"/>
  <c r="D341" i="2"/>
  <c r="D349" i="2"/>
  <c r="D364" i="2" l="1"/>
  <c r="D363" i="2"/>
  <c r="D359" i="2"/>
  <c r="D355" i="2"/>
  <c r="D361" i="2"/>
  <c r="D357" i="2"/>
  <c r="D353" i="2"/>
  <c r="C352" i="2"/>
  <c r="D356" i="2"/>
  <c r="D358" i="2"/>
  <c r="D360" i="2"/>
  <c r="D354" i="2"/>
  <c r="D362" i="2"/>
  <c r="D372" i="2" l="1"/>
  <c r="D368" i="2"/>
  <c r="D374" i="2"/>
  <c r="D370" i="2"/>
  <c r="D366" i="2"/>
  <c r="D369" i="2"/>
  <c r="C364" i="2"/>
  <c r="D376" i="2"/>
  <c r="D371" i="2"/>
  <c r="D373" i="2"/>
  <c r="D365" i="2"/>
  <c r="D375" i="2"/>
  <c r="D367" i="2"/>
  <c r="D385" i="2" l="1"/>
  <c r="D381" i="2"/>
  <c r="D377" i="2"/>
  <c r="C376" i="2"/>
  <c r="D387" i="2"/>
  <c r="D383" i="2"/>
  <c r="D379" i="2"/>
  <c r="D382" i="2"/>
  <c r="D384" i="2"/>
  <c r="D386" i="2"/>
  <c r="D378" i="2"/>
  <c r="D380" i="2"/>
  <c r="C28" i="1" l="1"/>
  <c r="C40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D16" i="1"/>
  <c r="D26" i="1" s="1"/>
  <c r="F9" i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E9" i="1"/>
  <c r="C52" i="1" l="1"/>
  <c r="D40" i="1"/>
  <c r="D18" i="1"/>
  <c r="D17" i="1"/>
  <c r="D21" i="1"/>
  <c r="D25" i="1"/>
  <c r="D28" i="1"/>
  <c r="F16" i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D22" i="1"/>
  <c r="D20" i="1"/>
  <c r="D24" i="1"/>
  <c r="D27" i="1"/>
  <c r="D19" i="1"/>
  <c r="D23" i="1"/>
  <c r="D39" i="1" l="1"/>
  <c r="D35" i="1"/>
  <c r="D31" i="1"/>
  <c r="D38" i="1"/>
  <c r="D36" i="1"/>
  <c r="D29" i="1"/>
  <c r="D34" i="1"/>
  <c r="D32" i="1"/>
  <c r="D33" i="1"/>
  <c r="D37" i="1"/>
  <c r="D30" i="1"/>
  <c r="D48" i="1"/>
  <c r="D44" i="1"/>
  <c r="D50" i="1"/>
  <c r="D43" i="1"/>
  <c r="D41" i="1"/>
  <c r="D46" i="1"/>
  <c r="D47" i="1"/>
  <c r="D51" i="1"/>
  <c r="D49" i="1"/>
  <c r="D42" i="1"/>
  <c r="D45" i="1"/>
  <c r="C64" i="1"/>
  <c r="D52" i="1"/>
  <c r="D61" i="1" l="1"/>
  <c r="D57" i="1"/>
  <c r="D53" i="1"/>
  <c r="D62" i="1"/>
  <c r="D55" i="1"/>
  <c r="D60" i="1"/>
  <c r="D58" i="1"/>
  <c r="D63" i="1"/>
  <c r="D56" i="1"/>
  <c r="D54" i="1"/>
  <c r="D59" i="1"/>
  <c r="C76" i="1"/>
  <c r="D64" i="1"/>
  <c r="C88" i="1" l="1"/>
  <c r="D76" i="1"/>
  <c r="D74" i="1"/>
  <c r="D70" i="1"/>
  <c r="D66" i="1"/>
  <c r="D69" i="1"/>
  <c r="D67" i="1"/>
  <c r="D72" i="1"/>
  <c r="D65" i="1"/>
  <c r="D73" i="1"/>
  <c r="D75" i="1"/>
  <c r="D68" i="1"/>
  <c r="D71" i="1"/>
  <c r="D87" i="1" l="1"/>
  <c r="D83" i="1"/>
  <c r="D79" i="1"/>
  <c r="D81" i="1"/>
  <c r="D86" i="1"/>
  <c r="D84" i="1"/>
  <c r="D77" i="1"/>
  <c r="D82" i="1"/>
  <c r="D80" i="1"/>
  <c r="D85" i="1"/>
  <c r="D78" i="1"/>
  <c r="C100" i="1"/>
  <c r="D88" i="1"/>
  <c r="D100" i="1" l="1"/>
  <c r="C112" i="1"/>
  <c r="D96" i="1"/>
  <c r="D92" i="1"/>
  <c r="D95" i="1"/>
  <c r="D93" i="1"/>
  <c r="D98" i="1"/>
  <c r="D91" i="1"/>
  <c r="D89" i="1"/>
  <c r="D94" i="1"/>
  <c r="D99" i="1"/>
  <c r="D97" i="1"/>
  <c r="D90" i="1"/>
  <c r="C124" i="1" l="1"/>
  <c r="D112" i="1"/>
  <c r="D111" i="1"/>
  <c r="D109" i="1"/>
  <c r="D105" i="1"/>
  <c r="D101" i="1"/>
  <c r="D107" i="1"/>
  <c r="D103" i="1"/>
  <c r="D104" i="1"/>
  <c r="D110" i="1"/>
  <c r="D108" i="1"/>
  <c r="D106" i="1"/>
  <c r="D102" i="1"/>
  <c r="D120" i="1" l="1"/>
  <c r="D116" i="1"/>
  <c r="D122" i="1"/>
  <c r="D118" i="1"/>
  <c r="D114" i="1"/>
  <c r="D119" i="1"/>
  <c r="D121" i="1"/>
  <c r="D113" i="1"/>
  <c r="D123" i="1"/>
  <c r="D115" i="1"/>
  <c r="D117" i="1"/>
  <c r="D124" i="1"/>
  <c r="C136" i="1"/>
  <c r="D133" i="1" l="1"/>
  <c r="D129" i="1"/>
  <c r="D125" i="1"/>
  <c r="D134" i="1"/>
  <c r="D130" i="1"/>
  <c r="D126" i="1"/>
  <c r="D135" i="1"/>
  <c r="D131" i="1"/>
  <c r="D127" i="1"/>
  <c r="D128" i="1"/>
  <c r="D132" i="1"/>
  <c r="C148" i="1"/>
  <c r="D136" i="1"/>
  <c r="C160" i="1" l="1"/>
  <c r="D148" i="1"/>
  <c r="D146" i="1"/>
  <c r="D142" i="1"/>
  <c r="D138" i="1"/>
  <c r="D147" i="1"/>
  <c r="D143" i="1"/>
  <c r="D139" i="1"/>
  <c r="D144" i="1"/>
  <c r="D140" i="1"/>
  <c r="D145" i="1"/>
  <c r="D137" i="1"/>
  <c r="D141" i="1"/>
  <c r="D159" i="1" l="1"/>
  <c r="D155" i="1"/>
  <c r="D151" i="1"/>
  <c r="D156" i="1"/>
  <c r="D152" i="1"/>
  <c r="D157" i="1"/>
  <c r="D153" i="1"/>
  <c r="D149" i="1"/>
  <c r="D150" i="1"/>
  <c r="D154" i="1"/>
  <c r="D158" i="1"/>
  <c r="C172" i="1"/>
  <c r="D160" i="1"/>
  <c r="C184" i="1" l="1"/>
  <c r="D172" i="1"/>
  <c r="D168" i="1"/>
  <c r="D164" i="1"/>
  <c r="D169" i="1"/>
  <c r="D165" i="1"/>
  <c r="D161" i="1"/>
  <c r="D170" i="1"/>
  <c r="D166" i="1"/>
  <c r="D162" i="1"/>
  <c r="D171" i="1"/>
  <c r="D163" i="1"/>
  <c r="D167" i="1"/>
  <c r="D181" i="1" l="1"/>
  <c r="D177" i="1"/>
  <c r="D173" i="1"/>
  <c r="D182" i="1"/>
  <c r="D178" i="1"/>
  <c r="D174" i="1"/>
  <c r="D183" i="1"/>
  <c r="D179" i="1"/>
  <c r="D175" i="1"/>
  <c r="D176" i="1"/>
  <c r="D180" i="1"/>
  <c r="C196" i="1"/>
  <c r="D184" i="1"/>
  <c r="C208" i="1" l="1"/>
  <c r="D196" i="1"/>
  <c r="D194" i="1"/>
  <c r="D190" i="1"/>
  <c r="D186" i="1"/>
  <c r="D189" i="1"/>
  <c r="D187" i="1"/>
  <c r="D192" i="1"/>
  <c r="D185" i="1"/>
  <c r="D195" i="1"/>
  <c r="D188" i="1"/>
  <c r="D193" i="1"/>
  <c r="D191" i="1"/>
  <c r="D207" i="1" l="1"/>
  <c r="D203" i="1"/>
  <c r="D199" i="1"/>
  <c r="D201" i="1"/>
  <c r="D206" i="1"/>
  <c r="D204" i="1"/>
  <c r="D197" i="1"/>
  <c r="D202" i="1"/>
  <c r="D200" i="1"/>
  <c r="D205" i="1"/>
  <c r="D198" i="1"/>
  <c r="C220" i="1"/>
  <c r="D208" i="1"/>
  <c r="C232" i="1" l="1"/>
  <c r="D220" i="1"/>
  <c r="D216" i="1"/>
  <c r="D212" i="1"/>
  <c r="D218" i="1"/>
  <c r="D214" i="1"/>
  <c r="D219" i="1"/>
  <c r="D213" i="1"/>
  <c r="D211" i="1"/>
  <c r="D209" i="1"/>
  <c r="D215" i="1"/>
  <c r="D217" i="1"/>
  <c r="D210" i="1"/>
  <c r="D229" i="1" l="1"/>
  <c r="D225" i="1"/>
  <c r="D221" i="1"/>
  <c r="D230" i="1"/>
  <c r="D226" i="1"/>
  <c r="D222" i="1"/>
  <c r="D231" i="1"/>
  <c r="D227" i="1"/>
  <c r="D223" i="1"/>
  <c r="D228" i="1"/>
  <c r="D224" i="1"/>
  <c r="C244" i="1"/>
  <c r="D232" i="1"/>
  <c r="C256" i="1" l="1"/>
  <c r="D244" i="1"/>
  <c r="D242" i="1"/>
  <c r="D238" i="1"/>
  <c r="D234" i="1"/>
  <c r="D243" i="1"/>
  <c r="D239" i="1"/>
  <c r="D235" i="1"/>
  <c r="D240" i="1"/>
  <c r="D236" i="1"/>
  <c r="D233" i="1"/>
  <c r="D237" i="1"/>
  <c r="D241" i="1"/>
  <c r="D255" i="1" l="1"/>
  <c r="D251" i="1"/>
  <c r="D247" i="1"/>
  <c r="D252" i="1"/>
  <c r="D248" i="1"/>
  <c r="D253" i="1"/>
  <c r="D249" i="1"/>
  <c r="D245" i="1"/>
  <c r="D254" i="1"/>
  <c r="D246" i="1"/>
  <c r="D250" i="1"/>
  <c r="C268" i="1"/>
  <c r="D256" i="1"/>
  <c r="C280" i="1" l="1"/>
  <c r="D268" i="1"/>
  <c r="D264" i="1"/>
  <c r="D260" i="1"/>
  <c r="D265" i="1"/>
  <c r="D261" i="1"/>
  <c r="D257" i="1"/>
  <c r="D266" i="1"/>
  <c r="D262" i="1"/>
  <c r="D258" i="1"/>
  <c r="D259" i="1"/>
  <c r="D263" i="1"/>
  <c r="D267" i="1"/>
  <c r="D277" i="1" l="1"/>
  <c r="D273" i="1"/>
  <c r="D269" i="1"/>
  <c r="D278" i="1"/>
  <c r="D274" i="1"/>
  <c r="D270" i="1"/>
  <c r="D275" i="1"/>
  <c r="D271" i="1"/>
  <c r="D279" i="1"/>
  <c r="D272" i="1"/>
  <c r="D276" i="1"/>
  <c r="D280" i="1"/>
  <c r="C292" i="1"/>
  <c r="D289" i="1" l="1"/>
  <c r="D285" i="1"/>
  <c r="D281" i="1"/>
  <c r="D287" i="1"/>
  <c r="D290" i="1"/>
  <c r="D283" i="1"/>
  <c r="D288" i="1"/>
  <c r="D286" i="1"/>
  <c r="D291" i="1"/>
  <c r="D284" i="1"/>
  <c r="D282" i="1"/>
  <c r="D292" i="1"/>
  <c r="C304" i="1"/>
  <c r="D302" i="1" l="1"/>
  <c r="D298" i="1"/>
  <c r="D294" i="1"/>
  <c r="D301" i="1"/>
  <c r="D299" i="1"/>
  <c r="D297" i="1"/>
  <c r="D295" i="1"/>
  <c r="D300" i="1"/>
  <c r="D293" i="1"/>
  <c r="D303" i="1"/>
  <c r="D296" i="1"/>
  <c r="C316" i="1"/>
  <c r="D304" i="1"/>
  <c r="C328" i="1" l="1"/>
  <c r="D316" i="1"/>
  <c r="D315" i="1"/>
  <c r="D311" i="1"/>
  <c r="D307" i="1"/>
  <c r="D312" i="1"/>
  <c r="D308" i="1"/>
  <c r="D310" i="1"/>
  <c r="D309" i="1"/>
  <c r="D314" i="1"/>
  <c r="D306" i="1"/>
  <c r="D305" i="1"/>
  <c r="D313" i="1"/>
  <c r="D324" i="1" l="1"/>
  <c r="D320" i="1"/>
  <c r="D325" i="1"/>
  <c r="D321" i="1"/>
  <c r="D317" i="1"/>
  <c r="D326" i="1"/>
  <c r="D322" i="1"/>
  <c r="D323" i="1"/>
  <c r="D327" i="1"/>
  <c r="D319" i="1"/>
  <c r="D318" i="1"/>
  <c r="C340" i="1"/>
  <c r="D340" i="1" s="1"/>
  <c r="D328" i="1"/>
  <c r="D350" i="1" l="1"/>
  <c r="D346" i="1"/>
  <c r="D342" i="1"/>
  <c r="D352" i="1"/>
  <c r="D351" i="1"/>
  <c r="D347" i="1"/>
  <c r="D343" i="1"/>
  <c r="D348" i="1"/>
  <c r="D344" i="1"/>
  <c r="D345" i="1"/>
  <c r="D349" i="1"/>
  <c r="D341" i="1"/>
  <c r="D337" i="1"/>
  <c r="D333" i="1"/>
  <c r="D329" i="1"/>
  <c r="D338" i="1"/>
  <c r="D334" i="1"/>
  <c r="D330" i="1"/>
  <c r="D339" i="1"/>
  <c r="D335" i="1"/>
  <c r="D331" i="1"/>
  <c r="D332" i="1"/>
  <c r="D336" i="1"/>
  <c r="D364" i="1" l="1"/>
  <c r="D363" i="1"/>
  <c r="D359" i="1"/>
  <c r="D355" i="1"/>
  <c r="D360" i="1"/>
  <c r="D356" i="1"/>
  <c r="D361" i="1"/>
  <c r="D357" i="1"/>
  <c r="D353" i="1"/>
  <c r="C352" i="1"/>
  <c r="D354" i="1"/>
  <c r="D358" i="1"/>
  <c r="D362" i="1"/>
  <c r="D372" i="1" l="1"/>
  <c r="D368" i="1"/>
  <c r="D373" i="1"/>
  <c r="D369" i="1"/>
  <c r="D365" i="1"/>
  <c r="C364" i="1"/>
  <c r="D374" i="1"/>
  <c r="D370" i="1"/>
  <c r="D366" i="1"/>
  <c r="D376" i="1"/>
  <c r="D371" i="1"/>
  <c r="D375" i="1"/>
  <c r="D367" i="1"/>
  <c r="D385" i="1" l="1"/>
  <c r="D381" i="1"/>
  <c r="D377" i="1"/>
  <c r="C376" i="1"/>
  <c r="D386" i="1"/>
  <c r="D382" i="1"/>
  <c r="D378" i="1"/>
  <c r="D387" i="1"/>
  <c r="D383" i="1"/>
  <c r="D379" i="1"/>
  <c r="D380" i="1"/>
  <c r="D384" i="1"/>
</calcChain>
</file>

<file path=xl/sharedStrings.xml><?xml version="1.0" encoding="utf-8"?>
<sst xmlns="http://schemas.openxmlformats.org/spreadsheetml/2006/main" count="608" uniqueCount="51">
  <si>
    <t>DATE</t>
  </si>
  <si>
    <t>Leach Feed</t>
  </si>
  <si>
    <t>Final Tail</t>
  </si>
  <si>
    <t xml:space="preserve"> </t>
  </si>
  <si>
    <t>Actual</t>
  </si>
  <si>
    <t>Ton</t>
  </si>
  <si>
    <t>Feed Grade</t>
  </si>
  <si>
    <t>Solution</t>
  </si>
  <si>
    <t>Solid</t>
  </si>
  <si>
    <t>Dry</t>
  </si>
  <si>
    <t>Au</t>
  </si>
  <si>
    <t>Ag</t>
  </si>
  <si>
    <t>Cu</t>
  </si>
  <si>
    <t>dtp</t>
  </si>
  <si>
    <t>ppm</t>
  </si>
  <si>
    <t>dton</t>
  </si>
  <si>
    <r>
      <t>m</t>
    </r>
    <r>
      <rPr>
        <b/>
        <vertAlign val="superscript"/>
        <sz val="11"/>
        <color theme="0"/>
        <rFont val="Aptos Display"/>
        <family val="2"/>
      </rPr>
      <t>3</t>
    </r>
  </si>
  <si>
    <r>
      <rPr>
        <b/>
        <sz val="35"/>
        <color theme="1"/>
        <rFont val="Aptos Display"/>
        <family val="2"/>
      </rPr>
      <t xml:space="preserve"> PT SUMBAWA JUTA RAYA</t>
    </r>
    <r>
      <rPr>
        <b/>
        <sz val="36"/>
        <color theme="1"/>
        <rFont val="Aptos Display"/>
        <family val="2"/>
      </rPr>
      <t xml:space="preserve">
</t>
    </r>
    <r>
      <rPr>
        <b/>
        <sz val="20"/>
        <color theme="1"/>
        <rFont val="Aptos Display"/>
        <family val="2"/>
      </rPr>
      <t xml:space="preserve">  Processing and Metallurgical Department</t>
    </r>
    <r>
      <rPr>
        <b/>
        <sz val="24"/>
        <color theme="1"/>
        <rFont val="Aptos Display"/>
        <family val="2"/>
      </rPr>
      <t xml:space="preserve">
</t>
    </r>
    <r>
      <rPr>
        <b/>
        <sz val="16"/>
        <color rgb="FF0000CC"/>
        <rFont val="Aptos Display"/>
        <family val="2"/>
      </rPr>
      <t xml:space="preserve">  CARBON IN LEACH</t>
    </r>
  </si>
  <si>
    <t>Pre-Leach UF</t>
  </si>
  <si>
    <t>Leaching Tank 01</t>
  </si>
  <si>
    <t>Leaching Tank 02</t>
  </si>
  <si>
    <t>CIL 01</t>
  </si>
  <si>
    <t>CIL 02</t>
  </si>
  <si>
    <t>CIL 03</t>
  </si>
  <si>
    <t>CIL 04</t>
  </si>
  <si>
    <t>CIL 05</t>
  </si>
  <si>
    <t>CIL 06</t>
  </si>
  <si>
    <t>Tailing</t>
  </si>
  <si>
    <t>Oxygen</t>
  </si>
  <si>
    <t>Density</t>
  </si>
  <si>
    <t>pH</t>
  </si>
  <si>
    <t>CN</t>
  </si>
  <si>
    <t>DO</t>
  </si>
  <si>
    <t>Carbon</t>
  </si>
  <si>
    <t>Carbon Conc</t>
  </si>
  <si>
    <t>Purity</t>
  </si>
  <si>
    <t>Flow</t>
  </si>
  <si>
    <t>%w/w</t>
  </si>
  <si>
    <t>-</t>
  </si>
  <si>
    <t>gpl</t>
  </si>
  <si>
    <t>10..5</t>
  </si>
  <si>
    <t>6..5</t>
  </si>
  <si>
    <t>7.1.</t>
  </si>
  <si>
    <t>14,8</t>
  </si>
  <si>
    <t>`10.9</t>
  </si>
  <si>
    <t>`14.42</t>
  </si>
  <si>
    <t> </t>
  </si>
  <si>
    <t>6.6.</t>
  </si>
  <si>
    <t>5..9</t>
  </si>
  <si>
    <t>8,75</t>
  </si>
  <si>
    <t>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</si>
</sst>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dd\-mmm\ h:mm"/>
    <numFmt numFmtId="166" formatCode="0.000"/>
    <numFmt numFmtId="167" formatCode="[$-409]d/mmm;@"/>
    <numFmt numFmtId="168" formatCode="[$-3809]dd\ mmm\ 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b/>
      <sz val="24"/>
      <color theme="1"/>
      <name val="Aptos Display"/>
      <family val="2"/>
    </font>
    <font>
      <b/>
      <sz val="35"/>
      <color theme="1"/>
      <name val="Aptos Display"/>
      <family val="2"/>
    </font>
    <font>
      <b/>
      <sz val="36"/>
      <color theme="1"/>
      <name val="Aptos Display"/>
      <family val="2"/>
    </font>
    <font>
      <b/>
      <sz val="20"/>
      <color theme="1"/>
      <name val="Aptos Display"/>
      <family val="2"/>
    </font>
    <font>
      <b/>
      <sz val="16"/>
      <color rgb="FF0000CC"/>
      <name val="Aptos Display"/>
      <family val="2"/>
    </font>
    <font>
      <b/>
      <sz val="11"/>
      <color theme="1"/>
      <name val="Aptos Display"/>
      <family val="2"/>
    </font>
    <font>
      <b/>
      <sz val="11"/>
      <color theme="0"/>
      <name val="Aptos Display"/>
      <family val="2"/>
    </font>
    <font>
      <sz val="10"/>
      <color theme="1"/>
      <name val="Aptos Display"/>
      <family val="2"/>
    </font>
    <font>
      <b/>
      <sz val="11"/>
      <color rgb="FFFFFFFF"/>
      <name val="Aptos Display"/>
      <family val="2"/>
    </font>
    <font>
      <sz val="10"/>
      <name val="Arial"/>
      <family val="2"/>
    </font>
    <font>
      <sz val="10"/>
      <name val="MS Sans Serif"/>
    </font>
    <font>
      <b/>
      <vertAlign val="superscript"/>
      <sz val="11"/>
      <color theme="0"/>
      <name val="Aptos Display"/>
      <family val="2"/>
    </font>
    <font>
      <sz val="11"/>
      <name val="Calibri"/>
      <family val="2"/>
    </font>
    <font>
      <b/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</fills>
  <borders count="89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rgb="FF00206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rgb="FF002060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rgb="FF002060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rgb="FF00206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rgb="FF002060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 style="thin">
        <color theme="0" tint="-0.49998474074526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rgb="FF00206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rgb="FF00206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00206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rgb="FF002060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rgb="FF002060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rgb="FF002060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/>
      <diagonal/>
    </border>
    <border>
      <left style="thin">
        <color auto="1"/>
      </left>
      <right style="thin">
        <color rgb="FFFFFFFF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</borders>
  <cellStyleXfs count="5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3" fillId="0" borderId="0"/>
    <xf numFmtId="0" fontId="12" fillId="0" borderId="0"/>
    <xf numFmtId="0" fontId="15" fillId="0" borderId="0">
      <alignment vertical="center"/>
    </xf>
    <xf numFmtId="0" fontId="1" fillId="0" borderId="0"/>
    <xf numFmtId="0" fontId="12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167" fontId="12" fillId="0" borderId="0"/>
    <xf numFmtId="167" fontId="12" fillId="0" borderId="0"/>
    <xf numFmtId="0" fontId="17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0">
    <xf numFmtId="0" fontId="0" fillId="0" borderId="0" xfId="0"/>
    <xf numFmtId="0" fontId="2" fillId="0" borderId="0" xfId="0" applyFont="1" applyProtection="1">
      <protection hidden="1"/>
    </xf>
    <xf numFmtId="16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" fontId="8" fillId="0" borderId="4" xfId="0" applyNumberFormat="1" applyFont="1" applyBorder="1" applyAlignment="1" applyProtection="1">
      <alignment horizontal="center"/>
      <protection hidden="1"/>
    </xf>
    <xf numFmtId="1" fontId="8" fillId="0" borderId="0" xfId="0" applyNumberFormat="1" applyFont="1" applyAlignment="1" applyProtection="1">
      <alignment horizontal="center"/>
      <protection hidden="1"/>
    </xf>
    <xf numFmtId="1" fontId="8" fillId="0" borderId="5" xfId="0" applyNumberFormat="1" applyFont="1" applyBorder="1" applyAlignment="1" applyProtection="1">
      <alignment horizont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4" xfId="0" applyFont="1" applyBorder="1" applyAlignment="1" applyProtection="1">
      <alignment vertical="center"/>
      <protection hidden="1"/>
    </xf>
    <xf numFmtId="1" fontId="9" fillId="3" borderId="38" xfId="0" applyNumberFormat="1" applyFont="1" applyFill="1" applyBorder="1" applyAlignment="1" applyProtection="1">
      <alignment horizontal="center" vertical="center"/>
      <protection hidden="1"/>
    </xf>
    <xf numFmtId="1" fontId="9" fillId="4" borderId="39" xfId="0" applyNumberFormat="1" applyFont="1" applyFill="1" applyBorder="1" applyAlignment="1" applyProtection="1">
      <alignment horizontal="center" vertical="center"/>
      <protection hidden="1"/>
    </xf>
    <xf numFmtId="1" fontId="9" fillId="4" borderId="29" xfId="0" applyNumberFormat="1" applyFont="1" applyFill="1" applyBorder="1" applyAlignment="1" applyProtection="1">
      <alignment horizontal="center" vertical="center"/>
      <protection hidden="1"/>
    </xf>
    <xf numFmtId="1" fontId="9" fillId="4" borderId="40" xfId="0" applyNumberFormat="1" applyFont="1" applyFill="1" applyBorder="1" applyAlignment="1" applyProtection="1">
      <alignment horizontal="center" vertical="center"/>
      <protection hidden="1"/>
    </xf>
    <xf numFmtId="1" fontId="9" fillId="5" borderId="41" xfId="0" applyNumberFormat="1" applyFont="1" applyFill="1" applyBorder="1" applyAlignment="1" applyProtection="1">
      <alignment horizontal="center" vertical="center"/>
      <protection hidden="1"/>
    </xf>
    <xf numFmtId="1" fontId="9" fillId="5" borderId="29" xfId="0" applyNumberFormat="1" applyFont="1" applyFill="1" applyBorder="1" applyAlignment="1" applyProtection="1">
      <alignment horizontal="center" vertical="center"/>
      <protection hidden="1"/>
    </xf>
    <xf numFmtId="1" fontId="9" fillId="5" borderId="31" xfId="0" applyNumberFormat="1" applyFont="1" applyFill="1" applyBorder="1" applyAlignment="1" applyProtection="1">
      <alignment horizontal="center" vertical="center"/>
      <protection hidden="1"/>
    </xf>
    <xf numFmtId="1" fontId="8" fillId="6" borderId="39" xfId="0" applyNumberFormat="1" applyFont="1" applyFill="1" applyBorder="1" applyAlignment="1" applyProtection="1">
      <alignment horizontal="center" vertical="center"/>
      <protection hidden="1"/>
    </xf>
    <xf numFmtId="1" fontId="8" fillId="6" borderId="29" xfId="0" applyNumberFormat="1" applyFont="1" applyFill="1" applyBorder="1" applyAlignment="1" applyProtection="1">
      <alignment horizontal="center" vertical="center"/>
      <protection hidden="1"/>
    </xf>
    <xf numFmtId="1" fontId="8" fillId="6" borderId="40" xfId="0" applyNumberFormat="1" applyFont="1" applyFill="1" applyBorder="1" applyAlignment="1" applyProtection="1">
      <alignment horizontal="center" vertical="center"/>
      <protection hidden="1"/>
    </xf>
    <xf numFmtId="1" fontId="8" fillId="6" borderId="30" xfId="0" applyNumberFormat="1" applyFont="1" applyFill="1" applyBorder="1" applyAlignment="1" applyProtection="1">
      <alignment horizontal="center" vertical="center"/>
      <protection hidden="1"/>
    </xf>
    <xf numFmtId="1" fontId="9" fillId="5" borderId="40" xfId="0" applyNumberFormat="1" applyFont="1" applyFill="1" applyBorder="1" applyAlignment="1" applyProtection="1">
      <alignment horizontal="center" vertical="center"/>
      <protection hidden="1"/>
    </xf>
    <xf numFmtId="1" fontId="8" fillId="7" borderId="39" xfId="0" applyNumberFormat="1" applyFont="1" applyFill="1" applyBorder="1" applyAlignment="1" applyProtection="1">
      <alignment horizontal="center" vertical="center"/>
      <protection hidden="1"/>
    </xf>
    <xf numFmtId="1" fontId="8" fillId="7" borderId="29" xfId="0" applyNumberFormat="1" applyFont="1" applyFill="1" applyBorder="1" applyAlignment="1" applyProtection="1">
      <alignment horizontal="center" vertical="center"/>
      <protection hidden="1"/>
    </xf>
    <xf numFmtId="1" fontId="8" fillId="7" borderId="40" xfId="0" applyNumberFormat="1" applyFont="1" applyFill="1" applyBorder="1" applyAlignment="1" applyProtection="1">
      <alignment horizontal="center" vertical="center"/>
      <protection hidden="1"/>
    </xf>
    <xf numFmtId="1" fontId="8" fillId="7" borderId="30" xfId="0" applyNumberFormat="1" applyFont="1" applyFill="1" applyBorder="1" applyAlignment="1" applyProtection="1">
      <alignment horizontal="center" vertical="center"/>
      <protection hidden="1"/>
    </xf>
    <xf numFmtId="1" fontId="9" fillId="8" borderId="41" xfId="0" applyNumberFormat="1" applyFont="1" applyFill="1" applyBorder="1" applyAlignment="1" applyProtection="1">
      <alignment horizontal="center" vertical="center"/>
      <protection hidden="1"/>
    </xf>
    <xf numFmtId="1" fontId="9" fillId="8" borderId="29" xfId="0" applyNumberFormat="1" applyFont="1" applyFill="1" applyBorder="1" applyAlignment="1" applyProtection="1">
      <alignment horizontal="center" vertical="center"/>
      <protection hidden="1"/>
    </xf>
    <xf numFmtId="1" fontId="9" fillId="8" borderId="40" xfId="0" applyNumberFormat="1" applyFont="1" applyFill="1" applyBorder="1" applyAlignment="1" applyProtection="1">
      <alignment horizontal="center" vertical="center"/>
      <protection hidden="1"/>
    </xf>
    <xf numFmtId="1" fontId="9" fillId="8" borderId="30" xfId="0" applyNumberFormat="1" applyFont="1" applyFill="1" applyBorder="1" applyAlignment="1" applyProtection="1">
      <alignment horizontal="center" vertical="center"/>
      <protection hidden="1"/>
    </xf>
    <xf numFmtId="1" fontId="9" fillId="9" borderId="41" xfId="0" applyNumberFormat="1" applyFont="1" applyFill="1" applyBorder="1" applyAlignment="1" applyProtection="1">
      <alignment horizontal="center" vertical="center"/>
      <protection hidden="1"/>
    </xf>
    <xf numFmtId="1" fontId="9" fillId="9" borderId="29" xfId="0" applyNumberFormat="1" applyFont="1" applyFill="1" applyBorder="1" applyAlignment="1" applyProtection="1">
      <alignment horizontal="center" vertical="center"/>
      <protection hidden="1"/>
    </xf>
    <xf numFmtId="1" fontId="9" fillId="9" borderId="31" xfId="0" applyNumberFormat="1" applyFont="1" applyFill="1" applyBorder="1" applyAlignment="1" applyProtection="1">
      <alignment horizontal="center" vertical="center"/>
      <protection hidden="1"/>
    </xf>
    <xf numFmtId="1" fontId="9" fillId="10" borderId="39" xfId="0" applyNumberFormat="1" applyFont="1" applyFill="1" applyBorder="1" applyAlignment="1" applyProtection="1">
      <alignment horizontal="center" vertical="center"/>
      <protection hidden="1"/>
    </xf>
    <xf numFmtId="1" fontId="9" fillId="10" borderId="29" xfId="0" applyNumberFormat="1" applyFont="1" applyFill="1" applyBorder="1" applyAlignment="1" applyProtection="1">
      <alignment horizontal="center" vertical="center"/>
      <protection hidden="1"/>
    </xf>
    <xf numFmtId="1" fontId="9" fillId="10" borderId="31" xfId="0" applyNumberFormat="1" applyFont="1" applyFill="1" applyBorder="1" applyAlignment="1" applyProtection="1">
      <alignment horizontal="center" vertical="center"/>
      <protection hidden="1"/>
    </xf>
    <xf numFmtId="1" fontId="9" fillId="11" borderId="41" xfId="0" applyNumberFormat="1" applyFont="1" applyFill="1" applyBorder="1" applyAlignment="1" applyProtection="1">
      <alignment horizontal="center" vertical="center"/>
      <protection hidden="1"/>
    </xf>
    <xf numFmtId="1" fontId="9" fillId="11" borderId="31" xfId="0" applyNumberFormat="1" applyFont="1" applyFill="1" applyBorder="1" applyAlignment="1" applyProtection="1">
      <alignment horizontal="center" vertical="center"/>
      <protection hidden="1"/>
    </xf>
    <xf numFmtId="1" fontId="9" fillId="4" borderId="41" xfId="0" applyNumberFormat="1" applyFont="1" applyFill="1" applyBorder="1" applyAlignment="1" applyProtection="1">
      <alignment horizontal="center" vertical="center"/>
      <protection hidden="1"/>
    </xf>
    <xf numFmtId="1" fontId="9" fillId="4" borderId="31" xfId="0" applyNumberFormat="1" applyFont="1" applyFill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16" fontId="10" fillId="12" borderId="42" xfId="2" applyNumberFormat="1" applyFont="1" applyFill="1" applyBorder="1" applyAlignment="1" applyProtection="1">
      <alignment horizontal="center" vertical="center"/>
      <protection hidden="1"/>
    </xf>
    <xf numFmtId="20" fontId="10" fillId="12" borderId="43" xfId="2" applyNumberFormat="1" applyFont="1" applyFill="1" applyBorder="1" applyAlignment="1" applyProtection="1">
      <alignment horizontal="center" vertical="center"/>
      <protection hidden="1"/>
    </xf>
    <xf numFmtId="165" fontId="10" fillId="12" borderId="44" xfId="2" applyNumberFormat="1" applyFont="1" applyFill="1" applyBorder="1" applyAlignment="1" applyProtection="1">
      <alignment horizontal="center" vertical="center"/>
      <protection hidden="1"/>
    </xf>
    <xf numFmtId="164" fontId="10" fillId="13" borderId="45" xfId="1" applyNumberFormat="1" applyFont="1" applyFill="1" applyBorder="1" applyAlignment="1" applyProtection="1">
      <alignment horizontal="center" vertical="center"/>
      <protection locked="0"/>
    </xf>
    <xf numFmtId="164" fontId="10" fillId="13" borderId="46" xfId="1" applyNumberFormat="1" applyFont="1" applyFill="1" applyBorder="1" applyAlignment="1" applyProtection="1">
      <alignment horizontal="center" vertical="center"/>
      <protection locked="0"/>
    </xf>
    <xf numFmtId="164" fontId="10" fillId="13" borderId="47" xfId="1" applyNumberFormat="1" applyFont="1" applyFill="1" applyBorder="1" applyAlignment="1" applyProtection="1">
      <alignment horizontal="center" vertical="center"/>
      <protection locked="0"/>
    </xf>
    <xf numFmtId="164" fontId="10" fillId="13" borderId="48" xfId="1" applyNumberFormat="1" applyFont="1" applyFill="1" applyBorder="1" applyAlignment="1" applyProtection="1">
      <alignment horizontal="center" vertical="center"/>
      <protection locked="0"/>
    </xf>
    <xf numFmtId="164" fontId="10" fillId="13" borderId="49" xfId="1" applyNumberFormat="1" applyFont="1" applyFill="1" applyBorder="1" applyAlignment="1" applyProtection="1">
      <alignment horizontal="center" vertical="center"/>
      <protection locked="0"/>
    </xf>
    <xf numFmtId="164" fontId="10" fillId="13" borderId="50" xfId="1" applyNumberFormat="1" applyFont="1" applyFill="1" applyBorder="1" applyAlignment="1" applyProtection="1">
      <alignment horizontal="center" vertical="center"/>
      <protection locked="0"/>
    </xf>
    <xf numFmtId="164" fontId="10" fillId="13" borderId="51" xfId="1" applyNumberFormat="1" applyFont="1" applyFill="1" applyBorder="1" applyAlignment="1" applyProtection="1">
      <alignment horizontal="center" vertical="center"/>
      <protection locked="0"/>
    </xf>
    <xf numFmtId="164" fontId="10" fillId="13" borderId="52" xfId="1" applyNumberFormat="1" applyFont="1" applyFill="1" applyBorder="1" applyAlignment="1" applyProtection="1">
      <alignment horizontal="center" vertical="center"/>
      <protection locked="0"/>
    </xf>
    <xf numFmtId="164" fontId="10" fillId="13" borderId="53" xfId="1" applyNumberFormat="1" applyFont="1" applyFill="1" applyBorder="1" applyAlignment="1" applyProtection="1">
      <alignment horizontal="center" vertical="center"/>
      <protection locked="0"/>
    </xf>
    <xf numFmtId="164" fontId="10" fillId="13" borderId="54" xfId="1" applyNumberFormat="1" applyFont="1" applyFill="1" applyBorder="1" applyAlignment="1" applyProtection="1">
      <alignment horizontal="center" vertical="center"/>
      <protection locked="0"/>
    </xf>
    <xf numFmtId="164" fontId="10" fillId="13" borderId="55" xfId="1" applyNumberFormat="1" applyFont="1" applyFill="1" applyBorder="1" applyAlignment="1" applyProtection="1">
      <alignment horizontal="center" vertical="center"/>
      <protection locked="0"/>
    </xf>
    <xf numFmtId="164" fontId="10" fillId="13" borderId="56" xfId="1" applyNumberFormat="1" applyFont="1" applyFill="1" applyBorder="1" applyAlignment="1" applyProtection="1">
      <alignment horizontal="center" vertical="center"/>
      <protection locked="0"/>
    </xf>
    <xf numFmtId="16" fontId="10" fillId="12" borderId="57" xfId="2" applyNumberFormat="1" applyFont="1" applyFill="1" applyBorder="1" applyAlignment="1" applyProtection="1">
      <alignment horizontal="center" vertical="center"/>
      <protection hidden="1"/>
    </xf>
    <xf numFmtId="20" fontId="10" fillId="12" borderId="58" xfId="2" applyNumberFormat="1" applyFont="1" applyFill="1" applyBorder="1" applyAlignment="1" applyProtection="1">
      <alignment horizontal="center" vertical="center"/>
      <protection hidden="1"/>
    </xf>
    <xf numFmtId="164" fontId="10" fillId="13" borderId="59" xfId="1" applyNumberFormat="1" applyFont="1" applyFill="1" applyBorder="1" applyAlignment="1" applyProtection="1">
      <alignment horizontal="center" vertical="center"/>
      <protection locked="0"/>
    </xf>
    <xf numFmtId="164" fontId="10" fillId="13" borderId="60" xfId="1" applyNumberFormat="1" applyFont="1" applyFill="1" applyBorder="1" applyAlignment="1" applyProtection="1">
      <alignment horizontal="center" vertical="center"/>
      <protection locked="0"/>
    </xf>
    <xf numFmtId="164" fontId="10" fillId="13" borderId="61" xfId="1" applyNumberFormat="1" applyFont="1" applyFill="1" applyBorder="1" applyAlignment="1" applyProtection="1">
      <alignment horizontal="center" vertical="center"/>
      <protection locked="0"/>
    </xf>
    <xf numFmtId="164" fontId="10" fillId="13" borderId="62" xfId="1" applyNumberFormat="1" applyFont="1" applyFill="1" applyBorder="1" applyAlignment="1" applyProtection="1">
      <alignment horizontal="center" vertical="center"/>
      <protection locked="0"/>
    </xf>
    <xf numFmtId="164" fontId="10" fillId="13" borderId="63" xfId="1" applyNumberFormat="1" applyFont="1" applyFill="1" applyBorder="1" applyAlignment="1" applyProtection="1">
      <alignment horizontal="center" vertical="center"/>
      <protection locked="0"/>
    </xf>
    <xf numFmtId="164" fontId="10" fillId="13" borderId="64" xfId="1" applyNumberFormat="1" applyFont="1" applyFill="1" applyBorder="1" applyAlignment="1" applyProtection="1">
      <alignment horizontal="center" vertical="center"/>
      <protection locked="0"/>
    </xf>
    <xf numFmtId="16" fontId="10" fillId="12" borderId="65" xfId="2" applyNumberFormat="1" applyFont="1" applyFill="1" applyBorder="1" applyAlignment="1" applyProtection="1">
      <alignment horizontal="center" vertical="center"/>
      <protection hidden="1"/>
    </xf>
    <xf numFmtId="20" fontId="10" fillId="12" borderId="66" xfId="2" applyNumberFormat="1" applyFont="1" applyFill="1" applyBorder="1" applyAlignment="1" applyProtection="1">
      <alignment horizontal="center" vertical="center"/>
      <protection hidden="1"/>
    </xf>
    <xf numFmtId="165" fontId="10" fillId="12" borderId="67" xfId="2" applyNumberFormat="1" applyFont="1" applyFill="1" applyBorder="1" applyAlignment="1" applyProtection="1">
      <alignment horizontal="center" vertical="center"/>
      <protection hidden="1"/>
    </xf>
    <xf numFmtId="16" fontId="10" fillId="12" borderId="68" xfId="2" applyNumberFormat="1" applyFont="1" applyFill="1" applyBorder="1" applyAlignment="1" applyProtection="1">
      <alignment horizontal="center" vertical="center"/>
      <protection hidden="1"/>
    </xf>
    <xf numFmtId="20" fontId="10" fillId="12" borderId="69" xfId="2" applyNumberFormat="1" applyFont="1" applyFill="1" applyBorder="1" applyAlignment="1" applyProtection="1">
      <alignment horizontal="center" vertical="center"/>
      <protection hidden="1"/>
    </xf>
    <xf numFmtId="165" fontId="10" fillId="12" borderId="70" xfId="2" applyNumberFormat="1" applyFont="1" applyFill="1" applyBorder="1" applyAlignment="1" applyProtection="1">
      <alignment horizontal="center" vertical="center"/>
      <protection hidden="1"/>
    </xf>
    <xf numFmtId="164" fontId="10" fillId="13" borderId="71" xfId="1" applyNumberFormat="1" applyFont="1" applyFill="1" applyBorder="1" applyAlignment="1" applyProtection="1">
      <alignment horizontal="center" vertical="center"/>
      <protection locked="0"/>
    </xf>
    <xf numFmtId="164" fontId="10" fillId="13" borderId="72" xfId="1" applyNumberFormat="1" applyFont="1" applyFill="1" applyBorder="1" applyAlignment="1" applyProtection="1">
      <alignment horizontal="center" vertical="center"/>
      <protection locked="0"/>
    </xf>
    <xf numFmtId="164" fontId="10" fillId="13" borderId="73" xfId="1" applyNumberFormat="1" applyFont="1" applyFill="1" applyBorder="1" applyAlignment="1" applyProtection="1">
      <alignment horizontal="center" vertical="center"/>
      <protection locked="0"/>
    </xf>
    <xf numFmtId="164" fontId="10" fillId="13" borderId="74" xfId="1" applyNumberFormat="1" applyFont="1" applyFill="1" applyBorder="1" applyAlignment="1" applyProtection="1">
      <alignment horizontal="center" vertical="center"/>
      <protection locked="0"/>
    </xf>
    <xf numFmtId="164" fontId="10" fillId="13" borderId="75" xfId="1" applyNumberFormat="1" applyFont="1" applyFill="1" applyBorder="1" applyAlignment="1" applyProtection="1">
      <alignment horizontal="center" vertical="center"/>
      <protection locked="0"/>
    </xf>
    <xf numFmtId="164" fontId="10" fillId="13" borderId="76" xfId="1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Protection="1">
      <protection hidden="1"/>
    </xf>
    <xf numFmtId="16" fontId="2" fillId="0" borderId="7" xfId="0" applyNumberFormat="1" applyFont="1" applyBorder="1" applyProtection="1"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8" xfId="0" applyFont="1" applyBorder="1" applyProtection="1">
      <protection hidden="1"/>
    </xf>
    <xf numFmtId="164" fontId="2" fillId="0" borderId="0" xfId="0" applyNumberFormat="1" applyFont="1" applyProtection="1">
      <protection hidden="1"/>
    </xf>
    <xf numFmtId="1" fontId="9" fillId="15" borderId="21" xfId="0" applyNumberFormat="1" applyFont="1" applyFill="1" applyBorder="1" applyAlignment="1" applyProtection="1">
      <alignment horizontal="center" vertical="center"/>
      <protection hidden="1"/>
    </xf>
    <xf numFmtId="164" fontId="0" fillId="0" borderId="0" xfId="0" applyNumberFormat="1"/>
    <xf numFmtId="1" fontId="10" fillId="12" borderId="84" xfId="2" applyNumberFormat="1" applyFont="1" applyFill="1" applyBorder="1" applyAlignment="1" applyProtection="1">
      <alignment horizontal="center" vertical="center"/>
      <protection hidden="1"/>
    </xf>
    <xf numFmtId="1" fontId="10" fillId="12" borderId="53" xfId="2" applyNumberFormat="1" applyFont="1" applyFill="1" applyBorder="1" applyAlignment="1" applyProtection="1">
      <alignment horizontal="center" vertical="center"/>
      <protection hidden="1"/>
    </xf>
    <xf numFmtId="1" fontId="10" fillId="12" borderId="73" xfId="2" applyNumberFormat="1" applyFont="1" applyFill="1" applyBorder="1" applyAlignment="1" applyProtection="1">
      <alignment horizontal="center" vertical="center"/>
      <protection hidden="1"/>
    </xf>
    <xf numFmtId="1" fontId="9" fillId="15" borderId="29" xfId="0" applyNumberFormat="1" applyFont="1" applyFill="1" applyBorder="1" applyAlignment="1" applyProtection="1">
      <alignment horizontal="center"/>
      <protection hidden="1"/>
    </xf>
    <xf numFmtId="164" fontId="10" fillId="12" borderId="53" xfId="2" applyNumberFormat="1" applyFont="1" applyFill="1" applyBorder="1" applyAlignment="1" applyProtection="1">
      <alignment horizontal="center" vertical="center"/>
      <protection hidden="1"/>
    </xf>
    <xf numFmtId="164" fontId="10" fillId="12" borderId="73" xfId="2" applyNumberFormat="1" applyFont="1" applyFill="1" applyBorder="1" applyAlignment="1" applyProtection="1">
      <alignment horizontal="center" vertical="center"/>
      <protection hidden="1"/>
    </xf>
    <xf numFmtId="1" fontId="10" fillId="12" borderId="83" xfId="2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/>
    <xf numFmtId="164" fontId="9" fillId="15" borderId="21" xfId="0" applyNumberFormat="1" applyFont="1" applyFill="1" applyBorder="1" applyAlignment="1" applyProtection="1">
      <alignment horizontal="center" vertical="center"/>
      <protection hidden="1"/>
    </xf>
    <xf numFmtId="164" fontId="9" fillId="15" borderId="29" xfId="0" applyNumberFormat="1" applyFont="1" applyFill="1" applyBorder="1" applyAlignment="1" applyProtection="1">
      <alignment horizontal="center"/>
      <protection hidden="1"/>
    </xf>
    <xf numFmtId="166" fontId="9" fillId="15" borderId="21" xfId="0" applyNumberFormat="1" applyFont="1" applyFill="1" applyBorder="1" applyAlignment="1" applyProtection="1">
      <alignment horizontal="center" vertical="center"/>
      <protection hidden="1"/>
    </xf>
    <xf numFmtId="166" fontId="9" fillId="15" borderId="29" xfId="0" applyNumberFormat="1" applyFont="1" applyFill="1" applyBorder="1" applyAlignment="1" applyProtection="1">
      <alignment horizontal="center"/>
      <protection hidden="1"/>
    </xf>
    <xf numFmtId="166" fontId="10" fillId="12" borderId="53" xfId="2" applyNumberFormat="1" applyFont="1" applyFill="1" applyBorder="1" applyAlignment="1" applyProtection="1">
      <alignment horizontal="center" vertical="center"/>
      <protection hidden="1"/>
    </xf>
    <xf numFmtId="166" fontId="0" fillId="0" borderId="0" xfId="0" applyNumberFormat="1"/>
    <xf numFmtId="166" fontId="9" fillId="15" borderId="24" xfId="0" applyNumberFormat="1" applyFont="1" applyFill="1" applyBorder="1" applyAlignment="1" applyProtection="1">
      <alignment horizontal="center" vertical="center"/>
      <protection hidden="1"/>
    </xf>
    <xf numFmtId="168" fontId="10" fillId="12" borderId="55" xfId="2" applyNumberFormat="1" applyFont="1" applyFill="1" applyBorder="1" applyAlignment="1" applyProtection="1">
      <alignment horizontal="center" vertical="center"/>
      <protection hidden="1"/>
    </xf>
    <xf numFmtId="166" fontId="10" fillId="12" borderId="56" xfId="2" applyNumberFormat="1" applyFont="1" applyFill="1" applyBorder="1" applyAlignment="1" applyProtection="1">
      <alignment horizontal="center" vertical="center"/>
      <protection hidden="1"/>
    </xf>
    <xf numFmtId="168" fontId="10" fillId="12" borderId="75" xfId="2" applyNumberFormat="1" applyFont="1" applyFill="1" applyBorder="1" applyAlignment="1" applyProtection="1">
      <alignment horizontal="center" vertical="center"/>
      <protection hidden="1"/>
    </xf>
    <xf numFmtId="166" fontId="10" fillId="12" borderId="73" xfId="2" applyNumberFormat="1" applyFont="1" applyFill="1" applyBorder="1" applyAlignment="1" applyProtection="1">
      <alignment horizontal="center" vertical="center"/>
      <protection hidden="1"/>
    </xf>
    <xf numFmtId="166" fontId="10" fillId="12" borderId="76" xfId="2" applyNumberFormat="1" applyFont="1" applyFill="1" applyBorder="1" applyAlignment="1" applyProtection="1">
      <alignment horizontal="center" vertical="center"/>
      <protection hidden="1"/>
    </xf>
    <xf numFmtId="166" fontId="9" fillId="15" borderId="31" xfId="0" applyNumberFormat="1" applyFont="1" applyFill="1" applyBorder="1" applyAlignment="1" applyProtection="1">
      <alignment horizontal="center"/>
      <protection hidden="1"/>
    </xf>
    <xf numFmtId="168" fontId="10" fillId="12" borderId="87" xfId="2" applyNumberFormat="1" applyFont="1" applyFill="1" applyBorder="1" applyAlignment="1" applyProtection="1">
      <alignment horizontal="center" vertical="center"/>
      <protection hidden="1"/>
    </xf>
    <xf numFmtId="166" fontId="10" fillId="12" borderId="84" xfId="2" applyNumberFormat="1" applyFont="1" applyFill="1" applyBorder="1" applyAlignment="1" applyProtection="1">
      <alignment horizontal="center" vertical="center"/>
      <protection hidden="1"/>
    </xf>
    <xf numFmtId="164" fontId="10" fillId="12" borderId="84" xfId="2" applyNumberFormat="1" applyFont="1" applyFill="1" applyBorder="1" applyAlignment="1" applyProtection="1">
      <alignment horizontal="center" vertical="center"/>
      <protection hidden="1"/>
    </xf>
    <xf numFmtId="166" fontId="10" fillId="12" borderId="88" xfId="2" applyNumberFormat="1" applyFont="1" applyFill="1" applyBorder="1" applyAlignment="1" applyProtection="1">
      <alignment horizontal="center" vertical="center"/>
      <protection hidden="1"/>
    </xf>
    <xf numFmtId="168" fontId="10" fillId="12" borderId="86" xfId="2" applyNumberFormat="1" applyFont="1" applyFill="1" applyBorder="1" applyAlignment="1" applyProtection="1">
      <alignment horizontal="center" vertical="center"/>
      <protection hidden="1"/>
    </xf>
    <xf numFmtId="166" fontId="10" fillId="12" borderId="83" xfId="2" applyNumberFormat="1" applyFont="1" applyFill="1" applyBorder="1" applyAlignment="1" applyProtection="1">
      <alignment horizontal="center" vertical="center"/>
      <protection hidden="1"/>
    </xf>
    <xf numFmtId="164" fontId="10" fillId="12" borderId="83" xfId="2" applyNumberFormat="1" applyFont="1" applyFill="1" applyBorder="1" applyAlignment="1" applyProtection="1">
      <alignment horizontal="center" vertical="center"/>
      <protection hidden="1"/>
    </xf>
    <xf numFmtId="166" fontId="10" fillId="12" borderId="85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quotePrefix="1"/>
    <xf numFmtId="1" fontId="9" fillId="15" borderId="21" xfId="0" applyNumberFormat="1" applyFont="1" applyFill="1" applyBorder="1" applyAlignment="1" applyProtection="1">
      <alignment horizontal="center" vertical="center"/>
      <protection hidden="1"/>
    </xf>
    <xf numFmtId="0" fontId="11" fillId="14" borderId="77" xfId="0" applyFont="1" applyFill="1" applyBorder="1" applyAlignment="1">
      <alignment horizontal="center" vertical="center"/>
    </xf>
    <xf numFmtId="0" fontId="11" fillId="14" borderId="78" xfId="0" applyFont="1" applyFill="1" applyBorder="1" applyAlignment="1">
      <alignment horizontal="center" vertical="center"/>
    </xf>
    <xf numFmtId="1" fontId="9" fillId="15" borderId="14" xfId="0" applyNumberFormat="1" applyFont="1" applyFill="1" applyBorder="1" applyAlignment="1" applyProtection="1">
      <alignment horizontal="center" vertical="center"/>
      <protection hidden="1"/>
    </xf>
    <xf numFmtId="1" fontId="9" fillId="15" borderId="80" xfId="0" applyNumberFormat="1" applyFont="1" applyFill="1" applyBorder="1" applyAlignment="1" applyProtection="1">
      <alignment horizontal="center" vertical="center"/>
      <protection hidden="1"/>
    </xf>
    <xf numFmtId="1" fontId="9" fillId="15" borderId="81" xfId="0" applyNumberFormat="1" applyFont="1" applyFill="1" applyBorder="1" applyAlignment="1" applyProtection="1">
      <alignment horizontal="center" vertical="center"/>
      <protection hidden="1"/>
    </xf>
    <xf numFmtId="1" fontId="9" fillId="15" borderId="22" xfId="0" applyNumberFormat="1" applyFont="1" applyFill="1" applyBorder="1" applyAlignment="1" applyProtection="1">
      <alignment horizontal="center" vertical="center"/>
      <protection hidden="1"/>
    </xf>
    <xf numFmtId="1" fontId="9" fillId="15" borderId="79" xfId="0" applyNumberFormat="1" applyFont="1" applyFill="1" applyBorder="1" applyAlignment="1" applyProtection="1">
      <alignment horizontal="center" vertical="center"/>
      <protection hidden="1"/>
    </xf>
    <xf numFmtId="1" fontId="9" fillId="15" borderId="82" xfId="0" applyNumberFormat="1" applyFont="1" applyFill="1" applyBorder="1" applyAlignment="1" applyProtection="1">
      <alignment horizontal="center" vertical="center"/>
      <protection hidden="1"/>
    </xf>
    <xf numFmtId="1" fontId="9" fillId="15" borderId="21" xfId="0" applyNumberFormat="1" applyFont="1" applyFill="1" applyBorder="1" applyAlignment="1" applyProtection="1">
      <alignment horizontal="center" vertical="center" wrapText="1"/>
      <protection hidden="1"/>
    </xf>
    <xf numFmtId="1" fontId="9" fillId="15" borderId="24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left" vertical="center" wrapText="1" indent="1"/>
      <protection hidden="1"/>
    </xf>
    <xf numFmtId="0" fontId="3" fillId="0" borderId="2" xfId="0" applyFont="1" applyBorder="1" applyAlignment="1" applyProtection="1">
      <alignment horizontal="left" vertical="center" wrapText="1" indent="1"/>
      <protection hidden="1"/>
    </xf>
    <xf numFmtId="0" fontId="3" fillId="0" borderId="3" xfId="0" applyFont="1" applyBorder="1" applyAlignment="1" applyProtection="1">
      <alignment horizontal="left" vertical="center" wrapText="1" indent="1"/>
      <protection hidden="1"/>
    </xf>
    <xf numFmtId="0" fontId="3" fillId="0" borderId="4" xfId="0" applyFont="1" applyBorder="1" applyAlignment="1" applyProtection="1">
      <alignment horizontal="left" vertical="center" wrapText="1" indent="1"/>
      <protection hidden="1"/>
    </xf>
    <xf numFmtId="0" fontId="3" fillId="0" borderId="0" xfId="0" applyFont="1" applyAlignment="1" applyProtection="1">
      <alignment horizontal="left" vertical="center" wrapText="1" indent="1"/>
      <protection hidden="1"/>
    </xf>
    <xf numFmtId="0" fontId="3" fillId="0" borderId="5" xfId="0" applyFont="1" applyBorder="1" applyAlignment="1" applyProtection="1">
      <alignment horizontal="left" vertical="center" wrapText="1" indent="1"/>
      <protection hidden="1"/>
    </xf>
    <xf numFmtId="0" fontId="3" fillId="0" borderId="6" xfId="0" applyFont="1" applyBorder="1" applyAlignment="1" applyProtection="1">
      <alignment horizontal="left" vertical="center" wrapText="1" indent="1"/>
      <protection hidden="1"/>
    </xf>
    <xf numFmtId="0" fontId="3" fillId="0" borderId="7" xfId="0" applyFont="1" applyBorder="1" applyAlignment="1" applyProtection="1">
      <alignment horizontal="left" vertical="center" wrapText="1" indent="1"/>
      <protection hidden="1"/>
    </xf>
    <xf numFmtId="0" fontId="3" fillId="0" borderId="8" xfId="0" applyFont="1" applyBorder="1" applyAlignment="1" applyProtection="1">
      <alignment horizontal="left" vertical="center" wrapText="1" indent="1"/>
      <protection hidden="1"/>
    </xf>
    <xf numFmtId="16" fontId="9" fillId="2" borderId="9" xfId="0" applyNumberFormat="1" applyFont="1" applyFill="1" applyBorder="1" applyAlignment="1" applyProtection="1">
      <alignment horizontal="center" vertical="center"/>
      <protection hidden="1"/>
    </xf>
    <xf numFmtId="16" fontId="9" fillId="2" borderId="10" xfId="0" applyNumberFormat="1" applyFont="1" applyFill="1" applyBorder="1" applyAlignment="1" applyProtection="1">
      <alignment horizontal="center" vertical="center"/>
      <protection hidden="1"/>
    </xf>
    <xf numFmtId="16" fontId="9" fillId="2" borderId="18" xfId="0" applyNumberFormat="1" applyFont="1" applyFill="1" applyBorder="1" applyAlignment="1" applyProtection="1">
      <alignment horizontal="center" vertical="center"/>
      <protection hidden="1"/>
    </xf>
    <xf numFmtId="16" fontId="9" fillId="2" borderId="0" xfId="0" applyNumberFormat="1" applyFont="1" applyFill="1" applyAlignment="1" applyProtection="1">
      <alignment horizontal="center" vertical="center"/>
      <protection hidden="1"/>
    </xf>
    <xf numFmtId="16" fontId="9" fillId="3" borderId="11" xfId="0" applyNumberFormat="1" applyFont="1" applyFill="1" applyBorder="1" applyAlignment="1" applyProtection="1">
      <alignment horizontal="center" vertical="center" wrapText="1"/>
      <protection hidden="1"/>
    </xf>
    <xf numFmtId="16" fontId="9" fillId="3" borderId="19" xfId="0" applyNumberFormat="1" applyFont="1" applyFill="1" applyBorder="1" applyAlignment="1" applyProtection="1">
      <alignment horizontal="center" vertical="center" wrapText="1"/>
      <protection hidden="1"/>
    </xf>
    <xf numFmtId="0" fontId="9" fillId="4" borderId="12" xfId="0" applyFont="1" applyFill="1" applyBorder="1" applyAlignment="1" applyProtection="1">
      <alignment horizontal="center" vertical="center"/>
      <protection hidden="1"/>
    </xf>
    <xf numFmtId="0" fontId="9" fillId="4" borderId="13" xfId="0" applyFont="1" applyFill="1" applyBorder="1" applyAlignment="1" applyProtection="1">
      <alignment horizontal="center" vertical="center"/>
      <protection hidden="1"/>
    </xf>
    <xf numFmtId="0" fontId="9" fillId="4" borderId="14" xfId="0" applyFont="1" applyFill="1" applyBorder="1" applyAlignment="1" applyProtection="1">
      <alignment horizontal="center" vertical="center"/>
      <protection hidden="1"/>
    </xf>
    <xf numFmtId="0" fontId="9" fillId="4" borderId="20" xfId="0" applyFont="1" applyFill="1" applyBorder="1" applyAlignment="1" applyProtection="1">
      <alignment horizontal="center" vertical="center"/>
      <protection hidden="1"/>
    </xf>
    <xf numFmtId="0" fontId="9" fillId="4" borderId="21" xfId="0" applyFont="1" applyFill="1" applyBorder="1" applyAlignment="1" applyProtection="1">
      <alignment horizontal="center" vertical="center"/>
      <protection hidden="1"/>
    </xf>
    <xf numFmtId="0" fontId="9" fillId="4" borderId="22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3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23" xfId="0" applyFont="1" applyFill="1" applyBorder="1" applyAlignment="1" applyProtection="1">
      <alignment horizontal="center" vertical="center"/>
      <protection hidden="1"/>
    </xf>
    <xf numFmtId="0" fontId="9" fillId="5" borderId="21" xfId="0" applyFont="1" applyFill="1" applyBorder="1" applyAlignment="1" applyProtection="1">
      <alignment horizontal="center" vertical="center"/>
      <protection hidden="1"/>
    </xf>
    <xf numFmtId="0" fontId="9" fillId="5" borderId="24" xfId="0" applyFont="1" applyFill="1" applyBorder="1" applyAlignment="1" applyProtection="1">
      <alignment horizontal="center" vertical="center"/>
      <protection hidden="1"/>
    </xf>
    <xf numFmtId="0" fontId="8" fillId="6" borderId="9" xfId="0" applyFont="1" applyFill="1" applyBorder="1" applyAlignment="1" applyProtection="1">
      <alignment horizontal="center" vertical="center"/>
      <protection hidden="1"/>
    </xf>
    <xf numFmtId="0" fontId="8" fillId="6" borderId="10" xfId="0" applyFont="1" applyFill="1" applyBorder="1" applyAlignment="1" applyProtection="1">
      <alignment horizontal="center" vertical="center"/>
      <protection hidden="1"/>
    </xf>
    <xf numFmtId="0" fontId="8" fillId="6" borderId="17" xfId="0" applyFont="1" applyFill="1" applyBorder="1" applyAlignment="1" applyProtection="1">
      <alignment horizontal="center" vertical="center"/>
      <protection hidden="1"/>
    </xf>
    <xf numFmtId="0" fontId="8" fillId="6" borderId="25" xfId="0" applyFont="1" applyFill="1" applyBorder="1" applyAlignment="1" applyProtection="1">
      <alignment horizontal="center" vertical="center"/>
      <protection hidden="1"/>
    </xf>
    <xf numFmtId="0" fontId="8" fillId="6" borderId="26" xfId="0" applyFont="1" applyFill="1" applyBorder="1" applyAlignment="1" applyProtection="1">
      <alignment horizontal="center" vertical="center"/>
      <protection hidden="1"/>
    </xf>
    <xf numFmtId="0" fontId="8" fillId="6" borderId="27" xfId="0" applyFont="1" applyFill="1" applyBorder="1" applyAlignment="1" applyProtection="1">
      <alignment horizontal="center" vertical="center"/>
      <protection hidden="1"/>
    </xf>
    <xf numFmtId="0" fontId="9" fillId="5" borderId="14" xfId="0" applyFont="1" applyFill="1" applyBorder="1" applyAlignment="1" applyProtection="1">
      <alignment horizontal="center" vertical="center"/>
      <protection hidden="1"/>
    </xf>
    <xf numFmtId="0" fontId="9" fillId="5" borderId="22" xfId="0" applyFont="1" applyFill="1" applyBorder="1" applyAlignment="1" applyProtection="1">
      <alignment horizontal="center" vertical="center"/>
      <protection hidden="1"/>
    </xf>
    <xf numFmtId="0" fontId="8" fillId="7" borderId="9" xfId="0" applyFont="1" applyFill="1" applyBorder="1" applyAlignment="1" applyProtection="1">
      <alignment horizontal="center" vertical="center"/>
      <protection hidden="1"/>
    </xf>
    <xf numFmtId="0" fontId="8" fillId="7" borderId="10" xfId="0" applyFont="1" applyFill="1" applyBorder="1" applyAlignment="1" applyProtection="1">
      <alignment horizontal="center" vertical="center"/>
      <protection hidden="1"/>
    </xf>
    <xf numFmtId="0" fontId="8" fillId="7" borderId="17" xfId="0" applyFont="1" applyFill="1" applyBorder="1" applyAlignment="1" applyProtection="1">
      <alignment horizontal="center" vertical="center"/>
      <protection hidden="1"/>
    </xf>
    <xf numFmtId="0" fontId="8" fillId="7" borderId="25" xfId="0" applyFont="1" applyFill="1" applyBorder="1" applyAlignment="1" applyProtection="1">
      <alignment horizontal="center" vertical="center"/>
      <protection hidden="1"/>
    </xf>
    <xf numFmtId="0" fontId="8" fillId="7" borderId="26" xfId="0" applyFont="1" applyFill="1" applyBorder="1" applyAlignment="1" applyProtection="1">
      <alignment horizontal="center" vertical="center"/>
      <protection hidden="1"/>
    </xf>
    <xf numFmtId="0" fontId="8" fillId="7" borderId="27" xfId="0" applyFont="1" applyFill="1" applyBorder="1" applyAlignment="1" applyProtection="1">
      <alignment horizontal="center" vertical="center"/>
      <protection hidden="1"/>
    </xf>
    <xf numFmtId="0" fontId="9" fillId="8" borderId="9" xfId="0" applyFont="1" applyFill="1" applyBorder="1" applyAlignment="1" applyProtection="1">
      <alignment horizontal="center" vertical="center"/>
      <protection hidden="1"/>
    </xf>
    <xf numFmtId="0" fontId="9" fillId="8" borderId="10" xfId="0" applyFont="1" applyFill="1" applyBorder="1" applyAlignment="1" applyProtection="1">
      <alignment horizontal="center" vertical="center"/>
      <protection hidden="1"/>
    </xf>
    <xf numFmtId="0" fontId="9" fillId="8" borderId="17" xfId="0" applyFont="1" applyFill="1" applyBorder="1" applyAlignment="1" applyProtection="1">
      <alignment horizontal="center" vertical="center"/>
      <protection hidden="1"/>
    </xf>
    <xf numFmtId="0" fontId="9" fillId="8" borderId="25" xfId="0" applyFont="1" applyFill="1" applyBorder="1" applyAlignment="1" applyProtection="1">
      <alignment horizontal="center" vertical="center"/>
      <protection hidden="1"/>
    </xf>
    <xf numFmtId="0" fontId="9" fillId="8" borderId="26" xfId="0" applyFont="1" applyFill="1" applyBorder="1" applyAlignment="1" applyProtection="1">
      <alignment horizontal="center" vertical="center"/>
      <protection hidden="1"/>
    </xf>
    <xf numFmtId="0" fontId="9" fillId="8" borderId="27" xfId="0" applyFont="1" applyFill="1" applyBorder="1" applyAlignment="1" applyProtection="1">
      <alignment horizontal="center" vertical="center"/>
      <protection hidden="1"/>
    </xf>
    <xf numFmtId="0" fontId="9" fillId="9" borderId="15" xfId="0" applyFont="1" applyFill="1" applyBorder="1" applyAlignment="1" applyProtection="1">
      <alignment horizontal="center" vertical="center"/>
      <protection hidden="1"/>
    </xf>
    <xf numFmtId="0" fontId="9" fillId="9" borderId="13" xfId="0" applyFont="1" applyFill="1" applyBorder="1" applyAlignment="1" applyProtection="1">
      <alignment horizontal="center" vertical="center"/>
      <protection hidden="1"/>
    </xf>
    <xf numFmtId="0" fontId="9" fillId="9" borderId="16" xfId="0" applyFont="1" applyFill="1" applyBorder="1" applyAlignment="1" applyProtection="1">
      <alignment horizontal="center" vertical="center"/>
      <protection hidden="1"/>
    </xf>
    <xf numFmtId="0" fontId="9" fillId="9" borderId="23" xfId="0" applyFont="1" applyFill="1" applyBorder="1" applyAlignment="1" applyProtection="1">
      <alignment horizontal="center" vertical="center"/>
      <protection hidden="1"/>
    </xf>
    <xf numFmtId="0" fontId="9" fillId="9" borderId="21" xfId="0" applyFont="1" applyFill="1" applyBorder="1" applyAlignment="1" applyProtection="1">
      <alignment horizontal="center" vertical="center"/>
      <protection hidden="1"/>
    </xf>
    <xf numFmtId="0" fontId="9" fillId="9" borderId="24" xfId="0" applyFont="1" applyFill="1" applyBorder="1" applyAlignment="1" applyProtection="1">
      <alignment horizontal="center" vertical="center"/>
      <protection hidden="1"/>
    </xf>
    <xf numFmtId="0" fontId="9" fillId="10" borderId="12" xfId="0" applyFont="1" applyFill="1" applyBorder="1" applyAlignment="1" applyProtection="1">
      <alignment horizontal="center" vertical="center"/>
      <protection hidden="1"/>
    </xf>
    <xf numFmtId="0" fontId="9" fillId="10" borderId="13" xfId="0" applyFont="1" applyFill="1" applyBorder="1" applyAlignment="1" applyProtection="1">
      <alignment horizontal="center" vertical="center"/>
      <protection hidden="1"/>
    </xf>
    <xf numFmtId="0" fontId="9" fillId="10" borderId="16" xfId="0" applyFont="1" applyFill="1" applyBorder="1" applyAlignment="1" applyProtection="1">
      <alignment horizontal="center" vertical="center"/>
      <protection hidden="1"/>
    </xf>
    <xf numFmtId="0" fontId="9" fillId="10" borderId="20" xfId="0" applyFont="1" applyFill="1" applyBorder="1" applyAlignment="1" applyProtection="1">
      <alignment horizontal="center" vertical="center"/>
      <protection hidden="1"/>
    </xf>
    <xf numFmtId="0" fontId="9" fillId="10" borderId="21" xfId="0" applyFont="1" applyFill="1" applyBorder="1" applyAlignment="1" applyProtection="1">
      <alignment horizontal="center" vertical="center"/>
      <protection hidden="1"/>
    </xf>
    <xf numFmtId="0" fontId="9" fillId="10" borderId="24" xfId="0" applyFont="1" applyFill="1" applyBorder="1" applyAlignment="1" applyProtection="1">
      <alignment horizontal="center" vertical="center"/>
      <protection hidden="1"/>
    </xf>
    <xf numFmtId="0" fontId="9" fillId="11" borderId="9" xfId="0" applyFont="1" applyFill="1" applyBorder="1" applyAlignment="1" applyProtection="1">
      <alignment horizontal="center" vertical="center"/>
      <protection hidden="1"/>
    </xf>
    <xf numFmtId="0" fontId="9" fillId="11" borderId="17" xfId="0" applyFont="1" applyFill="1" applyBorder="1" applyAlignment="1" applyProtection="1">
      <alignment horizontal="center" vertical="center"/>
      <protection hidden="1"/>
    </xf>
    <xf numFmtId="0" fontId="9" fillId="11" borderId="25" xfId="0" applyFont="1" applyFill="1" applyBorder="1" applyAlignment="1" applyProtection="1">
      <alignment horizontal="center" vertical="center"/>
      <protection hidden="1"/>
    </xf>
    <xf numFmtId="0" fontId="9" fillId="11" borderId="27" xfId="0" applyFont="1" applyFill="1" applyBorder="1" applyAlignment="1" applyProtection="1">
      <alignment horizontal="center" vertical="center"/>
      <protection hidden="1"/>
    </xf>
    <xf numFmtId="0" fontId="9" fillId="4" borderId="9" xfId="0" applyFont="1" applyFill="1" applyBorder="1" applyAlignment="1" applyProtection="1">
      <alignment horizontal="center" vertical="center"/>
      <protection hidden="1"/>
    </xf>
    <xf numFmtId="0" fontId="9" fillId="4" borderId="17" xfId="0" applyFont="1" applyFill="1" applyBorder="1" applyAlignment="1" applyProtection="1">
      <alignment horizontal="center" vertical="center"/>
      <protection hidden="1"/>
    </xf>
    <xf numFmtId="0" fontId="9" fillId="4" borderId="25" xfId="0" applyFont="1" applyFill="1" applyBorder="1" applyAlignment="1" applyProtection="1">
      <alignment horizontal="center" vertical="center"/>
      <protection hidden="1"/>
    </xf>
    <xf numFmtId="0" fontId="9" fillId="4" borderId="27" xfId="0" applyFont="1" applyFill="1" applyBorder="1" applyAlignment="1" applyProtection="1">
      <alignment horizontal="center" vertical="center"/>
      <protection hidden="1"/>
    </xf>
    <xf numFmtId="1" fontId="9" fillId="3" borderId="28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20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29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32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35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21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22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23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29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32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35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24" xfId="0" applyNumberFormat="1" applyFont="1" applyFill="1" applyBorder="1" applyAlignment="1" applyProtection="1">
      <alignment horizontal="center" vertical="center" wrapText="1"/>
      <protection hidden="1"/>
    </xf>
    <xf numFmtId="1" fontId="9" fillId="5" borderId="21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20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29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32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35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22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30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33" xfId="0" applyNumberFormat="1" applyFont="1" applyFill="1" applyBorder="1" applyAlignment="1" applyProtection="1">
      <alignment horizontal="center" vertical="center" wrapText="1"/>
      <protection hidden="1"/>
    </xf>
    <xf numFmtId="1" fontId="8" fillId="6" borderId="36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29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32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35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20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29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32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35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22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30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33" xfId="0" applyNumberFormat="1" applyFont="1" applyFill="1" applyBorder="1" applyAlignment="1" applyProtection="1">
      <alignment horizontal="center" vertical="center" wrapText="1"/>
      <protection hidden="1"/>
    </xf>
    <xf numFmtId="1" fontId="8" fillId="7" borderId="36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23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29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32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35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22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30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33" xfId="0" applyNumberFormat="1" applyFont="1" applyFill="1" applyBorder="1" applyAlignment="1" applyProtection="1">
      <alignment horizontal="center" vertical="center" wrapText="1"/>
      <protection hidden="1"/>
    </xf>
    <xf numFmtId="1" fontId="9" fillId="8" borderId="36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23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31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37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21" xfId="0" applyNumberFormat="1" applyFont="1" applyFill="1" applyBorder="1" applyAlignment="1" applyProtection="1">
      <alignment horizontal="center" vertical="center" wrapText="1"/>
      <protection hidden="1"/>
    </xf>
    <xf numFmtId="1" fontId="9" fillId="9" borderId="24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20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29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32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35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21" xfId="0" applyNumberFormat="1" applyFont="1" applyFill="1" applyBorder="1" applyAlignment="1" applyProtection="1">
      <alignment horizontal="center" vertical="center" wrapText="1"/>
      <protection hidden="1"/>
    </xf>
    <xf numFmtId="1" fontId="9" fillId="10" borderId="24" xfId="0" applyNumberFormat="1" applyFont="1" applyFill="1" applyBorder="1" applyAlignment="1" applyProtection="1">
      <alignment horizontal="center" vertical="center" wrapText="1"/>
      <protection hidden="1"/>
    </xf>
    <xf numFmtId="1" fontId="9" fillId="11" borderId="23" xfId="0" applyNumberFormat="1" applyFont="1" applyFill="1" applyBorder="1" applyAlignment="1" applyProtection="1">
      <alignment horizontal="center" vertical="center" wrapText="1"/>
      <protection hidden="1"/>
    </xf>
    <xf numFmtId="1" fontId="9" fillId="11" borderId="31" xfId="0" applyNumberFormat="1" applyFont="1" applyFill="1" applyBorder="1" applyAlignment="1" applyProtection="1">
      <alignment horizontal="center" vertical="center" wrapText="1"/>
      <protection hidden="1"/>
    </xf>
    <xf numFmtId="1" fontId="9" fillId="11" borderId="34" xfId="0" applyNumberFormat="1" applyFont="1" applyFill="1" applyBorder="1" applyAlignment="1" applyProtection="1">
      <alignment horizontal="center" vertical="center" wrapText="1"/>
      <protection hidden="1"/>
    </xf>
    <xf numFmtId="1" fontId="9" fillId="11" borderId="37" xfId="0" applyNumberFormat="1" applyFont="1" applyFill="1" applyBorder="1" applyAlignment="1" applyProtection="1">
      <alignment horizontal="center" vertical="center" wrapText="1"/>
      <protection hidden="1"/>
    </xf>
    <xf numFmtId="1" fontId="9" fillId="4" borderId="23" xfId="0" applyNumberFormat="1" applyFont="1" applyFill="1" applyBorder="1" applyAlignment="1" applyProtection="1">
      <alignment horizontal="center" vertical="center" wrapText="1"/>
      <protection hidden="1"/>
    </xf>
  </cellXfs>
  <cellStyles count="50">
    <cellStyle name="Comma 2" xfId="15" xr:uid="{76B82377-FD2A-48FB-B7B3-B24C755F9FB6}"/>
    <cellStyle name="Comma 2 2" xfId="22" xr:uid="{D80A2B71-82AD-46DC-9344-6F4FC64D078F}"/>
    <cellStyle name="Comma 2 2 2" xfId="24" xr:uid="{0DE141D9-02A8-418C-8953-F7DA80155B35}"/>
    <cellStyle name="Comma 2 2 2 2" xfId="28" xr:uid="{93F3ADA6-B2EA-4B0C-8147-220C46AE3411}"/>
    <cellStyle name="Comma 2 2 3" xfId="26" xr:uid="{B199E9B1-2280-4602-BC25-D7A02B4A40D4}"/>
    <cellStyle name="Comma 2 3" xfId="23" xr:uid="{7FADE555-3930-4776-9BEA-9188C051B071}"/>
    <cellStyle name="Comma 2 3 2" xfId="27" xr:uid="{C0524C20-FC32-47D6-8D71-B3665C716268}"/>
    <cellStyle name="Comma 2 4" xfId="21" xr:uid="{8748027B-A184-4569-869B-3F4D5AFC35FF}"/>
    <cellStyle name="Comma 2 5" xfId="25" xr:uid="{B62F72E4-D279-4167-A09F-D9346C4B564C}"/>
    <cellStyle name="Comma 2 6" xfId="38" xr:uid="{101EF2D4-07F4-41F3-8084-717C690C6C57}"/>
    <cellStyle name="Comma 3" xfId="29" xr:uid="{56870DB8-5DCE-40A2-ACD0-BCCBF2CE4E77}"/>
    <cellStyle name="Hyperlink 2" xfId="35" xr:uid="{76190346-BEFE-4E15-BD7F-E09F5F493F7E}"/>
    <cellStyle name="Normal" xfId="0" builtinId="0"/>
    <cellStyle name="Normal 10" xfId="13" xr:uid="{006211FC-EF76-48AA-BB8C-4CF1ED1A48D2}"/>
    <cellStyle name="Normal 2" xfId="3" xr:uid="{5F56FD79-76F9-40E1-8580-2A4AEE26067F}"/>
    <cellStyle name="Normal 2 2" xfId="2" xr:uid="{C095875D-ED77-4C7F-9DCA-074AC5AA7D1F}"/>
    <cellStyle name="Normal 2 2 2" xfId="39" xr:uid="{CDDE3920-9C26-4F30-8E81-94D110C3CFE4}"/>
    <cellStyle name="Normal 2 2 2 2" xfId="17" xr:uid="{FE97EA7D-B053-411E-939C-AFD32AD8E44A}"/>
    <cellStyle name="Normal 2 2 2 2 2" xfId="18" xr:uid="{58483BEF-C64C-4083-A918-7047AA6D9ADB}"/>
    <cellStyle name="Normal 2 2 2 2 2 2 2" xfId="20" xr:uid="{BE3E9F67-3483-41D8-8877-0607FA305C21}"/>
    <cellStyle name="Normal 2 2 2 2 2 2 2 4" xfId="40" xr:uid="{907AABCB-0E5D-4F58-85B1-2B680DEA2044}"/>
    <cellStyle name="Normal 2 2 2 2 2 2 2 4 4 3" xfId="41" xr:uid="{3B297238-F2B4-48CD-A8C2-1DFFF93E279B}"/>
    <cellStyle name="Normal 2 2 2 2 2 7 2 4" xfId="42" xr:uid="{07B61160-16D2-4AE6-8301-1DA5640752DC}"/>
    <cellStyle name="Normal 2 2 2 2 3" xfId="19" xr:uid="{4FF0B3A2-19E1-4611-8292-98373112AE88}"/>
    <cellStyle name="Normal 2 2 2 2 6" xfId="16" xr:uid="{2532DD27-3ADC-4BC2-B7D0-D08B58AE6F06}"/>
    <cellStyle name="Normal 2 2 2 2 6 2" xfId="43" xr:uid="{1DE2AAA4-A009-435D-B347-E934EFF1D195}"/>
    <cellStyle name="Normal 2 2 2 2 6 2 2" xfId="44" xr:uid="{DE210BCD-7C5F-4AAF-B037-E2CBA95A3862}"/>
    <cellStyle name="Normal 2 2 2 2 6 2 2 3" xfId="45" xr:uid="{C576DC45-BD56-4524-9F27-4E8504AC1E1B}"/>
    <cellStyle name="Normal 2 2 2 2 8 2" xfId="46" xr:uid="{E027DAB9-29C3-4237-B3EF-E7D307B6F2F4}"/>
    <cellStyle name="Normal 2 2 2 2 8 2 2" xfId="47" xr:uid="{5C9056B5-8C7B-4783-9B21-CDC2E12DDE18}"/>
    <cellStyle name="Normal 2 2 2 2 8 2 3" xfId="48" xr:uid="{00E7F33A-4AB3-4AF4-B14E-69990ABD8979}"/>
    <cellStyle name="Normal 2 2 2 2 8 2 4" xfId="49" xr:uid="{BA3ED18F-1DA5-43DD-9365-CA8725CBDEA7}"/>
    <cellStyle name="Normal 2 3" xfId="6" xr:uid="{5553CE6C-6D82-45C7-B179-A7FFF5B0F1FD}"/>
    <cellStyle name="Normal 2 4" xfId="11" xr:uid="{DEB7717A-BB2C-43A7-908A-E2C37F4CE7D0}"/>
    <cellStyle name="Normal 2 5" xfId="32" xr:uid="{106D915E-5BA6-470D-A43A-F0034A8B3ED1}"/>
    <cellStyle name="Normal 3 2" xfId="9" xr:uid="{8E143060-470C-41DD-87B9-6E6DBEA72404}"/>
    <cellStyle name="Normal 3 3" xfId="12" xr:uid="{AD066A3D-EDDB-4ADA-96FA-156365C04DD0}"/>
    <cellStyle name="Normal 4" xfId="36" xr:uid="{C9587BBA-CBAA-4E60-8E69-3EC300CDA769}"/>
    <cellStyle name="Normal 7 3" xfId="7" xr:uid="{689F4366-444B-4AAB-AFEF-2646CD9A5C2E}"/>
    <cellStyle name="Normal 7 3 3" xfId="31" xr:uid="{73BFCE3C-6D4B-4F66-BAF4-611225C2A02A}"/>
    <cellStyle name="Normal 8" xfId="8" xr:uid="{C1068F88-60A7-4D27-BE7C-1001C1D3A2D8}"/>
    <cellStyle name="Normal 8 2" xfId="37" xr:uid="{24692FD8-A72B-4E2C-A216-9B0F18E4213F}"/>
    <cellStyle name="Normal 8 3" xfId="30" xr:uid="{33F60721-A217-4475-9F72-64454F5DCD41}"/>
    <cellStyle name="Normal 9" xfId="10" xr:uid="{2C0A358D-BEA9-41D6-A269-B8EBFD01B950}"/>
    <cellStyle name="Percent" xfId="1" builtinId="5"/>
    <cellStyle name="Percent 2" xfId="4" xr:uid="{69CBA6B4-0AF4-45EE-8830-E738C3AAF6CA}"/>
    <cellStyle name="Percent 2 2" xfId="5" xr:uid="{D6399C26-2486-4414-9C7C-8EAD1D3ADC06}"/>
    <cellStyle name="Title 2" xfId="14" xr:uid="{9B674F94-AE19-4188-896B-869A738ADAFA}"/>
    <cellStyle name="一般_AppA DED Deliverable List by KCLO 2" xfId="33" xr:uid="{5066CE4B-2FF9-48C3-8EC2-F75FBD1DF3D1}"/>
    <cellStyle name="常规_Datasheet" xfId="34" xr:uid="{27C432EF-C67B-486F-B0B9-45F1BE7BEED0}"/>
  </cellStyles>
  <dxfs count="99"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numFmt numFmtId="3" formatCode="#,##0"/>
    </dxf>
    <dxf>
      <numFmt numFmtId="171" formatCode="\-"/>
    </dxf>
    <dxf>
      <numFmt numFmtId="2" formatCode="0.00"/>
    </dxf>
    <dxf>
      <numFmt numFmtId="171" formatCode="\-"/>
    </dxf>
    <dxf>
      <fill>
        <patternFill>
          <bgColor theme="0" tint="-4.9989318521683403E-2"/>
        </patternFill>
      </fill>
    </dxf>
    <dxf>
      <numFmt numFmtId="164" formatCode="0.0"/>
    </dxf>
    <dxf>
      <numFmt numFmtId="166" formatCode="0.000"/>
    </dxf>
    <dxf>
      <numFmt numFmtId="172" formatCode="\-\-"/>
    </dxf>
    <dxf>
      <numFmt numFmtId="172" formatCode="\-\-"/>
    </dxf>
    <dxf>
      <numFmt numFmtId="169" formatCode="#,##0.0"/>
    </dxf>
    <dxf>
      <numFmt numFmtId="2" formatCode="0.00"/>
    </dxf>
    <dxf>
      <numFmt numFmtId="3" formatCode="#,##0"/>
    </dxf>
    <dxf>
      <numFmt numFmtId="170" formatCode="#,##0.000"/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71" formatCode="\-"/>
    </dxf>
    <dxf>
      <numFmt numFmtId="3" formatCode="#,##0"/>
    </dxf>
    <dxf>
      <numFmt numFmtId="164" formatCode="0.0"/>
    </dxf>
    <dxf>
      <numFmt numFmtId="2" formatCode="0.00"/>
    </dxf>
    <dxf>
      <numFmt numFmtId="170" formatCode="#,##0.000"/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numFmt numFmtId="3" formatCode="#,##0"/>
    </dxf>
    <dxf>
      <numFmt numFmtId="171" formatCode="\-"/>
    </dxf>
    <dxf>
      <fill>
        <patternFill>
          <bgColor theme="0" tint="-4.9989318521683403E-2"/>
        </patternFill>
      </fill>
    </dxf>
    <dxf>
      <numFmt numFmtId="171" formatCode="\-"/>
    </dxf>
    <dxf>
      <numFmt numFmtId="164" formatCode="0.0"/>
    </dxf>
    <dxf>
      <numFmt numFmtId="166" formatCode="0.000"/>
    </dxf>
    <dxf>
      <numFmt numFmtId="172" formatCode="\-\-"/>
    </dxf>
    <dxf>
      <numFmt numFmtId="172" formatCode="\-\-"/>
    </dxf>
    <dxf>
      <numFmt numFmtId="169" formatCode="#,##0.0"/>
    </dxf>
    <dxf>
      <numFmt numFmtId="2" formatCode="0.00"/>
    </dxf>
    <dxf>
      <numFmt numFmtId="3" formatCode="#,##0"/>
    </dxf>
    <dxf>
      <numFmt numFmtId="170" formatCode="#,##0.000"/>
    </dxf>
    <dxf>
      <numFmt numFmtId="2" formatCode="0.00"/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3" formatCode="#,##0"/>
    </dxf>
    <dxf>
      <numFmt numFmtId="171" formatCode="\-"/>
    </dxf>
    <dxf>
      <numFmt numFmtId="170" formatCode="#,##0.000"/>
    </dxf>
    <dxf>
      <numFmt numFmtId="2" formatCode="0.00"/>
    </dxf>
    <dxf>
      <numFmt numFmtId="164" formatCode="0.0"/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numFmt numFmtId="3" formatCode="#,##0"/>
    </dxf>
    <dxf>
      <numFmt numFmtId="171" formatCode="\-"/>
    </dxf>
    <dxf>
      <fill>
        <patternFill>
          <bgColor theme="0" tint="-4.9989318521683403E-2"/>
        </patternFill>
      </fill>
    </dxf>
    <dxf>
      <numFmt numFmtId="171" formatCode="\-"/>
    </dxf>
    <dxf>
      <numFmt numFmtId="164" formatCode="0.0"/>
    </dxf>
    <dxf>
      <numFmt numFmtId="166" formatCode="0.000"/>
    </dxf>
    <dxf>
      <numFmt numFmtId="172" formatCode="\-\-"/>
    </dxf>
    <dxf>
      <numFmt numFmtId="172" formatCode="\-\-"/>
    </dxf>
    <dxf>
      <numFmt numFmtId="169" formatCode="#,##0.0"/>
    </dxf>
    <dxf>
      <numFmt numFmtId="2" formatCode="0.00"/>
    </dxf>
    <dxf>
      <numFmt numFmtId="3" formatCode="#,##0"/>
    </dxf>
    <dxf>
      <numFmt numFmtId="170" formatCode="#,##0.000"/>
    </dxf>
    <dxf>
      <numFmt numFmtId="2" formatCode="0.00"/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3" formatCode="#,##0"/>
    </dxf>
    <dxf>
      <numFmt numFmtId="171" formatCode="\-"/>
    </dxf>
    <dxf>
      <numFmt numFmtId="170" formatCode="#,##0.000"/>
    </dxf>
    <dxf>
      <numFmt numFmtId="2" formatCode="0.00"/>
    </dxf>
    <dxf>
      <numFmt numFmtId="164" formatCode="0.0"/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numFmt numFmtId="3" formatCode="#,##0"/>
    </dxf>
    <dxf>
      <numFmt numFmtId="171" formatCode="\-"/>
    </dxf>
    <dxf>
      <fill>
        <patternFill>
          <bgColor theme="0" tint="-4.9989318521683403E-2"/>
        </patternFill>
      </fill>
    </dxf>
    <dxf>
      <numFmt numFmtId="171" formatCode="\-"/>
    </dxf>
    <dxf>
      <numFmt numFmtId="164" formatCode="0.0"/>
    </dxf>
    <dxf>
      <numFmt numFmtId="166" formatCode="0.000"/>
    </dxf>
    <dxf>
      <numFmt numFmtId="172" formatCode="\-\-"/>
    </dxf>
    <dxf>
      <numFmt numFmtId="172" formatCode="\-\-"/>
    </dxf>
    <dxf>
      <numFmt numFmtId="169" formatCode="#,##0.0"/>
    </dxf>
    <dxf>
      <numFmt numFmtId="2" formatCode="0.00"/>
    </dxf>
    <dxf>
      <numFmt numFmtId="3" formatCode="#,##0"/>
    </dxf>
    <dxf>
      <numFmt numFmtId="170" formatCode="#,##0.000"/>
    </dxf>
    <dxf>
      <numFmt numFmtId="2" formatCode="0.00"/>
    </dxf>
    <dxf>
      <fill>
        <patternFill>
          <bgColor rgb="FFFFFF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3" formatCode="#,##0"/>
    </dxf>
    <dxf>
      <numFmt numFmtId="171" formatCode="\-"/>
    </dxf>
    <dxf>
      <numFmt numFmtId="170" formatCode="#,##0.000"/>
    </dxf>
    <dxf>
      <numFmt numFmtId="2" formatCode="0.00"/>
    </dxf>
    <dxf>
      <numFmt numFmtId="164" formatCode="0.0"/>
    </dxf>
    <dxf>
      <numFmt numFmtId="170" formatCode="#,##0.000"/>
    </dxf>
    <dxf>
      <numFmt numFmtId="2" formatCode="0.00"/>
    </dxf>
    <dxf>
      <numFmt numFmtId="164" formatCode="0.0"/>
    </dxf>
    <dxf>
      <numFmt numFmtId="3" formatCode="#,##0"/>
    </dxf>
    <dxf>
      <numFmt numFmtId="171" formatCode="\-"/>
    </dxf>
    <dxf>
      <numFmt numFmtId="171" formatCode="\-"/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23907</xdr:rowOff>
    </xdr:from>
    <xdr:to>
      <xdr:col>12</xdr:col>
      <xdr:colOff>451037</xdr:colOff>
      <xdr:row>7</xdr:row>
      <xdr:rowOff>143184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2DC6C-99CF-4E97-915D-BAA862FA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766857"/>
          <a:ext cx="3308537" cy="662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23907</xdr:rowOff>
    </xdr:from>
    <xdr:to>
      <xdr:col>12</xdr:col>
      <xdr:colOff>451037</xdr:colOff>
      <xdr:row>7</xdr:row>
      <xdr:rowOff>143184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6E0FD-A4AF-435B-BA92-86CEE54C8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766857"/>
          <a:ext cx="3308537" cy="6622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23907</xdr:rowOff>
    </xdr:from>
    <xdr:to>
      <xdr:col>12</xdr:col>
      <xdr:colOff>451037</xdr:colOff>
      <xdr:row>7</xdr:row>
      <xdr:rowOff>143184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7FB1DD-5412-4873-8F0E-F486650D3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2325" y="766857"/>
          <a:ext cx="3308537" cy="6622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23907</xdr:rowOff>
    </xdr:from>
    <xdr:to>
      <xdr:col>12</xdr:col>
      <xdr:colOff>451037</xdr:colOff>
      <xdr:row>7</xdr:row>
      <xdr:rowOff>143184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37718-516D-4163-B1FF-6AEB6515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0" y="766857"/>
          <a:ext cx="3435537" cy="6717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untuk%20orica\20250101-Daily%20Production%20Report%20January.xlsx" TargetMode="External"/><Relationship Id="rId1" Type="http://schemas.openxmlformats.org/officeDocument/2006/relationships/externalLinkPath" Target="https://orica.sharepoint.com/Users/LENOVO/Documents/untuk%20orica/20250101-Daily%20Production%20Report%20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untuk%20orica\20250201-Daily%20Production%20Report%20Februari.xlsx" TargetMode="External"/><Relationship Id="rId1" Type="http://schemas.openxmlformats.org/officeDocument/2006/relationships/externalLinkPath" Target="https://orica.sharepoint.com/Users/LENOVO/Documents/untuk%20orica/20250201-Daily%20Production%20Report%20Februar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untuk%20orica\20250301-Daily%20Process%20Report.r1.xlsx" TargetMode="External"/><Relationship Id="rId1" Type="http://schemas.openxmlformats.org/officeDocument/2006/relationships/externalLinkPath" Target="https://orica.sharepoint.com/Users/LENOVO/Documents/untuk%20orica/20250301-Daily%20Process%20Report.r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mapersada.sharepoint.com/sites/SumbawaJutaraya/Shared%20Documents/SITE/OPERATION%20&amp;%20PROCESS/Metallurgy/Process%20Report/2025/04.%20April/02.%20Performance/20250401-Daily%20Process%20Report.r1.xlsx" TargetMode="External"/><Relationship Id="rId1" Type="http://schemas.openxmlformats.org/officeDocument/2006/relationships/externalLinkPath" Target="https://pamapersada.sharepoint.com/sites/SumbawaJutaraya/Shared%20Documents/SITE/OPERATION%20&amp;%20PROCESS/Metallurgy/Process%20Report/2025/04.%20April/02.%20Performance/20250401-Daily%20Process%20Report.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"/>
      <sheetName val="Sheet1"/>
      <sheetName val="Flow"/>
      <sheetName val="Dash"/>
      <sheetName val="Abb"/>
      <sheetName val="SUM"/>
      <sheetName val="Monthly"/>
      <sheetName val="ROM"/>
      <sheetName val="120"/>
      <sheetName val="170"/>
      <sheetName val="180"/>
      <sheetName val="180ELSUM"/>
      <sheetName val="180.EWSUM"/>
      <sheetName val="192"/>
      <sheetName val="195"/>
      <sheetName val="195B (2)"/>
      <sheetName val="211"/>
      <sheetName val="212"/>
      <sheetName val="222"/>
      <sheetName val="222.P"/>
      <sheetName val="Ball"/>
      <sheetName val="GIC"/>
      <sheetName val="Crush"/>
      <sheetName val="Monthly.P1"/>
      <sheetName val="ROM.P"/>
      <sheetName val="120.P1"/>
      <sheetName val="120.P2"/>
      <sheetName val="170.P1"/>
      <sheetName val="170.P2"/>
      <sheetName val="170.P3"/>
      <sheetName val="170.P4"/>
      <sheetName val="180.P"/>
      <sheetName val="180EL1"/>
      <sheetName val="180EL2"/>
      <sheetName val="180EL3"/>
      <sheetName val="180.EW1"/>
      <sheetName val="180.EW2"/>
      <sheetName val="180.EW3"/>
      <sheetName val="192.P"/>
      <sheetName val="195.P"/>
      <sheetName val="195B"/>
      <sheetName val="211.P"/>
      <sheetName val="212.P"/>
      <sheetName val="Ball.P"/>
    </sheetNames>
    <sheetDataSet>
      <sheetData sheetId="0"/>
      <sheetData sheetId="1"/>
      <sheetData sheetId="2"/>
      <sheetData sheetId="3">
        <row r="3">
          <cell r="E3" t="str">
            <v>January</v>
          </cell>
          <cell r="F3">
            <v>2025</v>
          </cell>
        </row>
      </sheetData>
      <sheetData sheetId="4">
        <row r="3">
          <cell r="C3" t="str">
            <v>January</v>
          </cell>
          <cell r="D3">
            <v>1</v>
          </cell>
        </row>
        <row r="4">
          <cell r="C4" t="str">
            <v>February</v>
          </cell>
          <cell r="D4">
            <v>2</v>
          </cell>
        </row>
        <row r="5">
          <cell r="C5" t="str">
            <v>March</v>
          </cell>
          <cell r="D5">
            <v>3</v>
          </cell>
        </row>
        <row r="6">
          <cell r="C6" t="str">
            <v>April</v>
          </cell>
          <cell r="D6">
            <v>4</v>
          </cell>
        </row>
        <row r="7">
          <cell r="C7" t="str">
            <v>May</v>
          </cell>
          <cell r="D7">
            <v>5</v>
          </cell>
        </row>
        <row r="8">
          <cell r="C8" t="str">
            <v>June</v>
          </cell>
          <cell r="D8">
            <v>6</v>
          </cell>
        </row>
        <row r="9">
          <cell r="C9" t="str">
            <v>July</v>
          </cell>
          <cell r="D9">
            <v>7</v>
          </cell>
        </row>
        <row r="10">
          <cell r="C10" t="str">
            <v>August</v>
          </cell>
          <cell r="D10">
            <v>8</v>
          </cell>
        </row>
        <row r="11">
          <cell r="C11" t="str">
            <v>September</v>
          </cell>
          <cell r="D11">
            <v>9</v>
          </cell>
        </row>
        <row r="12">
          <cell r="C12" t="str">
            <v>October</v>
          </cell>
          <cell r="D12">
            <v>10</v>
          </cell>
        </row>
        <row r="13">
          <cell r="C13" t="str">
            <v>November</v>
          </cell>
          <cell r="D13">
            <v>11</v>
          </cell>
        </row>
        <row r="14">
          <cell r="C14" t="str">
            <v>December</v>
          </cell>
          <cell r="D14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"/>
      <sheetName val="Sheet1"/>
      <sheetName val="Flow"/>
      <sheetName val="Dash"/>
      <sheetName val="Abb"/>
      <sheetName val="SUM"/>
      <sheetName val="Monthly"/>
      <sheetName val="ROM"/>
      <sheetName val="120"/>
      <sheetName val="170"/>
      <sheetName val="180"/>
      <sheetName val="180ELSUM"/>
      <sheetName val="180.EWSUM"/>
      <sheetName val="192"/>
      <sheetName val="195"/>
      <sheetName val="195B (2)"/>
      <sheetName val="211"/>
      <sheetName val="212"/>
      <sheetName val="222"/>
      <sheetName val="Ball"/>
      <sheetName val="222.P"/>
      <sheetName val="Monthly.P1"/>
      <sheetName val="GIC"/>
      <sheetName val="Crush"/>
      <sheetName val="ROM.P"/>
      <sheetName val="120.P1"/>
      <sheetName val="120.P2"/>
      <sheetName val="170.P1"/>
      <sheetName val="170.P2"/>
      <sheetName val="170.P3"/>
      <sheetName val="170.P4"/>
      <sheetName val="180.P"/>
      <sheetName val="180EL1"/>
      <sheetName val="180EL2"/>
      <sheetName val="180EL3"/>
      <sheetName val="180.EW1"/>
      <sheetName val="180.EW2"/>
      <sheetName val="180.EW3"/>
      <sheetName val="192.P"/>
      <sheetName val="195.P"/>
      <sheetName val="195B"/>
      <sheetName val="211.P"/>
      <sheetName val="212.P"/>
      <sheetName val="Ball.P"/>
    </sheetNames>
    <sheetDataSet>
      <sheetData sheetId="0"/>
      <sheetData sheetId="1"/>
      <sheetData sheetId="2"/>
      <sheetData sheetId="3">
        <row r="3">
          <cell r="E3" t="str">
            <v>February</v>
          </cell>
          <cell r="F3">
            <v>2025</v>
          </cell>
        </row>
      </sheetData>
      <sheetData sheetId="4">
        <row r="3">
          <cell r="C3" t="str">
            <v>January</v>
          </cell>
          <cell r="D3">
            <v>1</v>
          </cell>
        </row>
        <row r="4">
          <cell r="C4" t="str">
            <v>February</v>
          </cell>
          <cell r="D4">
            <v>2</v>
          </cell>
        </row>
        <row r="5">
          <cell r="C5" t="str">
            <v>March</v>
          </cell>
          <cell r="D5">
            <v>3</v>
          </cell>
        </row>
        <row r="6">
          <cell r="C6" t="str">
            <v>April</v>
          </cell>
          <cell r="D6">
            <v>4</v>
          </cell>
        </row>
        <row r="7">
          <cell r="C7" t="str">
            <v>May</v>
          </cell>
          <cell r="D7">
            <v>5</v>
          </cell>
        </row>
        <row r="8">
          <cell r="C8" t="str">
            <v>June</v>
          </cell>
          <cell r="D8">
            <v>6</v>
          </cell>
        </row>
        <row r="9">
          <cell r="C9" t="str">
            <v>July</v>
          </cell>
          <cell r="D9">
            <v>7</v>
          </cell>
        </row>
        <row r="10">
          <cell r="C10" t="str">
            <v>August</v>
          </cell>
          <cell r="D10">
            <v>8</v>
          </cell>
        </row>
        <row r="11">
          <cell r="C11" t="str">
            <v>September</v>
          </cell>
          <cell r="D11">
            <v>9</v>
          </cell>
        </row>
        <row r="12">
          <cell r="C12" t="str">
            <v>October</v>
          </cell>
          <cell r="D12">
            <v>10</v>
          </cell>
        </row>
        <row r="13">
          <cell r="C13" t="str">
            <v>November</v>
          </cell>
          <cell r="D13">
            <v>11</v>
          </cell>
        </row>
        <row r="14">
          <cell r="C14" t="str">
            <v>December</v>
          </cell>
          <cell r="D14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"/>
      <sheetName val="Sheet4"/>
      <sheetName val="Monthly."/>
      <sheetName val="Monthly"/>
      <sheetName val="All"/>
      <sheetName val="ROM"/>
      <sheetName val="120"/>
      <sheetName val="170"/>
      <sheetName val="180"/>
      <sheetName val="192"/>
      <sheetName val="195"/>
      <sheetName val="211"/>
      <sheetName val="212"/>
      <sheetName val="Ball"/>
      <sheetName val="Abb"/>
      <sheetName val="Monthly.P1"/>
      <sheetName val="ROM.P"/>
      <sheetName val="120.P1"/>
      <sheetName val="120.P2"/>
      <sheetName val="120.P3"/>
      <sheetName val="120.P4"/>
      <sheetName val="Code"/>
      <sheetName val="170.P1"/>
      <sheetName val="170.P2"/>
      <sheetName val="180.P"/>
      <sheetName val="180EL1"/>
      <sheetName val="180EL2"/>
      <sheetName val="180EW1"/>
      <sheetName val="192.P"/>
      <sheetName val="195.P"/>
      <sheetName val="195B"/>
      <sheetName val="211.P"/>
      <sheetName val="212.P"/>
      <sheetName val="Ball.P"/>
    </sheetNames>
    <sheetDataSet>
      <sheetData sheetId="0">
        <row r="3">
          <cell r="E3" t="str">
            <v>March</v>
          </cell>
          <cell r="F3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January</v>
          </cell>
          <cell r="D3">
            <v>1</v>
          </cell>
        </row>
        <row r="4">
          <cell r="C4" t="str">
            <v>February</v>
          </cell>
          <cell r="D4">
            <v>2</v>
          </cell>
        </row>
        <row r="5">
          <cell r="C5" t="str">
            <v>March</v>
          </cell>
          <cell r="D5">
            <v>3</v>
          </cell>
        </row>
        <row r="6">
          <cell r="C6" t="str">
            <v>April</v>
          </cell>
          <cell r="D6">
            <v>4</v>
          </cell>
        </row>
        <row r="7">
          <cell r="C7" t="str">
            <v>May</v>
          </cell>
          <cell r="D7">
            <v>5</v>
          </cell>
        </row>
        <row r="8">
          <cell r="C8" t="str">
            <v>June</v>
          </cell>
          <cell r="D8">
            <v>6</v>
          </cell>
        </row>
        <row r="9">
          <cell r="C9" t="str">
            <v>July</v>
          </cell>
          <cell r="D9">
            <v>7</v>
          </cell>
        </row>
        <row r="10">
          <cell r="C10" t="str">
            <v>August</v>
          </cell>
          <cell r="D10">
            <v>8</v>
          </cell>
        </row>
        <row r="11">
          <cell r="C11" t="str">
            <v>September</v>
          </cell>
          <cell r="D11">
            <v>9</v>
          </cell>
        </row>
        <row r="12">
          <cell r="C12" t="str">
            <v>October</v>
          </cell>
          <cell r="D12">
            <v>10</v>
          </cell>
        </row>
        <row r="13">
          <cell r="C13" t="str">
            <v>November</v>
          </cell>
          <cell r="D13">
            <v>11</v>
          </cell>
        </row>
        <row r="14">
          <cell r="C14" t="str">
            <v>December</v>
          </cell>
          <cell r="D14">
            <v>12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"/>
      <sheetName val="Sheet4"/>
      <sheetName val="Monthly."/>
      <sheetName val="Monthly"/>
      <sheetName val="All"/>
      <sheetName val="ROM"/>
      <sheetName val="120"/>
      <sheetName val="170"/>
      <sheetName val="180"/>
      <sheetName val="192"/>
      <sheetName val="195"/>
      <sheetName val="211"/>
      <sheetName val="212"/>
      <sheetName val="Ball"/>
      <sheetName val="Abb"/>
      <sheetName val="Monthly.P1"/>
      <sheetName val="ROM.P"/>
      <sheetName val="120.P1"/>
      <sheetName val="120.P2"/>
      <sheetName val="120.P3"/>
      <sheetName val="120.P4"/>
      <sheetName val="Code"/>
      <sheetName val="170.P1"/>
      <sheetName val="170.P2"/>
      <sheetName val="180.P"/>
      <sheetName val="180EL1"/>
      <sheetName val="180EL2"/>
      <sheetName val="180EW1"/>
      <sheetName val="192.P"/>
      <sheetName val="195.P"/>
      <sheetName val="195B"/>
      <sheetName val="211.P"/>
      <sheetName val="212.P"/>
      <sheetName val="Ball.P"/>
    </sheetNames>
    <sheetDataSet>
      <sheetData sheetId="0">
        <row r="3">
          <cell r="E3" t="str">
            <v>April</v>
          </cell>
          <cell r="F3">
            <v>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January</v>
          </cell>
          <cell r="D3">
            <v>1</v>
          </cell>
        </row>
        <row r="4">
          <cell r="C4" t="str">
            <v>February</v>
          </cell>
          <cell r="D4">
            <v>2</v>
          </cell>
        </row>
        <row r="5">
          <cell r="C5" t="str">
            <v>March</v>
          </cell>
          <cell r="D5">
            <v>3</v>
          </cell>
        </row>
        <row r="6">
          <cell r="C6" t="str">
            <v>April</v>
          </cell>
          <cell r="D6">
            <v>4</v>
          </cell>
        </row>
        <row r="7">
          <cell r="C7" t="str">
            <v>May</v>
          </cell>
          <cell r="D7">
            <v>5</v>
          </cell>
        </row>
        <row r="8">
          <cell r="C8" t="str">
            <v>June</v>
          </cell>
          <cell r="D8">
            <v>6</v>
          </cell>
        </row>
        <row r="9">
          <cell r="C9" t="str">
            <v>July</v>
          </cell>
          <cell r="D9">
            <v>7</v>
          </cell>
        </row>
        <row r="10">
          <cell r="C10" t="str">
            <v>August</v>
          </cell>
          <cell r="D10">
            <v>8</v>
          </cell>
        </row>
        <row r="11">
          <cell r="C11" t="str">
            <v>September</v>
          </cell>
          <cell r="D11">
            <v>9</v>
          </cell>
        </row>
        <row r="12">
          <cell r="C12" t="str">
            <v>October</v>
          </cell>
          <cell r="D12">
            <v>10</v>
          </cell>
        </row>
        <row r="13">
          <cell r="C13" t="str">
            <v>November</v>
          </cell>
          <cell r="D13">
            <v>11</v>
          </cell>
        </row>
        <row r="14">
          <cell r="C14" t="str">
            <v>December</v>
          </cell>
          <cell r="D14">
            <v>12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A83-7013-4BD4-8AFB-BF96D5959293}">
  <dimension ref="B2:O118"/>
  <sheetViews>
    <sheetView tabSelected="1" zoomScale="85" zoomScaleNormal="85" workbookViewId="0">
      <pane xSplit="2" ySplit="6" topLeftCell="C7" activePane="bottomRight" state="frozen"/>
      <selection pane="topRight" activeCell="B1" sqref="B1"/>
      <selection pane="bottomLeft" activeCell="A7" sqref="A7"/>
      <selection pane="bottomRight" activeCell="K52" sqref="K52"/>
    </sheetView>
  </sheetViews>
  <sheetFormatPr defaultRowHeight="15" x14ac:dyDescent="0.25"/>
  <cols>
    <col min="3" max="3" width="9.140625" style="92"/>
    <col min="4" max="4" width="9.140625" style="98"/>
    <col min="5" max="6" width="9.140625" style="84"/>
    <col min="7" max="8" width="9.140625" style="92"/>
    <col min="9" max="9" width="9.140625" style="98"/>
    <col min="10" max="11" width="9.140625" style="84"/>
    <col min="12" max="14" width="9.140625" style="98"/>
  </cols>
  <sheetData>
    <row r="2" spans="2:15" x14ac:dyDescent="0.25">
      <c r="B2" s="116" t="s">
        <v>0</v>
      </c>
      <c r="C2" s="118" t="s">
        <v>1</v>
      </c>
      <c r="D2" s="119"/>
      <c r="E2" s="119"/>
      <c r="F2" s="119"/>
      <c r="G2" s="118" t="s">
        <v>2</v>
      </c>
      <c r="H2" s="119"/>
      <c r="I2" s="119"/>
      <c r="J2" s="119"/>
      <c r="K2" s="119"/>
      <c r="L2" s="119"/>
      <c r="M2" s="119"/>
      <c r="N2" s="120"/>
    </row>
    <row r="3" spans="2:15" x14ac:dyDescent="0.25">
      <c r="B3" s="117"/>
      <c r="C3" s="115" t="s">
        <v>3</v>
      </c>
      <c r="D3" s="115"/>
      <c r="E3" s="115"/>
      <c r="F3" s="115"/>
      <c r="G3" s="121" t="s">
        <v>4</v>
      </c>
      <c r="H3" s="122"/>
      <c r="I3" s="122"/>
      <c r="J3" s="122"/>
      <c r="K3" s="122"/>
      <c r="L3" s="122"/>
      <c r="M3" s="122"/>
      <c r="N3" s="123"/>
    </row>
    <row r="4" spans="2:15" x14ac:dyDescent="0.25">
      <c r="B4" s="117"/>
      <c r="C4" s="83" t="s">
        <v>5</v>
      </c>
      <c r="D4" s="115" t="s">
        <v>6</v>
      </c>
      <c r="E4" s="115"/>
      <c r="F4" s="115"/>
      <c r="G4" s="115" t="s">
        <v>5</v>
      </c>
      <c r="H4" s="124" t="s">
        <v>7</v>
      </c>
      <c r="I4" s="115" t="s">
        <v>8</v>
      </c>
      <c r="J4" s="115"/>
      <c r="K4" s="115"/>
      <c r="L4" s="115" t="s">
        <v>7</v>
      </c>
      <c r="M4" s="115"/>
      <c r="N4" s="125"/>
      <c r="O4" s="114"/>
    </row>
    <row r="5" spans="2:15" x14ac:dyDescent="0.25">
      <c r="B5" s="117"/>
      <c r="C5" s="83" t="s">
        <v>9</v>
      </c>
      <c r="D5" s="95" t="s">
        <v>10</v>
      </c>
      <c r="E5" s="93" t="s">
        <v>11</v>
      </c>
      <c r="F5" s="93" t="s">
        <v>12</v>
      </c>
      <c r="G5" s="115"/>
      <c r="H5" s="124"/>
      <c r="I5" s="95" t="s">
        <v>10</v>
      </c>
      <c r="J5" s="93" t="s">
        <v>11</v>
      </c>
      <c r="K5" s="93" t="s">
        <v>12</v>
      </c>
      <c r="L5" s="95" t="s">
        <v>10</v>
      </c>
      <c r="M5" s="95" t="s">
        <v>11</v>
      </c>
      <c r="N5" s="99" t="s">
        <v>12</v>
      </c>
    </row>
    <row r="6" spans="2:15" ht="16.5" x14ac:dyDescent="0.25">
      <c r="B6" s="117"/>
      <c r="C6" s="88" t="s">
        <v>13</v>
      </c>
      <c r="D6" s="96" t="s">
        <v>14</v>
      </c>
      <c r="E6" s="94" t="s">
        <v>14</v>
      </c>
      <c r="F6" s="94" t="s">
        <v>14</v>
      </c>
      <c r="G6" s="88" t="s">
        <v>15</v>
      </c>
      <c r="H6" s="88" t="s">
        <v>16</v>
      </c>
      <c r="I6" s="96" t="s">
        <v>14</v>
      </c>
      <c r="J6" s="94" t="s">
        <v>14</v>
      </c>
      <c r="K6" s="94" t="s">
        <v>14</v>
      </c>
      <c r="L6" s="96" t="s">
        <v>14</v>
      </c>
      <c r="M6" s="96" t="s">
        <v>14</v>
      </c>
      <c r="N6" s="105" t="s">
        <v>14</v>
      </c>
    </row>
    <row r="7" spans="2:15" x14ac:dyDescent="0.25">
      <c r="B7" s="110">
        <v>45658</v>
      </c>
      <c r="C7" s="91">
        <v>774.80619999999999</v>
      </c>
      <c r="D7" s="111">
        <v>0.6</v>
      </c>
      <c r="E7" s="112">
        <v>17</v>
      </c>
      <c r="F7" s="112">
        <v>58</v>
      </c>
      <c r="G7" s="91">
        <v>457.5</v>
      </c>
      <c r="H7" s="91">
        <v>860</v>
      </c>
      <c r="I7" s="111">
        <v>0.04</v>
      </c>
      <c r="J7" s="112">
        <v>11.1</v>
      </c>
      <c r="K7" s="112">
        <v>58.9</v>
      </c>
      <c r="L7" s="111">
        <v>0.01</v>
      </c>
      <c r="M7" s="111">
        <v>0.78100000000000003</v>
      </c>
      <c r="N7" s="113">
        <v>1.61</v>
      </c>
    </row>
    <row r="8" spans="2:15" x14ac:dyDescent="0.25">
      <c r="B8" s="100">
        <v>45659</v>
      </c>
      <c r="C8" s="86">
        <v>1199.8416</v>
      </c>
      <c r="D8" s="97">
        <v>0.53</v>
      </c>
      <c r="E8" s="89">
        <v>10</v>
      </c>
      <c r="F8" s="89">
        <v>71</v>
      </c>
      <c r="G8" s="86">
        <v>1356.2</v>
      </c>
      <c r="H8" s="86">
        <v>2439.6999999999998</v>
      </c>
      <c r="I8" s="97">
        <v>0.03</v>
      </c>
      <c r="J8" s="89">
        <v>11.1</v>
      </c>
      <c r="K8" s="89">
        <v>62.8</v>
      </c>
      <c r="L8" s="97">
        <v>0.01</v>
      </c>
      <c r="M8" s="97">
        <v>0.872</v>
      </c>
      <c r="N8" s="101">
        <v>1.81</v>
      </c>
    </row>
    <row r="9" spans="2:15" x14ac:dyDescent="0.25">
      <c r="B9" s="100">
        <v>45660</v>
      </c>
      <c r="C9" s="86">
        <v>780.58720000000017</v>
      </c>
      <c r="D9" s="97">
        <v>0.49</v>
      </c>
      <c r="E9" s="89">
        <v>22</v>
      </c>
      <c r="F9" s="89">
        <v>79</v>
      </c>
      <c r="G9" s="86">
        <v>830.7</v>
      </c>
      <c r="H9" s="86">
        <v>1462.1</v>
      </c>
      <c r="I9" s="97">
        <v>0.04</v>
      </c>
      <c r="J9" s="89">
        <v>10.6</v>
      </c>
      <c r="K9" s="89">
        <v>63.3</v>
      </c>
      <c r="L9" s="97">
        <v>0.01</v>
      </c>
      <c r="M9" s="97">
        <v>0.68100000000000005</v>
      </c>
      <c r="N9" s="101">
        <v>1.42</v>
      </c>
    </row>
    <row r="10" spans="2:15" x14ac:dyDescent="0.25">
      <c r="B10" s="100">
        <v>45661</v>
      </c>
      <c r="C10" s="86">
        <v>1121.3455000000001</v>
      </c>
      <c r="D10" s="97">
        <v>0.4</v>
      </c>
      <c r="E10" s="89">
        <v>14.5</v>
      </c>
      <c r="F10" s="89">
        <v>65</v>
      </c>
      <c r="G10" s="86">
        <v>1013.5</v>
      </c>
      <c r="H10" s="86">
        <v>2084.1</v>
      </c>
      <c r="I10" s="97">
        <v>0.02</v>
      </c>
      <c r="J10" s="89">
        <v>9.6</v>
      </c>
      <c r="K10" s="89">
        <v>67.2</v>
      </c>
      <c r="L10" s="97">
        <v>0.01</v>
      </c>
      <c r="M10" s="97">
        <v>0.61099999999999999</v>
      </c>
      <c r="N10" s="101">
        <v>1.8</v>
      </c>
    </row>
    <row r="11" spans="2:15" x14ac:dyDescent="0.25">
      <c r="B11" s="100">
        <v>45662</v>
      </c>
      <c r="C11" s="86">
        <v>223.88130000000001</v>
      </c>
      <c r="D11" s="97">
        <v>0.31</v>
      </c>
      <c r="E11" s="89">
        <v>13</v>
      </c>
      <c r="F11" s="89">
        <v>48</v>
      </c>
      <c r="G11" s="86">
        <v>165.7</v>
      </c>
      <c r="H11" s="86">
        <v>311.39999999999998</v>
      </c>
      <c r="I11" s="97">
        <v>0.04</v>
      </c>
      <c r="J11" s="89">
        <v>11</v>
      </c>
      <c r="K11" s="89">
        <v>67.099999999999994</v>
      </c>
      <c r="L11" s="97">
        <v>0.01</v>
      </c>
      <c r="M11" s="97">
        <v>0.48</v>
      </c>
      <c r="N11" s="101">
        <v>1.72</v>
      </c>
    </row>
    <row r="12" spans="2:15" x14ac:dyDescent="0.25">
      <c r="B12" s="100">
        <v>45663</v>
      </c>
      <c r="C12" s="86">
        <v>1090.8870000000002</v>
      </c>
      <c r="D12" s="97">
        <v>0.32</v>
      </c>
      <c r="E12" s="89">
        <v>12</v>
      </c>
      <c r="F12" s="89">
        <v>42</v>
      </c>
      <c r="G12" s="86">
        <v>1313.9452166634533</v>
      </c>
      <c r="H12" s="86">
        <v>2701.9437052485332</v>
      </c>
      <c r="I12" s="97">
        <v>3.977893543985267E-2</v>
      </c>
      <c r="J12" s="89">
        <v>12.195946811187927</v>
      </c>
      <c r="K12" s="89">
        <v>64.517247398224214</v>
      </c>
      <c r="L12" s="97">
        <v>9.9715833999996437E-3</v>
      </c>
      <c r="M12" s="97">
        <v>0.53078552743191865</v>
      </c>
      <c r="N12" s="101">
        <v>1.6170136837931197</v>
      </c>
    </row>
    <row r="13" spans="2:15" x14ac:dyDescent="0.25">
      <c r="B13" s="100">
        <v>45664</v>
      </c>
      <c r="C13" s="86">
        <v>1098.9388000000001</v>
      </c>
      <c r="D13" s="97">
        <v>0.37</v>
      </c>
      <c r="E13" s="89">
        <v>12.5</v>
      </c>
      <c r="F13" s="89">
        <v>48</v>
      </c>
      <c r="G13" s="86">
        <v>882</v>
      </c>
      <c r="H13" s="86">
        <v>1943.724049824337</v>
      </c>
      <c r="I13" s="97">
        <v>0.04</v>
      </c>
      <c r="J13" s="89">
        <v>12.4</v>
      </c>
      <c r="K13" s="89">
        <v>50.1</v>
      </c>
      <c r="L13" s="97">
        <v>0.01</v>
      </c>
      <c r="M13" s="97">
        <v>0.51100000000000001</v>
      </c>
      <c r="N13" s="101">
        <v>1.71</v>
      </c>
    </row>
    <row r="14" spans="2:15" x14ac:dyDescent="0.25">
      <c r="B14" s="100">
        <v>45665</v>
      </c>
      <c r="C14" s="86">
        <v>1103.2239999999999</v>
      </c>
      <c r="D14" s="97">
        <v>0.49</v>
      </c>
      <c r="E14" s="89">
        <v>19</v>
      </c>
      <c r="F14" s="89">
        <v>48</v>
      </c>
      <c r="G14" s="86">
        <v>1135.4000000000001</v>
      </c>
      <c r="H14" s="86">
        <v>2231.6</v>
      </c>
      <c r="I14" s="97">
        <v>0.03</v>
      </c>
      <c r="J14" s="89">
        <v>12.3</v>
      </c>
      <c r="K14" s="89">
        <v>53.7</v>
      </c>
      <c r="L14" s="97">
        <v>0.01</v>
      </c>
      <c r="M14" s="97">
        <v>0.43099999999999999</v>
      </c>
      <c r="N14" s="101">
        <v>1.75</v>
      </c>
    </row>
    <row r="15" spans="2:15" x14ac:dyDescent="0.25">
      <c r="B15" s="100">
        <v>45666</v>
      </c>
      <c r="C15" s="86">
        <v>933.81540000000007</v>
      </c>
      <c r="D15" s="97">
        <v>0.40500000000000003</v>
      </c>
      <c r="E15" s="89">
        <v>15</v>
      </c>
      <c r="F15" s="89">
        <v>47.5</v>
      </c>
      <c r="G15" s="86">
        <v>926.55883801865173</v>
      </c>
      <c r="H15" s="86">
        <v>2018.2469739020137</v>
      </c>
      <c r="I15" s="97">
        <v>2.9957851635905877E-2</v>
      </c>
      <c r="J15" s="89">
        <v>12.047977821443002</v>
      </c>
      <c r="K15" s="89">
        <v>47.625922222126214</v>
      </c>
      <c r="L15" s="97">
        <v>9.9897964298744975E-3</v>
      </c>
      <c r="M15" s="97">
        <v>0.33007873314097286</v>
      </c>
      <c r="N15" s="101">
        <v>0.70959131326139691</v>
      </c>
    </row>
    <row r="16" spans="2:15" x14ac:dyDescent="0.25">
      <c r="B16" s="100">
        <v>45667</v>
      </c>
      <c r="C16" s="86">
        <v>987.98559999999998</v>
      </c>
      <c r="D16" s="97">
        <v>0.45</v>
      </c>
      <c r="E16" s="89">
        <v>19.5</v>
      </c>
      <c r="F16" s="89">
        <v>51.5</v>
      </c>
      <c r="G16" s="86">
        <v>984.1</v>
      </c>
      <c r="H16" s="86">
        <v>1891.3</v>
      </c>
      <c r="I16" s="97">
        <v>0.04</v>
      </c>
      <c r="J16" s="89">
        <v>14.6</v>
      </c>
      <c r="K16" s="89">
        <v>46</v>
      </c>
      <c r="L16" s="97">
        <v>0.01</v>
      </c>
      <c r="M16" s="97">
        <v>0.51</v>
      </c>
      <c r="N16" s="101">
        <v>0.56000000000000005</v>
      </c>
    </row>
    <row r="17" spans="2:14" x14ac:dyDescent="0.25">
      <c r="B17" s="100">
        <v>45668</v>
      </c>
      <c r="C17" s="86">
        <v>750.0071999999999</v>
      </c>
      <c r="D17" s="97">
        <v>0.52</v>
      </c>
      <c r="E17" s="89">
        <v>43</v>
      </c>
      <c r="F17" s="89">
        <v>55</v>
      </c>
      <c r="G17" s="86">
        <v>926.16054215643146</v>
      </c>
      <c r="H17" s="86">
        <v>2058.3196685443404</v>
      </c>
      <c r="I17" s="97">
        <v>4.9903709606423326E-2</v>
      </c>
      <c r="J17" s="89">
        <v>14.105595460876756</v>
      </c>
      <c r="K17" s="89">
        <v>49.795396284025905</v>
      </c>
      <c r="L17" s="97">
        <v>9.9914345364924741E-3</v>
      </c>
      <c r="M17" s="97">
        <v>0.59041625828907496</v>
      </c>
      <c r="N17" s="101">
        <v>1.2366456613634913</v>
      </c>
    </row>
    <row r="18" spans="2:14" x14ac:dyDescent="0.25">
      <c r="B18" s="100">
        <v>45669</v>
      </c>
      <c r="C18" s="86">
        <v>797.98400000000004</v>
      </c>
      <c r="D18" s="97">
        <v>0.59</v>
      </c>
      <c r="E18" s="89">
        <v>40</v>
      </c>
      <c r="F18" s="89">
        <v>54</v>
      </c>
      <c r="G18" s="86">
        <v>749.90016200309969</v>
      </c>
      <c r="H18" s="86">
        <v>1577.7602418382048</v>
      </c>
      <c r="I18" s="97">
        <v>4.9921957758786183E-2</v>
      </c>
      <c r="J18" s="89">
        <v>14.180299711428612</v>
      </c>
      <c r="K18" s="89">
        <v>49.986624325390203</v>
      </c>
      <c r="L18" s="97">
        <v>9.9934262938363699E-3</v>
      </c>
      <c r="M18" s="97">
        <v>0.5004833936851889</v>
      </c>
      <c r="N18" s="101">
        <v>1.4267951292039673</v>
      </c>
    </row>
    <row r="19" spans="2:14" x14ac:dyDescent="0.25">
      <c r="B19" s="100">
        <v>45670</v>
      </c>
      <c r="C19" s="86">
        <v>1263.6536000000001</v>
      </c>
      <c r="D19" s="97">
        <v>0.53</v>
      </c>
      <c r="E19" s="89">
        <v>20</v>
      </c>
      <c r="F19" s="89">
        <v>67</v>
      </c>
      <c r="G19" s="86">
        <v>1348.2</v>
      </c>
      <c r="H19" s="86">
        <v>3114.7</v>
      </c>
      <c r="I19" s="97">
        <v>0.04</v>
      </c>
      <c r="J19" s="89">
        <v>18.7</v>
      </c>
      <c r="K19" s="89">
        <v>53.7</v>
      </c>
      <c r="L19" s="97">
        <v>0.01</v>
      </c>
      <c r="M19" s="97">
        <v>0.83299999999999996</v>
      </c>
      <c r="N19" s="101">
        <v>2.4</v>
      </c>
    </row>
    <row r="20" spans="2:14" x14ac:dyDescent="0.25">
      <c r="B20" s="100">
        <v>45671</v>
      </c>
      <c r="C20" s="86">
        <v>936.03819999999996</v>
      </c>
      <c r="D20" s="97">
        <v>0.85</v>
      </c>
      <c r="E20" s="89">
        <v>27.5</v>
      </c>
      <c r="F20" s="89">
        <v>65</v>
      </c>
      <c r="G20" s="86">
        <v>939.2</v>
      </c>
      <c r="H20" s="86">
        <v>1887.9</v>
      </c>
      <c r="I20" s="97">
        <v>0.05</v>
      </c>
      <c r="J20" s="89">
        <v>19.3</v>
      </c>
      <c r="K20" s="89">
        <v>54.2</v>
      </c>
      <c r="L20" s="97">
        <v>0.01</v>
      </c>
      <c r="M20" s="97">
        <v>0.77900000000000003</v>
      </c>
      <c r="N20" s="101">
        <v>1.5</v>
      </c>
    </row>
    <row r="21" spans="2:14" x14ac:dyDescent="0.25">
      <c r="B21" s="100">
        <v>45672</v>
      </c>
      <c r="C21" s="86">
        <v>799.94</v>
      </c>
      <c r="D21" s="97">
        <v>0.38</v>
      </c>
      <c r="E21" s="89">
        <v>10.5</v>
      </c>
      <c r="F21" s="89">
        <v>41</v>
      </c>
      <c r="G21" s="86">
        <v>746</v>
      </c>
      <c r="H21" s="86">
        <v>1644</v>
      </c>
      <c r="I21" s="97">
        <v>0.05</v>
      </c>
      <c r="J21" s="89">
        <v>21.5</v>
      </c>
      <c r="K21" s="89">
        <v>54.6</v>
      </c>
      <c r="L21" s="97">
        <v>0.01</v>
      </c>
      <c r="M21" s="97">
        <v>0.69</v>
      </c>
      <c r="N21" s="101">
        <v>1.48</v>
      </c>
    </row>
    <row r="22" spans="2:14" x14ac:dyDescent="0.25">
      <c r="B22" s="100">
        <v>45673</v>
      </c>
      <c r="C22" s="86">
        <v>1063.3278</v>
      </c>
      <c r="D22" s="97">
        <v>0.75</v>
      </c>
      <c r="E22" s="89">
        <v>24</v>
      </c>
      <c r="F22" s="89">
        <v>66</v>
      </c>
      <c r="G22" s="86">
        <v>1011.4</v>
      </c>
      <c r="H22" s="86">
        <v>2308.9</v>
      </c>
      <c r="I22" s="97">
        <v>4.4999999999999998E-2</v>
      </c>
      <c r="J22" s="89">
        <v>20.6</v>
      </c>
      <c r="K22" s="89">
        <v>55</v>
      </c>
      <c r="L22" s="97">
        <v>0.01</v>
      </c>
      <c r="M22" s="97">
        <v>0.8</v>
      </c>
      <c r="N22" s="101">
        <v>1.6</v>
      </c>
    </row>
    <row r="23" spans="2:14" x14ac:dyDescent="0.25">
      <c r="B23" s="100">
        <v>45674</v>
      </c>
      <c r="C23" s="86">
        <v>992.95280000000002</v>
      </c>
      <c r="D23" s="97">
        <v>0.54</v>
      </c>
      <c r="E23" s="89">
        <v>21</v>
      </c>
      <c r="F23" s="89">
        <v>76</v>
      </c>
      <c r="G23" s="86">
        <v>972.2</v>
      </c>
      <c r="H23" s="86">
        <v>2246</v>
      </c>
      <c r="I23" s="97">
        <v>0.05</v>
      </c>
      <c r="J23" s="89">
        <v>18.2</v>
      </c>
      <c r="K23" s="89">
        <v>58.8</v>
      </c>
      <c r="L23" s="97">
        <v>0.01</v>
      </c>
      <c r="M23" s="97">
        <v>0.80100000000000005</v>
      </c>
      <c r="N23" s="101">
        <v>0.73899999999999999</v>
      </c>
    </row>
    <row r="24" spans="2:14" x14ac:dyDescent="0.25">
      <c r="B24" s="100">
        <v>45675</v>
      </c>
      <c r="C24" s="86">
        <v>734.79489999999987</v>
      </c>
      <c r="D24" s="97">
        <v>0.62</v>
      </c>
      <c r="E24" s="89">
        <v>14</v>
      </c>
      <c r="F24" s="89">
        <v>70.5</v>
      </c>
      <c r="G24" s="86">
        <v>591.6</v>
      </c>
      <c r="H24" s="86">
        <v>1366.7</v>
      </c>
      <c r="I24" s="97">
        <v>0.06</v>
      </c>
      <c r="J24" s="89">
        <v>16.5</v>
      </c>
      <c r="K24" s="89">
        <v>62.2</v>
      </c>
      <c r="L24" s="97">
        <v>9.9898144881012865E-3</v>
      </c>
      <c r="M24" s="97">
        <v>0.83</v>
      </c>
      <c r="N24" s="101">
        <v>0.63</v>
      </c>
    </row>
    <row r="25" spans="2:14" x14ac:dyDescent="0.25">
      <c r="B25" s="100">
        <v>45676</v>
      </c>
      <c r="C25" s="86">
        <v>1064.069</v>
      </c>
      <c r="D25" s="97">
        <v>0.63</v>
      </c>
      <c r="E25" s="89">
        <v>15</v>
      </c>
      <c r="F25" s="89">
        <v>56</v>
      </c>
      <c r="G25" s="86">
        <v>1250.7</v>
      </c>
      <c r="H25" s="86">
        <v>2756.3</v>
      </c>
      <c r="I25" s="97">
        <v>0.05</v>
      </c>
      <c r="J25" s="89">
        <v>16</v>
      </c>
      <c r="K25" s="89">
        <v>65.3</v>
      </c>
      <c r="L25" s="97">
        <v>9.9684569653571906E-3</v>
      </c>
      <c r="M25" s="97">
        <v>0.7</v>
      </c>
      <c r="N25" s="101">
        <v>0.6</v>
      </c>
    </row>
    <row r="26" spans="2:14" x14ac:dyDescent="0.25">
      <c r="B26" s="100">
        <v>45677</v>
      </c>
      <c r="C26" s="86">
        <v>285.02749999999997</v>
      </c>
      <c r="D26" s="97">
        <v>0.53</v>
      </c>
      <c r="E26" s="89">
        <v>13</v>
      </c>
      <c r="F26" s="89">
        <v>57</v>
      </c>
      <c r="G26" s="86">
        <v>284.64487714889145</v>
      </c>
      <c r="H26" s="86">
        <v>657.59542575651494</v>
      </c>
      <c r="I26" s="97">
        <v>3.9956497593877288E-2</v>
      </c>
      <c r="J26" s="89">
        <v>12.964152798955755</v>
      </c>
      <c r="K26" s="89">
        <v>52.571986820887346</v>
      </c>
      <c r="L26" s="97">
        <v>9.9937145262956103E-3</v>
      </c>
      <c r="M26" s="97">
        <v>0.58982889673364935</v>
      </c>
      <c r="N26" s="101">
        <v>0.78019113431349785</v>
      </c>
    </row>
    <row r="27" spans="2:14" x14ac:dyDescent="0.25">
      <c r="B27" s="100">
        <v>45678</v>
      </c>
      <c r="C27" s="86">
        <v>1010.974</v>
      </c>
      <c r="D27" s="97">
        <v>0.72</v>
      </c>
      <c r="E27" s="89">
        <v>21</v>
      </c>
      <c r="F27" s="89">
        <v>47</v>
      </c>
      <c r="G27" s="86">
        <v>885.39582030684971</v>
      </c>
      <c r="H27" s="86">
        <v>2045.4688917980029</v>
      </c>
      <c r="I27" s="97">
        <v>2.9935089493737011E-2</v>
      </c>
      <c r="J27" s="89">
        <v>10.944497202182973</v>
      </c>
      <c r="K27" s="89">
        <v>54.089261925234027</v>
      </c>
      <c r="L27" s="97">
        <v>9.9833356716127284E-3</v>
      </c>
      <c r="M27" s="97">
        <v>0.73941908091829223</v>
      </c>
      <c r="N27" s="101">
        <v>0.97167859167596038</v>
      </c>
    </row>
    <row r="28" spans="2:14" x14ac:dyDescent="0.25">
      <c r="B28" s="100">
        <v>45679</v>
      </c>
      <c r="C28" s="86">
        <v>974.8178999999999</v>
      </c>
      <c r="D28" s="97">
        <v>0.49</v>
      </c>
      <c r="E28" s="89">
        <v>13.5</v>
      </c>
      <c r="F28" s="89">
        <v>64</v>
      </c>
      <c r="G28" s="86">
        <v>1011.6518532130233</v>
      </c>
      <c r="H28" s="86">
        <v>2229.4467541264321</v>
      </c>
      <c r="I28" s="97">
        <v>4.9834798766073066E-2</v>
      </c>
      <c r="J28" s="89">
        <v>10.983086323185127</v>
      </c>
      <c r="K28" s="89">
        <v>51.162958075020896</v>
      </c>
      <c r="L28" s="97">
        <v>9.9854317828290615E-3</v>
      </c>
      <c r="M28" s="97">
        <v>0.52991299450089602</v>
      </c>
      <c r="N28" s="101">
        <v>0.74007488949763356</v>
      </c>
    </row>
    <row r="29" spans="2:14" x14ac:dyDescent="0.25">
      <c r="B29" s="100">
        <v>45680</v>
      </c>
      <c r="C29" s="86">
        <v>874.54560000000004</v>
      </c>
      <c r="D29" s="97">
        <v>0.56999999999999995</v>
      </c>
      <c r="E29" s="89">
        <v>17.5</v>
      </c>
      <c r="F29" s="89">
        <v>63</v>
      </c>
      <c r="G29" s="86">
        <v>780.30364720615626</v>
      </c>
      <c r="H29" s="86">
        <v>1719.6088041272685</v>
      </c>
      <c r="I29" s="97">
        <v>2.9961444929814389E-2</v>
      </c>
      <c r="J29" s="89">
        <v>11.027605384432652</v>
      </c>
      <c r="K29" s="89">
        <v>59.526953687174696</v>
      </c>
      <c r="L29" s="97">
        <v>9.9905566304514144E-3</v>
      </c>
      <c r="M29" s="97">
        <v>0.53014075661894366</v>
      </c>
      <c r="N29" s="101">
        <v>0.9697266006742552</v>
      </c>
    </row>
    <row r="30" spans="2:14" x14ac:dyDescent="0.25">
      <c r="B30" s="100">
        <v>45681</v>
      </c>
      <c r="C30" s="86">
        <v>530.15710000000013</v>
      </c>
      <c r="D30" s="97">
        <v>0.7</v>
      </c>
      <c r="E30" s="89">
        <v>22</v>
      </c>
      <c r="F30" s="89">
        <v>71.5</v>
      </c>
      <c r="G30" s="86">
        <v>525.71354995432205</v>
      </c>
      <c r="H30" s="86">
        <v>1158.5511001867844</v>
      </c>
      <c r="I30" s="97">
        <v>6.9450783889513062E-2</v>
      </c>
      <c r="J30" s="89">
        <v>12.483107273953575</v>
      </c>
      <c r="K30" s="89">
        <v>62.008255228497177</v>
      </c>
      <c r="L30" s="97">
        <v>9.9752922285353714E-3</v>
      </c>
      <c r="M30" s="97">
        <v>0.4599491624851178</v>
      </c>
      <c r="N30" s="101">
        <v>1.868072645573625</v>
      </c>
    </row>
    <row r="31" spans="2:14" x14ac:dyDescent="0.25">
      <c r="B31" s="100">
        <v>45682</v>
      </c>
      <c r="C31" s="86">
        <v>1294.809</v>
      </c>
      <c r="D31" s="97">
        <v>0.78</v>
      </c>
      <c r="E31" s="89">
        <v>25.5</v>
      </c>
      <c r="F31" s="89">
        <v>68.5</v>
      </c>
      <c r="G31" s="86">
        <v>1594.1700215206802</v>
      </c>
      <c r="H31" s="86">
        <v>3354.0705898331144</v>
      </c>
      <c r="I31" s="97">
        <v>5.9379080719742836E-2</v>
      </c>
      <c r="J31" s="89">
        <v>13.28428787467181</v>
      </c>
      <c r="K31" s="89">
        <v>59.729341770082328</v>
      </c>
      <c r="L31" s="97">
        <v>9.9637049028424469E-3</v>
      </c>
      <c r="M31" s="97">
        <v>0.68881377126934196</v>
      </c>
      <c r="N31" s="101">
        <v>2.2606940706876868</v>
      </c>
    </row>
    <row r="32" spans="2:14" x14ac:dyDescent="0.25">
      <c r="B32" s="100">
        <v>45683</v>
      </c>
      <c r="C32" s="86">
        <v>1298.2085999999999</v>
      </c>
      <c r="D32" s="97">
        <v>0.66</v>
      </c>
      <c r="E32" s="89">
        <v>19.5</v>
      </c>
      <c r="F32" s="89">
        <v>53.5</v>
      </c>
      <c r="G32" s="86">
        <v>1109.4455069913683</v>
      </c>
      <c r="H32" s="86">
        <v>2444.9613536379561</v>
      </c>
      <c r="I32" s="97">
        <v>4.9769985758744875E-2</v>
      </c>
      <c r="J32" s="89">
        <v>12.942260225730575</v>
      </c>
      <c r="K32" s="89">
        <v>54.846247227871871</v>
      </c>
      <c r="L32" s="97">
        <v>9.9797184875293089E-3</v>
      </c>
      <c r="M32" s="97">
        <v>0.7196090501277882</v>
      </c>
      <c r="N32" s="101">
        <v>2.2833225810769155</v>
      </c>
    </row>
    <row r="33" spans="2:14" x14ac:dyDescent="0.25">
      <c r="B33" s="100">
        <v>45684</v>
      </c>
      <c r="C33" s="86">
        <v>777.33200000000011</v>
      </c>
      <c r="D33" s="97">
        <v>0.74</v>
      </c>
      <c r="E33" s="89">
        <v>20</v>
      </c>
      <c r="F33" s="89">
        <v>55.5</v>
      </c>
      <c r="G33" s="86">
        <v>514.54259423082772</v>
      </c>
      <c r="H33" s="86">
        <v>1188.712263899602</v>
      </c>
      <c r="I33" s="97">
        <v>7.9772888412108695E-2</v>
      </c>
      <c r="J33" s="89">
        <v>14.485358369049312</v>
      </c>
      <c r="K33" s="89">
        <v>53.959357457333873</v>
      </c>
      <c r="L33" s="97">
        <v>9.9917945968809405E-3</v>
      </c>
      <c r="M33" s="97">
        <v>0.74990882820792426</v>
      </c>
      <c r="N33" s="101">
        <v>2.3798154229874813</v>
      </c>
    </row>
    <row r="34" spans="2:14" x14ac:dyDescent="0.25">
      <c r="B34" s="100">
        <v>45685</v>
      </c>
      <c r="C34" s="86">
        <v>1239.1180000000002</v>
      </c>
      <c r="D34" s="97">
        <v>0.67</v>
      </c>
      <c r="E34" s="89">
        <v>18</v>
      </c>
      <c r="F34" s="89">
        <v>54.5</v>
      </c>
      <c r="G34" s="86">
        <v>1327.4155463835623</v>
      </c>
      <c r="H34" s="86">
        <v>3066.6365758036095</v>
      </c>
      <c r="I34" s="97">
        <v>6.9623676636223403E-2</v>
      </c>
      <c r="J34" s="89">
        <v>13.98708844442827</v>
      </c>
      <c r="K34" s="89">
        <v>50.356884742988917</v>
      </c>
      <c r="L34" s="97">
        <v>9.9822504575875996E-3</v>
      </c>
      <c r="M34" s="97">
        <v>0.6999247992250982</v>
      </c>
      <c r="N34" s="101">
        <v>1.774088629054168</v>
      </c>
    </row>
    <row r="35" spans="2:14" x14ac:dyDescent="0.25">
      <c r="B35" s="100">
        <v>45686</v>
      </c>
      <c r="C35" s="86">
        <v>1206.4464</v>
      </c>
      <c r="D35" s="97">
        <v>0.69</v>
      </c>
      <c r="E35" s="89">
        <v>21.5</v>
      </c>
      <c r="F35" s="89">
        <v>49</v>
      </c>
      <c r="G35" s="86">
        <v>1201.318135611029</v>
      </c>
      <c r="H35" s="86">
        <v>2414.8909416723354</v>
      </c>
      <c r="I35" s="97">
        <v>6.9041054244055947E-2</v>
      </c>
      <c r="J35" s="89">
        <v>15.943417907357018</v>
      </c>
      <c r="K35" s="89">
        <v>52.800532567580746</v>
      </c>
      <c r="L35" s="97">
        <v>9.9606525272779925E-3</v>
      </c>
      <c r="M35" s="97">
        <v>0.83968574216052883</v>
      </c>
      <c r="N35" s="101">
        <v>1.571465447642066</v>
      </c>
    </row>
    <row r="36" spans="2:14" x14ac:dyDescent="0.25">
      <c r="B36" s="100">
        <v>45687</v>
      </c>
      <c r="C36" s="86">
        <v>1143.3905999999999</v>
      </c>
      <c r="D36" s="97">
        <v>0.6</v>
      </c>
      <c r="E36" s="89">
        <v>24</v>
      </c>
      <c r="F36" s="89">
        <v>61</v>
      </c>
      <c r="G36" s="86">
        <v>1183.7766858154016</v>
      </c>
      <c r="H36" s="86">
        <v>2490.6192647106222</v>
      </c>
      <c r="I36" s="97">
        <v>5.9414144863989667E-2</v>
      </c>
      <c r="J36" s="89">
        <v>17.881372701234962</v>
      </c>
      <c r="K36" s="89">
        <v>51.836237377739977</v>
      </c>
      <c r="L36" s="97">
        <v>9.9657541831944738E-3</v>
      </c>
      <c r="M36" s="97">
        <v>0.61970331057980788</v>
      </c>
      <c r="N36" s="101">
        <v>1.5297002834522957</v>
      </c>
    </row>
    <row r="37" spans="2:14" x14ac:dyDescent="0.25">
      <c r="B37" s="102">
        <v>45688</v>
      </c>
      <c r="C37" s="87">
        <v>1094.1396519554521</v>
      </c>
      <c r="D37" s="103">
        <v>0.67</v>
      </c>
      <c r="E37" s="90">
        <v>23.5</v>
      </c>
      <c r="F37" s="90">
        <v>61</v>
      </c>
      <c r="G37" s="87">
        <v>1050.7133354609748</v>
      </c>
      <c r="H37" s="87">
        <v>2112.1450187784371</v>
      </c>
      <c r="I37" s="103">
        <v>5.9632859907731629E-2</v>
      </c>
      <c r="J37" s="90">
        <v>17.000832900160049</v>
      </c>
      <c r="K37" s="90">
        <v>55.281508658576364</v>
      </c>
      <c r="L37" s="103">
        <v>9.9794926635021538E-3</v>
      </c>
      <c r="M37" s="103">
        <v>0.35000037502179615</v>
      </c>
      <c r="N37" s="104">
        <v>2.2009034042068558</v>
      </c>
    </row>
    <row r="38" spans="2:14" x14ac:dyDescent="0.25">
      <c r="B38" s="110">
        <v>45689</v>
      </c>
      <c r="C38" s="91">
        <v>990.7056</v>
      </c>
      <c r="D38" s="111">
        <v>0.53</v>
      </c>
      <c r="E38" s="112">
        <v>18</v>
      </c>
      <c r="F38" s="112">
        <v>53</v>
      </c>
      <c r="G38" s="91">
        <v>1289.3534947776525</v>
      </c>
      <c r="H38" s="91">
        <v>2591.8597104741289</v>
      </c>
      <c r="I38" s="111">
        <v>9.0600909019763851E-2</v>
      </c>
      <c r="J38" s="112">
        <v>17.764592702306143</v>
      </c>
      <c r="K38" s="112">
        <v>56.137040994802938</v>
      </c>
      <c r="L38" s="111">
        <v>1.0014905254472788E-2</v>
      </c>
      <c r="M38" s="111">
        <v>0.58178853732959279</v>
      </c>
      <c r="N38" s="113">
        <v>2.168921753077929</v>
      </c>
    </row>
    <row r="39" spans="2:14" x14ac:dyDescent="0.25">
      <c r="B39" s="100">
        <v>45690</v>
      </c>
      <c r="C39" s="86">
        <v>1135.5384000000001</v>
      </c>
      <c r="D39" s="97">
        <v>0.32</v>
      </c>
      <c r="E39" s="89">
        <v>9</v>
      </c>
      <c r="F39" s="89">
        <v>42</v>
      </c>
      <c r="G39" s="86">
        <v>1203.0746737574059</v>
      </c>
      <c r="H39" s="86">
        <v>2418.4219364460305</v>
      </c>
      <c r="I39" s="97">
        <v>5.0249440839841841E-2</v>
      </c>
      <c r="J39" s="89">
        <v>12.463516859671053</v>
      </c>
      <c r="K39" s="89">
        <v>50.676272017479874</v>
      </c>
      <c r="L39" s="97">
        <v>1.0020051006761618E-2</v>
      </c>
      <c r="M39" s="97">
        <v>0.48149037349847301</v>
      </c>
      <c r="N39" s="101">
        <v>1.7192582017118212</v>
      </c>
    </row>
    <row r="40" spans="2:14" x14ac:dyDescent="0.25">
      <c r="B40" s="100">
        <v>45691</v>
      </c>
      <c r="C40" s="86">
        <v>1140.5792999999999</v>
      </c>
      <c r="D40" s="97">
        <v>0.5</v>
      </c>
      <c r="E40" s="89">
        <v>14.5</v>
      </c>
      <c r="F40" s="89">
        <v>43</v>
      </c>
      <c r="G40" s="86">
        <v>1171.0045194505988</v>
      </c>
      <c r="H40" s="86">
        <v>2250.6202179306788</v>
      </c>
      <c r="I40" s="97">
        <v>8.030603589067177E-2</v>
      </c>
      <c r="J40" s="89">
        <v>10.258429964153326</v>
      </c>
      <c r="K40" s="89">
        <v>45.175731387147266</v>
      </c>
      <c r="L40" s="97">
        <v>1.0009182841182691E-2</v>
      </c>
      <c r="M40" s="97">
        <v>0.46</v>
      </c>
      <c r="N40" s="101">
        <v>1.7234514633681903</v>
      </c>
    </row>
    <row r="41" spans="2:14" x14ac:dyDescent="0.25">
      <c r="B41" s="100">
        <v>45692</v>
      </c>
      <c r="C41" s="86">
        <v>1201.152</v>
      </c>
      <c r="D41" s="97">
        <v>0.48</v>
      </c>
      <c r="E41" s="89">
        <v>15</v>
      </c>
      <c r="F41" s="89">
        <v>42.5</v>
      </c>
      <c r="G41" s="86">
        <v>1146.3920931035361</v>
      </c>
      <c r="H41" s="86">
        <v>2107.9345417745358</v>
      </c>
      <c r="I41" s="97">
        <v>5.0039822242989654E-2</v>
      </c>
      <c r="J41" s="89">
        <v>10.201323018589052</v>
      </c>
      <c r="K41" s="89">
        <v>43.422758410831314</v>
      </c>
      <c r="L41" s="97">
        <v>1.000292259586061E-2</v>
      </c>
      <c r="M41" s="97">
        <v>0.52100050533667996</v>
      </c>
      <c r="N41" s="101">
        <v>0.74081140167725634</v>
      </c>
    </row>
    <row r="42" spans="2:14" x14ac:dyDescent="0.25">
      <c r="B42" s="100">
        <v>45693</v>
      </c>
      <c r="C42" s="86">
        <v>1227.578</v>
      </c>
      <c r="D42" s="97">
        <v>0.7</v>
      </c>
      <c r="E42" s="89">
        <v>15</v>
      </c>
      <c r="F42" s="89">
        <v>46.5</v>
      </c>
      <c r="G42" s="86">
        <v>1274.3854577828818</v>
      </c>
      <c r="H42" s="86">
        <v>2449.3139258494525</v>
      </c>
      <c r="I42" s="97">
        <v>5.0022798068371059E-2</v>
      </c>
      <c r="J42" s="89">
        <v>12.228239106921503</v>
      </c>
      <c r="K42" s="89">
        <v>45.160823214367589</v>
      </c>
      <c r="L42" s="97">
        <v>1.0001746441610733E-2</v>
      </c>
      <c r="M42" s="97">
        <v>0.72157855160376927</v>
      </c>
      <c r="N42" s="101">
        <v>0.8901200388895143</v>
      </c>
    </row>
    <row r="43" spans="2:14" x14ac:dyDescent="0.25">
      <c r="B43" s="100">
        <v>45694</v>
      </c>
      <c r="C43" s="86">
        <v>1526.6310000000001</v>
      </c>
      <c r="D43" s="97">
        <v>0.68</v>
      </c>
      <c r="E43" s="89">
        <v>12</v>
      </c>
      <c r="F43" s="89">
        <v>49</v>
      </c>
      <c r="G43" s="86">
        <v>1467.7914922941727</v>
      </c>
      <c r="H43" s="86">
        <v>2821.031988684199</v>
      </c>
      <c r="I43" s="97">
        <v>5.0243303606935512E-2</v>
      </c>
      <c r="J43" s="89">
        <v>11.139660582580815</v>
      </c>
      <c r="K43" s="89">
        <v>46.201219541855018</v>
      </c>
      <c r="L43" s="97">
        <v>1.0018698497328693E-2</v>
      </c>
      <c r="M43" s="97">
        <v>1.0524448699177993</v>
      </c>
      <c r="N43" s="101">
        <v>1.7334105600765168</v>
      </c>
    </row>
    <row r="44" spans="2:14" x14ac:dyDescent="0.25">
      <c r="B44" s="100">
        <v>45695</v>
      </c>
      <c r="C44" s="86">
        <v>1049.3045999999997</v>
      </c>
      <c r="D44" s="97">
        <v>0.52</v>
      </c>
      <c r="E44" s="89">
        <v>15.5</v>
      </c>
      <c r="F44" s="89">
        <v>54.5</v>
      </c>
      <c r="G44" s="86">
        <v>1114.2253950218694</v>
      </c>
      <c r="H44" s="86">
        <v>2141.4931878696384</v>
      </c>
      <c r="I44" s="97">
        <v>5.9926474874951396E-2</v>
      </c>
      <c r="J44" s="89">
        <v>12.956915603881733</v>
      </c>
      <c r="K44" s="89">
        <v>42.259114100768784</v>
      </c>
      <c r="L44" s="97">
        <v>9.9960678669456255E-3</v>
      </c>
      <c r="M44" s="97">
        <v>0.95954761219333551</v>
      </c>
      <c r="N44" s="101">
        <v>1.6539177814325379</v>
      </c>
    </row>
    <row r="45" spans="2:14" x14ac:dyDescent="0.25">
      <c r="B45" s="100">
        <v>45696</v>
      </c>
      <c r="C45" s="86">
        <v>181.4692</v>
      </c>
      <c r="D45" s="97">
        <v>0.45</v>
      </c>
      <c r="E45" s="89">
        <v>13</v>
      </c>
      <c r="F45" s="89">
        <v>64</v>
      </c>
      <c r="G45" s="86">
        <v>196.6035908653584</v>
      </c>
      <c r="H45" s="86">
        <v>377.86362833761365</v>
      </c>
      <c r="I45" s="97">
        <v>5.9987656609742118E-2</v>
      </c>
      <c r="J45" s="89">
        <v>12.991322366457519</v>
      </c>
      <c r="K45" s="89">
        <v>41.305739119126109</v>
      </c>
      <c r="L45" s="97">
        <v>9.9993342070049205E-3</v>
      </c>
      <c r="M45" s="97">
        <v>0.95990822553999211</v>
      </c>
      <c r="N45" s="101">
        <v>1.6511491050461318</v>
      </c>
    </row>
    <row r="46" spans="2:14" x14ac:dyDescent="0.25">
      <c r="B46" s="100">
        <v>45697</v>
      </c>
      <c r="C46" s="86">
        <v>0</v>
      </c>
      <c r="D46" s="97">
        <v>0</v>
      </c>
      <c r="E46" s="89">
        <v>0</v>
      </c>
      <c r="F46" s="89">
        <v>0</v>
      </c>
      <c r="G46" s="86">
        <v>0</v>
      </c>
      <c r="H46" s="86">
        <v>0</v>
      </c>
      <c r="I46" s="97">
        <v>0</v>
      </c>
      <c r="J46" s="89">
        <v>0</v>
      </c>
      <c r="K46" s="89">
        <v>0</v>
      </c>
      <c r="L46" s="97">
        <v>0</v>
      </c>
      <c r="M46" s="97">
        <v>0</v>
      </c>
      <c r="N46" s="101">
        <v>0</v>
      </c>
    </row>
    <row r="47" spans="2:14" x14ac:dyDescent="0.25">
      <c r="B47" s="100">
        <v>45698</v>
      </c>
      <c r="C47" s="86">
        <v>0</v>
      </c>
      <c r="D47" s="97">
        <v>0</v>
      </c>
      <c r="E47" s="89">
        <v>0</v>
      </c>
      <c r="F47" s="89">
        <v>0</v>
      </c>
      <c r="G47" s="86">
        <v>0</v>
      </c>
      <c r="H47" s="86">
        <v>0</v>
      </c>
      <c r="I47" s="97">
        <v>0</v>
      </c>
      <c r="J47" s="89">
        <v>0</v>
      </c>
      <c r="K47" s="89">
        <v>0</v>
      </c>
      <c r="L47" s="97">
        <v>0</v>
      </c>
      <c r="M47" s="97">
        <v>0</v>
      </c>
      <c r="N47" s="101">
        <v>0</v>
      </c>
    </row>
    <row r="48" spans="2:14" x14ac:dyDescent="0.25">
      <c r="B48" s="100">
        <v>45699</v>
      </c>
      <c r="C48" s="86">
        <v>0</v>
      </c>
      <c r="D48" s="97">
        <v>0</v>
      </c>
      <c r="E48" s="89">
        <v>0</v>
      </c>
      <c r="F48" s="89">
        <v>0</v>
      </c>
      <c r="G48" s="86">
        <v>0</v>
      </c>
      <c r="H48" s="86">
        <v>0</v>
      </c>
      <c r="I48" s="97">
        <v>0</v>
      </c>
      <c r="J48" s="89">
        <v>0</v>
      </c>
      <c r="K48" s="89">
        <v>0</v>
      </c>
      <c r="L48" s="97">
        <v>0</v>
      </c>
      <c r="M48" s="97">
        <v>0</v>
      </c>
      <c r="N48" s="101">
        <v>0</v>
      </c>
    </row>
    <row r="49" spans="2:14" x14ac:dyDescent="0.25">
      <c r="B49" s="100">
        <v>45700</v>
      </c>
      <c r="C49" s="86">
        <v>0</v>
      </c>
      <c r="D49" s="97">
        <v>0</v>
      </c>
      <c r="E49" s="89">
        <v>0</v>
      </c>
      <c r="F49" s="89">
        <v>0</v>
      </c>
      <c r="G49" s="86">
        <v>0</v>
      </c>
      <c r="H49" s="86">
        <v>0</v>
      </c>
      <c r="I49" s="97">
        <v>0</v>
      </c>
      <c r="J49" s="89">
        <v>0</v>
      </c>
      <c r="K49" s="89">
        <v>0</v>
      </c>
      <c r="L49" s="97">
        <v>0</v>
      </c>
      <c r="M49" s="97">
        <v>0</v>
      </c>
      <c r="N49" s="101">
        <v>0</v>
      </c>
    </row>
    <row r="50" spans="2:14" x14ac:dyDescent="0.25">
      <c r="B50" s="100">
        <v>45701</v>
      </c>
      <c r="C50" s="86">
        <v>593.73</v>
      </c>
      <c r="D50" s="97">
        <v>0.49</v>
      </c>
      <c r="E50" s="89">
        <v>17</v>
      </c>
      <c r="F50" s="89">
        <v>54</v>
      </c>
      <c r="G50" s="86">
        <v>523.24804199788639</v>
      </c>
      <c r="H50" s="86">
        <v>1005.6601855521404</v>
      </c>
      <c r="I50" s="97">
        <v>4.9998898340675078E-2</v>
      </c>
      <c r="J50" s="89">
        <v>11.017283064870817</v>
      </c>
      <c r="K50" s="89">
        <v>45.954900537540297</v>
      </c>
      <c r="L50" s="97">
        <v>9.9999091768847356E-3</v>
      </c>
      <c r="M50" s="97">
        <v>0.88021184924125695</v>
      </c>
      <c r="N50" s="101">
        <v>2.2597887358569446</v>
      </c>
    </row>
    <row r="51" spans="2:14" x14ac:dyDescent="0.25">
      <c r="B51" s="100">
        <v>45702</v>
      </c>
      <c r="C51" s="86">
        <v>943.84479999999996</v>
      </c>
      <c r="D51" s="97">
        <v>0.78</v>
      </c>
      <c r="E51" s="89">
        <v>24</v>
      </c>
      <c r="F51" s="89">
        <v>48</v>
      </c>
      <c r="G51" s="86">
        <v>1045.5146792516741</v>
      </c>
      <c r="H51" s="86">
        <v>2009.4341534831244</v>
      </c>
      <c r="I51" s="97">
        <v>4.9972009709481929E-2</v>
      </c>
      <c r="J51" s="89">
        <v>11.142686043252903</v>
      </c>
      <c r="K51" s="89">
        <v>45.489754039955358</v>
      </c>
      <c r="L51" s="97">
        <v>9.9978419562486275E-3</v>
      </c>
      <c r="M51" s="97">
        <v>0.88175436344601044</v>
      </c>
      <c r="N51" s="101">
        <v>2.2576307971269785</v>
      </c>
    </row>
    <row r="52" spans="2:14" x14ac:dyDescent="0.25">
      <c r="B52" s="100">
        <v>45703</v>
      </c>
      <c r="C52" s="86">
        <v>479.16000000000008</v>
      </c>
      <c r="D52" s="97">
        <v>0.44</v>
      </c>
      <c r="E52" s="89">
        <v>16</v>
      </c>
      <c r="F52" s="89">
        <v>35</v>
      </c>
      <c r="G52" s="86">
        <v>372.42453576810101</v>
      </c>
      <c r="H52" s="86">
        <v>783.56647376951946</v>
      </c>
      <c r="I52" s="97">
        <v>6.0081104535668221E-2</v>
      </c>
      <c r="J52" s="89">
        <v>12.983314880836982</v>
      </c>
      <c r="K52" s="89">
        <v>47.387958005174774</v>
      </c>
      <c r="L52" s="97">
        <v>1.0004733525353896E-2</v>
      </c>
      <c r="M52" s="97">
        <v>0.62991698962573972</v>
      </c>
      <c r="N52" s="101">
        <v>1.9854085888219706</v>
      </c>
    </row>
    <row r="53" spans="2:14" x14ac:dyDescent="0.25">
      <c r="B53" s="100">
        <v>45704</v>
      </c>
      <c r="C53" s="86">
        <v>745.04300000000012</v>
      </c>
      <c r="D53" s="97">
        <v>0.88</v>
      </c>
      <c r="E53" s="89">
        <v>20.5</v>
      </c>
      <c r="F53" s="89">
        <v>36</v>
      </c>
      <c r="G53" s="86">
        <v>690.02846546236538</v>
      </c>
      <c r="H53" s="86">
        <v>1451.7925634727983</v>
      </c>
      <c r="I53" s="97">
        <v>5.9930953935443593E-2</v>
      </c>
      <c r="J53" s="89">
        <v>13.502773212919978</v>
      </c>
      <c r="K53" s="89">
        <v>45.857326460454196</v>
      </c>
      <c r="L53" s="97">
        <v>9.9959581450223128E-3</v>
      </c>
      <c r="M53" s="97">
        <v>0.63001213166430958</v>
      </c>
      <c r="N53" s="101">
        <v>1.9794420226341212</v>
      </c>
    </row>
    <row r="54" spans="2:14" x14ac:dyDescent="0.25">
      <c r="B54" s="100">
        <v>45705</v>
      </c>
      <c r="C54" s="86">
        <v>801.63000000000011</v>
      </c>
      <c r="D54" s="97">
        <v>0.44</v>
      </c>
      <c r="E54" s="89">
        <v>7</v>
      </c>
      <c r="F54" s="89">
        <v>48</v>
      </c>
      <c r="G54" s="86">
        <v>840.93258740350177</v>
      </c>
      <c r="H54" s="86">
        <v>1769.2888596360806</v>
      </c>
      <c r="I54" s="97">
        <v>5.9968214687736936E-2</v>
      </c>
      <c r="J54" s="89">
        <v>12.541561320462499</v>
      </c>
      <c r="K54" s="89">
        <v>44.846956723148715</v>
      </c>
      <c r="L54" s="97">
        <v>9.9981358527099148E-3</v>
      </c>
      <c r="M54" s="97">
        <v>0.5001394504833645</v>
      </c>
      <c r="N54" s="101">
        <v>1.8672691231065526</v>
      </c>
    </row>
    <row r="55" spans="2:14" x14ac:dyDescent="0.25">
      <c r="B55" s="100">
        <v>45706</v>
      </c>
      <c r="C55" s="86">
        <v>1257.9490000000001</v>
      </c>
      <c r="D55" s="97">
        <v>0.85</v>
      </c>
      <c r="E55" s="89">
        <v>13.5</v>
      </c>
      <c r="F55" s="89">
        <v>54</v>
      </c>
      <c r="G55" s="86">
        <v>1400.8689562951981</v>
      </c>
      <c r="H55" s="86">
        <v>2947.3728040864316</v>
      </c>
      <c r="I55" s="97">
        <v>6.977300066914259E-2</v>
      </c>
      <c r="J55" s="89">
        <v>10.840195306637645</v>
      </c>
      <c r="K55" s="89">
        <v>36.227592457299473</v>
      </c>
      <c r="L55" s="97">
        <v>9.9902460809969604E-3</v>
      </c>
      <c r="M55" s="97">
        <v>0.5491589487020504</v>
      </c>
      <c r="N55" s="101">
        <v>2.3313463158000589</v>
      </c>
    </row>
    <row r="56" spans="2:14" x14ac:dyDescent="0.25">
      <c r="B56" s="100">
        <v>45707</v>
      </c>
      <c r="C56" s="86">
        <v>593.98900000000003</v>
      </c>
      <c r="D56" s="97">
        <v>0.99</v>
      </c>
      <c r="E56" s="89">
        <v>24</v>
      </c>
      <c r="F56" s="89">
        <v>58</v>
      </c>
      <c r="G56" s="86">
        <v>367.58599551596166</v>
      </c>
      <c r="H56" s="86">
        <v>773.3863767043747</v>
      </c>
      <c r="I56" s="97">
        <v>6.9941154660371402E-2</v>
      </c>
      <c r="J56" s="89">
        <v>9.4762792470763486</v>
      </c>
      <c r="K56" s="89">
        <v>42.758010214760994</v>
      </c>
      <c r="L56" s="97">
        <v>9.9974661009059433E-3</v>
      </c>
      <c r="M56" s="97">
        <v>0.47987214920757248</v>
      </c>
      <c r="N56" s="101">
        <v>2.8070856271771407</v>
      </c>
    </row>
    <row r="57" spans="2:14" x14ac:dyDescent="0.25">
      <c r="B57" s="100">
        <v>45708</v>
      </c>
      <c r="C57" s="86">
        <v>1207.3820000000001</v>
      </c>
      <c r="D57" s="97">
        <v>0.89</v>
      </c>
      <c r="E57" s="89">
        <v>22.223600000000001</v>
      </c>
      <c r="F57" s="89">
        <v>51</v>
      </c>
      <c r="G57" s="86">
        <v>1103.9068614186299</v>
      </c>
      <c r="H57" s="86">
        <v>2550.2798778648216</v>
      </c>
      <c r="I57" s="97">
        <v>5.988572771943889E-2</v>
      </c>
      <c r="J57" s="89">
        <v>10.863591618367876</v>
      </c>
      <c r="K57" s="89">
        <v>46.217351542281861</v>
      </c>
      <c r="L57" s="97">
        <v>9.9926606332879017E-3</v>
      </c>
      <c r="M57" s="97">
        <v>0.6189983203725844</v>
      </c>
      <c r="N57" s="101">
        <v>3.2925658346226614</v>
      </c>
    </row>
    <row r="58" spans="2:14" x14ac:dyDescent="0.25">
      <c r="B58" s="100">
        <v>45709</v>
      </c>
      <c r="C58" s="86">
        <v>1253.8829999999998</v>
      </c>
      <c r="D58" s="97">
        <v>1.02</v>
      </c>
      <c r="E58" s="89">
        <v>26</v>
      </c>
      <c r="F58" s="89">
        <v>51.5</v>
      </c>
      <c r="G58" s="86">
        <v>1320.5292487997617</v>
      </c>
      <c r="H58" s="86">
        <v>2778.3412412866273</v>
      </c>
      <c r="I58" s="97">
        <v>6.983376883813687E-2</v>
      </c>
      <c r="J58" s="89">
        <v>11.855882247510202</v>
      </c>
      <c r="K58" s="89">
        <v>47.198029812861591</v>
      </c>
      <c r="L58" s="97">
        <v>9.9928553527438239E-3</v>
      </c>
      <c r="M58" s="97">
        <v>0.73884628296403376</v>
      </c>
      <c r="N58" s="101">
        <v>2.4057443274539283</v>
      </c>
    </row>
    <row r="59" spans="2:14" x14ac:dyDescent="0.25">
      <c r="B59" s="100">
        <v>45710</v>
      </c>
      <c r="C59" s="86">
        <v>909.45399999999995</v>
      </c>
      <c r="D59" s="97">
        <v>0.79</v>
      </c>
      <c r="E59" s="89">
        <v>20</v>
      </c>
      <c r="F59" s="89">
        <v>50</v>
      </c>
      <c r="G59" s="86">
        <v>822.77925504237476</v>
      </c>
      <c r="H59" s="86">
        <v>1731.0949672921251</v>
      </c>
      <c r="I59" s="97">
        <v>0.05</v>
      </c>
      <c r="J59" s="89">
        <v>16</v>
      </c>
      <c r="K59" s="89">
        <v>51</v>
      </c>
      <c r="L59" s="97">
        <v>0.01</v>
      </c>
      <c r="M59" s="97">
        <v>0.84</v>
      </c>
      <c r="N59" s="101">
        <v>2.0499999999999998</v>
      </c>
    </row>
    <row r="60" spans="2:14" x14ac:dyDescent="0.25">
      <c r="B60" s="100">
        <v>45711</v>
      </c>
      <c r="C60" s="86">
        <v>1607.2542000000001</v>
      </c>
      <c r="D60" s="97">
        <v>0.74</v>
      </c>
      <c r="E60" s="89">
        <v>15.5</v>
      </c>
      <c r="F60" s="89">
        <v>59</v>
      </c>
      <c r="G60" s="86">
        <v>1764.7216276377364</v>
      </c>
      <c r="H60" s="86">
        <v>3391.7189115926208</v>
      </c>
      <c r="I60" s="97">
        <v>4.9851174583541213E-2</v>
      </c>
      <c r="J60" s="89">
        <v>15.171860069472833</v>
      </c>
      <c r="K60" s="89">
        <v>48.740164818752476</v>
      </c>
      <c r="L60" s="97">
        <v>9.9885524256256211E-3</v>
      </c>
      <c r="M60" s="97">
        <v>0.83561226429024649</v>
      </c>
      <c r="N60" s="101">
        <v>2.0491240298093749</v>
      </c>
    </row>
    <row r="61" spans="2:14" x14ac:dyDescent="0.25">
      <c r="B61" s="100">
        <v>45712</v>
      </c>
      <c r="C61" s="86">
        <v>1428.0324999999998</v>
      </c>
      <c r="D61" s="97">
        <v>0.85</v>
      </c>
      <c r="E61" s="89">
        <v>17.5</v>
      </c>
      <c r="F61" s="89">
        <v>63</v>
      </c>
      <c r="G61" s="86">
        <v>1336.0794029661752</v>
      </c>
      <c r="H61" s="86">
        <v>2567.8870295797192</v>
      </c>
      <c r="I61" s="97">
        <v>7.983444213668571E-2</v>
      </c>
      <c r="J61" s="89">
        <v>15.555539024640412</v>
      </c>
      <c r="K61" s="89">
        <v>51.913378727364226</v>
      </c>
      <c r="L61" s="97">
        <v>9.9950205647971607E-3</v>
      </c>
      <c r="M61" s="97">
        <v>0.56891532211673002</v>
      </c>
      <c r="N61" s="101">
        <v>4.9773952224952138</v>
      </c>
    </row>
    <row r="62" spans="2:14" x14ac:dyDescent="0.25">
      <c r="B62" s="100">
        <v>45713</v>
      </c>
      <c r="C62" s="86">
        <v>1741.1127999999999</v>
      </c>
      <c r="D62" s="97">
        <v>0.56999999999999995</v>
      </c>
      <c r="E62" s="89">
        <v>16</v>
      </c>
      <c r="F62" s="89">
        <v>59</v>
      </c>
      <c r="G62" s="86">
        <v>1847.3981769416148</v>
      </c>
      <c r="H62" s="86">
        <v>3251.7459660138429</v>
      </c>
      <c r="I62" s="97">
        <v>8.4699884875828566E-2</v>
      </c>
      <c r="J62" s="89">
        <v>15.410814754268788</v>
      </c>
      <c r="K62" s="89">
        <v>50.705993522026624</v>
      </c>
      <c r="L62" s="97">
        <v>9.9926805508382382E-3</v>
      </c>
      <c r="M62" s="97">
        <v>0.56868327665363294</v>
      </c>
      <c r="N62" s="101">
        <v>4.9569798331660078</v>
      </c>
    </row>
    <row r="63" spans="2:14" x14ac:dyDescent="0.25">
      <c r="B63" s="100">
        <v>45714</v>
      </c>
      <c r="C63" s="86">
        <v>1173.5110999999999</v>
      </c>
      <c r="D63" s="97">
        <v>0.74</v>
      </c>
      <c r="E63" s="89">
        <v>19</v>
      </c>
      <c r="F63" s="89">
        <v>73</v>
      </c>
      <c r="G63" s="86">
        <v>1027.7393419032433</v>
      </c>
      <c r="H63" s="86">
        <v>1732.6084704282666</v>
      </c>
      <c r="I63" s="97">
        <v>8.4666298194421979E-2</v>
      </c>
      <c r="J63" s="89">
        <v>15.44164590452192</v>
      </c>
      <c r="K63" s="89">
        <v>51.867387474284776</v>
      </c>
      <c r="L63" s="97">
        <v>9.9922055384782833E-3</v>
      </c>
      <c r="M63" s="97">
        <v>0.55984225905844565</v>
      </c>
      <c r="N63" s="101">
        <v>4.2241550033704147</v>
      </c>
    </row>
    <row r="64" spans="2:14" x14ac:dyDescent="0.25">
      <c r="B64" s="100">
        <v>45715</v>
      </c>
      <c r="C64" s="86">
        <v>1698.6408000000001</v>
      </c>
      <c r="D64" s="97">
        <v>0.7</v>
      </c>
      <c r="E64" s="89">
        <v>16</v>
      </c>
      <c r="F64" s="89">
        <v>57</v>
      </c>
      <c r="G64" s="86">
        <v>1968.0957996613065</v>
      </c>
      <c r="H64" s="86">
        <v>3317.9030071892507</v>
      </c>
      <c r="I64" s="97">
        <v>2.9926428077254194E-2</v>
      </c>
      <c r="J64" s="89">
        <v>10.449907561716239</v>
      </c>
      <c r="K64" s="89">
        <v>53.175702074530278</v>
      </c>
      <c r="L64" s="97">
        <v>9.98621441387057E-3</v>
      </c>
      <c r="M64" s="97">
        <v>0.60714759133715057</v>
      </c>
      <c r="N64" s="101">
        <v>4.2330500338004331</v>
      </c>
    </row>
    <row r="65" spans="2:14" x14ac:dyDescent="0.25">
      <c r="B65" s="102">
        <v>45716</v>
      </c>
      <c r="C65" s="87">
        <v>1441.8582000000001</v>
      </c>
      <c r="D65" s="103">
        <v>0.71</v>
      </c>
      <c r="E65" s="90">
        <v>19</v>
      </c>
      <c r="F65" s="90">
        <v>48</v>
      </c>
      <c r="G65" s="87">
        <v>1309.1174221978808</v>
      </c>
      <c r="H65" s="87">
        <v>2407.1466037584796</v>
      </c>
      <c r="I65" s="103">
        <v>6.9841886744509182E-2</v>
      </c>
      <c r="J65" s="90">
        <v>14.715951380603036</v>
      </c>
      <c r="K65" s="90">
        <v>47.26839634244201</v>
      </c>
      <c r="L65" s="103">
        <v>9.9940593416899693E-3</v>
      </c>
      <c r="M65" s="103">
        <v>0.82840010199838343</v>
      </c>
      <c r="N65" s="104">
        <v>4.7249734010320239</v>
      </c>
    </row>
    <row r="66" spans="2:14" x14ac:dyDescent="0.25">
      <c r="B66" s="106">
        <v>45717</v>
      </c>
      <c r="C66" s="85">
        <v>1504.3319538685171</v>
      </c>
      <c r="D66" s="107">
        <v>0.85390549902971469</v>
      </c>
      <c r="E66" s="108">
        <v>19.723477880224113</v>
      </c>
      <c r="F66" s="108">
        <v>54.541176090321059</v>
      </c>
      <c r="G66" s="85">
        <v>1294.7108670946066</v>
      </c>
      <c r="H66" s="85">
        <v>2285.1595381741377</v>
      </c>
      <c r="I66" s="107">
        <v>7.2066321382269038E-2</v>
      </c>
      <c r="J66" s="108">
        <v>19.425245986930264</v>
      </c>
      <c r="K66" s="108">
        <v>26.356028863320276</v>
      </c>
      <c r="L66" s="107">
        <v>1.1153473677987269E-2</v>
      </c>
      <c r="M66" s="107">
        <v>0.26356731550055335</v>
      </c>
      <c r="N66" s="109">
        <v>0.43425139921322581</v>
      </c>
    </row>
    <row r="67" spans="2:14" x14ac:dyDescent="0.25">
      <c r="B67" s="100">
        <v>45718</v>
      </c>
      <c r="C67" s="86">
        <v>1584.9391848942651</v>
      </c>
      <c r="D67" s="97">
        <v>0.48518002257125797</v>
      </c>
      <c r="E67" s="89">
        <v>8.3511380831596078</v>
      </c>
      <c r="F67" s="89">
        <v>56.519867293611782</v>
      </c>
      <c r="G67" s="86">
        <v>1588.2297278592462</v>
      </c>
      <c r="H67" s="86">
        <v>3318.6143066561808</v>
      </c>
      <c r="I67" s="97">
        <v>8.144966898964473E-2</v>
      </c>
      <c r="J67" s="89">
        <v>9.5225306540835497</v>
      </c>
      <c r="K67" s="89">
        <v>49.571135028033851</v>
      </c>
      <c r="L67" s="97">
        <v>1.1319877249725607E-2</v>
      </c>
      <c r="M67" s="97">
        <v>0.76772143914688629</v>
      </c>
      <c r="N67" s="101">
        <v>1.3683045009348027</v>
      </c>
    </row>
    <row r="68" spans="2:14" x14ac:dyDescent="0.25">
      <c r="B68" s="100">
        <v>45719</v>
      </c>
      <c r="C68" s="86">
        <v>1426.2556898050123</v>
      </c>
      <c r="D68" s="97">
        <v>0.45796370800274933</v>
      </c>
      <c r="E68" s="89">
        <v>12.596580869459061</v>
      </c>
      <c r="F68" s="89">
        <v>67.442326690607104</v>
      </c>
      <c r="G68" s="86">
        <v>1644.3496390665341</v>
      </c>
      <c r="H68" s="86">
        <v>3024.1906749725058</v>
      </c>
      <c r="I68" s="97">
        <v>4.2329990233258917E-2</v>
      </c>
      <c r="J68" s="89">
        <v>5.8698853080208631</v>
      </c>
      <c r="K68" s="89">
        <v>54.792493625073028</v>
      </c>
      <c r="L68" s="97">
        <v>0.01</v>
      </c>
      <c r="M68" s="97">
        <v>0.48025483055976292</v>
      </c>
      <c r="N68" s="101">
        <v>1.110547907004952</v>
      </c>
    </row>
    <row r="69" spans="2:14" x14ac:dyDescent="0.25">
      <c r="B69" s="100">
        <v>45720</v>
      </c>
      <c r="C69" s="86">
        <v>1234.688612247025</v>
      </c>
      <c r="D69" s="97">
        <v>0.21364958584160426</v>
      </c>
      <c r="E69" s="89">
        <v>8.5911899939553091</v>
      </c>
      <c r="F69" s="89">
        <v>56.616575689260202</v>
      </c>
      <c r="G69" s="86">
        <v>1209.8373025344883</v>
      </c>
      <c r="H69" s="86">
        <v>2629.8853925727121</v>
      </c>
      <c r="I69" s="97">
        <v>0.15264516636354103</v>
      </c>
      <c r="J69" s="89">
        <v>9.5372859088030957</v>
      </c>
      <c r="K69" s="89">
        <v>56.829601843656704</v>
      </c>
      <c r="L69" s="97">
        <v>0.01</v>
      </c>
      <c r="M69" s="97">
        <v>0.28781215928497783</v>
      </c>
      <c r="N69" s="101">
        <v>3.699945066931988E-2</v>
      </c>
    </row>
    <row r="70" spans="2:14" x14ac:dyDescent="0.25">
      <c r="B70" s="100">
        <v>45721</v>
      </c>
      <c r="C70" s="86">
        <v>1543.6649968860684</v>
      </c>
      <c r="D70" s="97">
        <v>1.0854070421127935</v>
      </c>
      <c r="E70" s="89">
        <v>27.704169769704023</v>
      </c>
      <c r="F70" s="89">
        <v>41.097208092522528</v>
      </c>
      <c r="G70" s="86">
        <v>1585.6646764005318</v>
      </c>
      <c r="H70" s="86">
        <v>3430.8118852199973</v>
      </c>
      <c r="I70" s="97">
        <v>7.0236594765932137E-2</v>
      </c>
      <c r="J70" s="89">
        <v>13.881444353304721</v>
      </c>
      <c r="K70" s="89">
        <v>46.771803278753701</v>
      </c>
      <c r="L70" s="97">
        <v>1.0000001191774495E-2</v>
      </c>
      <c r="M70" s="97">
        <v>0.12878821357491416</v>
      </c>
      <c r="N70" s="101">
        <v>1.2436662194800923</v>
      </c>
    </row>
    <row r="71" spans="2:14" x14ac:dyDescent="0.25">
      <c r="B71" s="100">
        <v>45722</v>
      </c>
      <c r="C71" s="86">
        <v>759.4838256979491</v>
      </c>
      <c r="D71" s="97">
        <v>0.55976519156217641</v>
      </c>
      <c r="E71" s="89">
        <v>15.410567057729324</v>
      </c>
      <c r="F71" s="89">
        <v>37.922324706999149</v>
      </c>
      <c r="G71" s="86">
        <v>759.48382569794921</v>
      </c>
      <c r="H71" s="86">
        <v>1703.2573497936446</v>
      </c>
      <c r="I71" s="97">
        <v>5.7420298034113686E-2</v>
      </c>
      <c r="J71" s="89">
        <v>13.514847067551079</v>
      </c>
      <c r="K71" s="89">
        <v>49.433290709546569</v>
      </c>
      <c r="L71" s="97">
        <v>9.9999997610225495E-3</v>
      </c>
      <c r="M71" s="97">
        <v>1.0000000000013614E-2</v>
      </c>
      <c r="N71" s="101">
        <v>9.9999999999999985E-3</v>
      </c>
    </row>
    <row r="72" spans="2:14" x14ac:dyDescent="0.25">
      <c r="B72" s="100">
        <v>45723</v>
      </c>
      <c r="C72" s="86">
        <v>971.39993960499805</v>
      </c>
      <c r="D72" s="97">
        <v>1.4652278568311907</v>
      </c>
      <c r="E72" s="89">
        <v>22.63237591342574</v>
      </c>
      <c r="F72" s="89">
        <v>39.958801845028113</v>
      </c>
      <c r="G72" s="86">
        <v>999.68232195435712</v>
      </c>
      <c r="H72" s="86">
        <v>2002.3198529493443</v>
      </c>
      <c r="I72" s="97">
        <v>7.5850349140558965E-2</v>
      </c>
      <c r="J72" s="89">
        <v>13.864056078735336</v>
      </c>
      <c r="K72" s="89">
        <v>42.786844184922629</v>
      </c>
      <c r="L72" s="97">
        <v>0.01</v>
      </c>
      <c r="M72" s="97">
        <v>0.41051250064561551</v>
      </c>
      <c r="N72" s="101">
        <v>1.0788766730426294</v>
      </c>
    </row>
    <row r="73" spans="2:14" x14ac:dyDescent="0.25">
      <c r="B73" s="100">
        <v>45724</v>
      </c>
      <c r="C73" s="86">
        <v>1588.703996996165</v>
      </c>
      <c r="D73" s="97">
        <v>1.4874086379553753</v>
      </c>
      <c r="E73" s="89">
        <v>22.30176298601295</v>
      </c>
      <c r="F73" s="89">
        <v>40.441280388687645</v>
      </c>
      <c r="G73" s="86">
        <v>1603.2922357033608</v>
      </c>
      <c r="H73" s="86">
        <v>3217.6115668723251</v>
      </c>
      <c r="I73" s="97">
        <v>5.9191516520573875E-2</v>
      </c>
      <c r="J73" s="89">
        <v>15.269662636570054</v>
      </c>
      <c r="K73" s="89">
        <v>37.206609757396194</v>
      </c>
      <c r="L73" s="97">
        <v>1.0010018599758499E-2</v>
      </c>
      <c r="M73" s="97">
        <v>0.4999889978757876</v>
      </c>
      <c r="N73" s="101">
        <v>0.50568345372573453</v>
      </c>
    </row>
    <row r="74" spans="2:14" x14ac:dyDescent="0.25">
      <c r="B74" s="100">
        <v>45725</v>
      </c>
      <c r="C74" s="86">
        <v>1619.7710539447548</v>
      </c>
      <c r="D74" s="97">
        <v>0.57587039846512833</v>
      </c>
      <c r="E74" s="89">
        <v>12.103929458267023</v>
      </c>
      <c r="F74" s="89">
        <v>39.691014735345313</v>
      </c>
      <c r="G74" s="86">
        <v>1627.0562616938928</v>
      </c>
      <c r="H74" s="86">
        <v>3317.1911984303147</v>
      </c>
      <c r="I74" s="97">
        <v>0.10052514303612226</v>
      </c>
      <c r="J74" s="89">
        <v>12.918341021112656</v>
      </c>
      <c r="K74" s="89">
        <v>52.872129280896417</v>
      </c>
      <c r="L74" s="97">
        <v>0.01</v>
      </c>
      <c r="M74" s="97">
        <v>0.58729837825123443</v>
      </c>
      <c r="N74" s="101">
        <v>0.50343211902480078</v>
      </c>
    </row>
    <row r="75" spans="2:14" x14ac:dyDescent="0.25">
      <c r="B75" s="100">
        <v>45726</v>
      </c>
      <c r="C75" s="86">
        <v>1691.849146408123</v>
      </c>
      <c r="D75" s="97">
        <v>0.77559275268664607</v>
      </c>
      <c r="E75" s="89">
        <v>29.062497170930794</v>
      </c>
      <c r="F75" s="89">
        <v>60.821962855554439</v>
      </c>
      <c r="G75" s="86">
        <v>1930.9909751129132</v>
      </c>
      <c r="H75" s="86">
        <v>3707.4071656257565</v>
      </c>
      <c r="I75" s="97">
        <v>0.13342848671073002</v>
      </c>
      <c r="J75" s="89">
        <v>11.425422407955953</v>
      </c>
      <c r="K75" s="89">
        <v>44.685136182964065</v>
      </c>
      <c r="L75" s="97">
        <v>0.01</v>
      </c>
      <c r="M75" s="97">
        <v>0.65228214597935164</v>
      </c>
      <c r="N75" s="101">
        <v>0.72125488730840304</v>
      </c>
    </row>
    <row r="76" spans="2:14" x14ac:dyDescent="0.25">
      <c r="B76" s="100">
        <v>45727</v>
      </c>
      <c r="C76" s="86">
        <v>1681.3703730177472</v>
      </c>
      <c r="D76" s="97">
        <v>0.84354807101494123</v>
      </c>
      <c r="E76" s="89">
        <v>38.977668477846009</v>
      </c>
      <c r="F76" s="89">
        <v>52.7976890126142</v>
      </c>
      <c r="G76" s="86">
        <v>1580.3416659079314</v>
      </c>
      <c r="H76" s="86">
        <v>3530.5233057615897</v>
      </c>
      <c r="I76" s="97">
        <v>8.8635163859473273E-2</v>
      </c>
      <c r="J76" s="89">
        <v>17.418455915876134</v>
      </c>
      <c r="K76" s="89">
        <v>53.177712663665396</v>
      </c>
      <c r="L76" s="97">
        <v>0.01</v>
      </c>
      <c r="M76" s="97">
        <v>0.54987002768136084</v>
      </c>
      <c r="N76" s="101">
        <v>0.99566346365920089</v>
      </c>
    </row>
    <row r="77" spans="2:14" x14ac:dyDescent="0.25">
      <c r="B77" s="100">
        <v>45728</v>
      </c>
      <c r="C77" s="86">
        <v>1455.5055652432363</v>
      </c>
      <c r="D77" s="97">
        <v>0.58304612467512673</v>
      </c>
      <c r="E77" s="89">
        <v>38.747811935277895</v>
      </c>
      <c r="F77" s="89">
        <v>41.160523069335689</v>
      </c>
      <c r="G77" s="86">
        <v>1330.1554117993085</v>
      </c>
      <c r="H77" s="86">
        <v>2752.668421092967</v>
      </c>
      <c r="I77" s="97">
        <v>0.09</v>
      </c>
      <c r="J77" s="89">
        <v>21.53602738688139</v>
      </c>
      <c r="K77" s="89">
        <v>55.500808725766305</v>
      </c>
      <c r="L77" s="97">
        <v>1.000000081175963E-2</v>
      </c>
      <c r="M77" s="97">
        <v>0.24765464606309837</v>
      </c>
      <c r="N77" s="101">
        <v>1.0273815662837371</v>
      </c>
    </row>
    <row r="78" spans="2:14" x14ac:dyDescent="0.25">
      <c r="B78" s="100">
        <v>45729</v>
      </c>
      <c r="C78" s="86">
        <v>1350.1487128712872</v>
      </c>
      <c r="D78" s="97">
        <v>1.1383931611700584</v>
      </c>
      <c r="E78" s="89">
        <v>29.819884976211675</v>
      </c>
      <c r="F78" s="89">
        <v>46.193638264933909</v>
      </c>
      <c r="G78" s="86">
        <v>1423.4283501124867</v>
      </c>
      <c r="H78" s="86">
        <v>2806.6697864045559</v>
      </c>
      <c r="I78" s="97">
        <v>0.08</v>
      </c>
      <c r="J78" s="89">
        <v>22.245455412768152</v>
      </c>
      <c r="K78" s="89">
        <v>67.696912096674438</v>
      </c>
      <c r="L78" s="97">
        <v>1.0000000000299108E-2</v>
      </c>
      <c r="M78" s="97">
        <v>0.70719204202235519</v>
      </c>
      <c r="N78" s="101">
        <v>0.69732477584976971</v>
      </c>
    </row>
    <row r="79" spans="2:14" x14ac:dyDescent="0.25">
      <c r="B79" s="100">
        <v>45730</v>
      </c>
      <c r="C79" s="86">
        <v>1417.3212852503425</v>
      </c>
      <c r="D79" s="97">
        <v>1.0252842044337755</v>
      </c>
      <c r="E79" s="89">
        <v>24.992064419421247</v>
      </c>
      <c r="F79" s="89">
        <v>44.97575033069981</v>
      </c>
      <c r="G79" s="86">
        <v>1541.628214272813</v>
      </c>
      <c r="H79" s="86">
        <v>2911.6502541774998</v>
      </c>
      <c r="I79" s="97">
        <v>0.12</v>
      </c>
      <c r="J79" s="89">
        <v>19.544005425928692</v>
      </c>
      <c r="K79" s="89">
        <v>70.917813726643544</v>
      </c>
      <c r="L79" s="97">
        <v>0.01</v>
      </c>
      <c r="M79" s="97">
        <v>1.0231404932569844E-2</v>
      </c>
      <c r="N79" s="101">
        <v>2.6312263631191775E-2</v>
      </c>
    </row>
    <row r="80" spans="2:14" x14ac:dyDescent="0.25">
      <c r="B80" s="100">
        <v>45731</v>
      </c>
      <c r="C80" s="86">
        <v>1188.6047698750124</v>
      </c>
      <c r="D80" s="97">
        <v>1.0839096987926806</v>
      </c>
      <c r="E80" s="89">
        <v>24.52387218316602</v>
      </c>
      <c r="F80" s="89">
        <v>77.490540487108888</v>
      </c>
      <c r="G80" s="86">
        <v>1262.6374259109857</v>
      </c>
      <c r="H80" s="86">
        <v>2481.9620811537338</v>
      </c>
      <c r="I80" s="97">
        <v>0.12</v>
      </c>
      <c r="J80" s="89">
        <v>27.24719578332201</v>
      </c>
      <c r="K80" s="89">
        <v>65.66380499434436</v>
      </c>
      <c r="L80" s="97">
        <v>1.0025980265485616E-2</v>
      </c>
      <c r="M80" s="97">
        <v>0.91275758466013168</v>
      </c>
      <c r="N80" s="101">
        <v>3.1460319957642686</v>
      </c>
    </row>
    <row r="81" spans="2:14" x14ac:dyDescent="0.25">
      <c r="B81" s="100">
        <v>45732</v>
      </c>
      <c r="C81" s="86">
        <v>1468.5444829979438</v>
      </c>
      <c r="D81" s="97">
        <v>0.96522592733918255</v>
      </c>
      <c r="E81" s="89">
        <v>25.426588675216777</v>
      </c>
      <c r="F81" s="89">
        <v>66.972207268404262</v>
      </c>
      <c r="G81" s="86">
        <v>1453.6890258070835</v>
      </c>
      <c r="H81" s="86">
        <v>2612.5259275976819</v>
      </c>
      <c r="I81" s="97">
        <v>0.13</v>
      </c>
      <c r="J81" s="89">
        <v>24.332133547890351</v>
      </c>
      <c r="K81" s="89">
        <v>52.530038533378061</v>
      </c>
      <c r="L81" s="97">
        <v>1.0597662965134128E-2</v>
      </c>
      <c r="M81" s="97">
        <v>1.0245089786264634</v>
      </c>
      <c r="N81" s="101">
        <v>1.277188987738904</v>
      </c>
    </row>
    <row r="82" spans="2:14" x14ac:dyDescent="0.25">
      <c r="B82" s="100">
        <v>45733</v>
      </c>
      <c r="C82" s="86">
        <v>1893.0510741089024</v>
      </c>
      <c r="D82" s="97">
        <v>0.97626870435549018</v>
      </c>
      <c r="E82" s="89">
        <v>31.031105744851139</v>
      </c>
      <c r="F82" s="89">
        <v>74.262131745331843</v>
      </c>
      <c r="G82" s="86">
        <v>1827.3464496759705</v>
      </c>
      <c r="H82" s="86">
        <v>2867.4857994271983</v>
      </c>
      <c r="I82" s="97">
        <v>0.15118864685606662</v>
      </c>
      <c r="J82" s="89">
        <v>20.284544941947772</v>
      </c>
      <c r="K82" s="89">
        <v>55.067381396507265</v>
      </c>
      <c r="L82" s="97">
        <v>0.01</v>
      </c>
      <c r="M82" s="97">
        <v>0.46273549627860333</v>
      </c>
      <c r="N82" s="101">
        <v>1.3328167212791977</v>
      </c>
    </row>
    <row r="83" spans="2:14" x14ac:dyDescent="0.25">
      <c r="B83" s="100">
        <v>45734</v>
      </c>
      <c r="C83" s="86">
        <v>195.14914570566179</v>
      </c>
      <c r="D83" s="97">
        <v>0.79482444614018455</v>
      </c>
      <c r="E83" s="89">
        <v>20.49251086062598</v>
      </c>
      <c r="F83" s="89">
        <v>46.316522054877275</v>
      </c>
      <c r="G83" s="86">
        <v>352.03805260869058</v>
      </c>
      <c r="H83" s="86">
        <v>528.14616480480993</v>
      </c>
      <c r="I83" s="97">
        <v>0.12831221167907383</v>
      </c>
      <c r="J83" s="89">
        <v>20.921440664784324</v>
      </c>
      <c r="K83" s="89">
        <v>52.629693698934858</v>
      </c>
      <c r="L83" s="97">
        <v>0.01</v>
      </c>
      <c r="M83" s="97">
        <v>0.42532396677350753</v>
      </c>
      <c r="N83" s="101">
        <v>3.3077233603509879</v>
      </c>
    </row>
    <row r="84" spans="2:14" x14ac:dyDescent="0.25">
      <c r="B84" s="100">
        <v>45735</v>
      </c>
      <c r="C84" s="86">
        <v>1915.9477307774685</v>
      </c>
      <c r="D84" s="97">
        <v>0.96205622077464559</v>
      </c>
      <c r="E84" s="89">
        <v>30.201619179324137</v>
      </c>
      <c r="F84" s="89">
        <v>53.283972203683561</v>
      </c>
      <c r="G84" s="86">
        <v>1904.3973035361396</v>
      </c>
      <c r="H84" s="86">
        <v>4523.3402730681673</v>
      </c>
      <c r="I84" s="97">
        <v>7.7284182903199675E-2</v>
      </c>
      <c r="J84" s="89">
        <v>17.831325503009417</v>
      </c>
      <c r="K84" s="89">
        <v>49.887405169535384</v>
      </c>
      <c r="L84" s="97">
        <v>0.01</v>
      </c>
      <c r="M84" s="97">
        <v>0.41549442992648988</v>
      </c>
      <c r="N84" s="101">
        <v>1.9747761233313754</v>
      </c>
    </row>
    <row r="85" spans="2:14" x14ac:dyDescent="0.25">
      <c r="B85" s="100">
        <v>45736</v>
      </c>
      <c r="C85" s="86">
        <v>1866.780309028934</v>
      </c>
      <c r="D85" s="97">
        <v>1.38590107765391</v>
      </c>
      <c r="E85" s="89">
        <v>25.403175800834916</v>
      </c>
      <c r="F85" s="89">
        <v>56.31797942747226</v>
      </c>
      <c r="G85" s="86">
        <v>1819.7461737093556</v>
      </c>
      <c r="H85" s="86">
        <v>3961.0901511413836</v>
      </c>
      <c r="I85" s="97">
        <v>0.14000000000000001</v>
      </c>
      <c r="J85" s="89">
        <v>21.369555924980634</v>
      </c>
      <c r="K85" s="89">
        <v>45.924675505791718</v>
      </c>
      <c r="L85" s="97">
        <v>1.5835919496973643E-2</v>
      </c>
      <c r="M85" s="97">
        <v>0.21060761445647252</v>
      </c>
      <c r="N85" s="101">
        <v>0.10115086662943948</v>
      </c>
    </row>
    <row r="86" spans="2:14" x14ac:dyDescent="0.25">
      <c r="B86" s="100">
        <v>45737</v>
      </c>
      <c r="C86" s="86">
        <v>1721.4836497979857</v>
      </c>
      <c r="D86" s="97">
        <v>0.74628549866412819</v>
      </c>
      <c r="E86" s="89">
        <v>24.253646449502224</v>
      </c>
      <c r="F86" s="89">
        <v>57.851392691556526</v>
      </c>
      <c r="G86" s="86">
        <v>1768.517785117564</v>
      </c>
      <c r="H86" s="86">
        <v>3858.025224602362</v>
      </c>
      <c r="I86" s="97">
        <v>0.11022319455027099</v>
      </c>
      <c r="J86" s="89">
        <v>19.940680861363184</v>
      </c>
      <c r="K86" s="89">
        <v>50.89826811001975</v>
      </c>
      <c r="L86" s="97">
        <v>1.1404478460488388E-2</v>
      </c>
      <c r="M86" s="97">
        <v>0.48353468626255569</v>
      </c>
      <c r="N86" s="101">
        <v>1.2095039786624651</v>
      </c>
    </row>
    <row r="87" spans="2:14" x14ac:dyDescent="0.25">
      <c r="B87" s="100">
        <v>45738</v>
      </c>
      <c r="C87" s="86">
        <v>1800.1088395864624</v>
      </c>
      <c r="D87" s="97">
        <v>0.78984405099260158</v>
      </c>
      <c r="E87" s="89">
        <v>16.760620469123264</v>
      </c>
      <c r="F87" s="89">
        <v>51.513775535794558</v>
      </c>
      <c r="G87" s="86">
        <v>1661.1285481929697</v>
      </c>
      <c r="H87" s="86">
        <v>3671.8474427615165</v>
      </c>
      <c r="I87" s="97">
        <v>0.09</v>
      </c>
      <c r="J87" s="89">
        <v>5.7852336075162114</v>
      </c>
      <c r="K87" s="89">
        <v>28.665173203271252</v>
      </c>
      <c r="L87" s="97">
        <v>0.01</v>
      </c>
      <c r="M87" s="97">
        <v>0.58062413499539201</v>
      </c>
      <c r="N87" s="101">
        <v>5.3201774740143</v>
      </c>
    </row>
    <row r="88" spans="2:14" x14ac:dyDescent="0.25">
      <c r="B88" s="100">
        <v>45739</v>
      </c>
      <c r="C88" s="86">
        <v>1754.3321485148515</v>
      </c>
      <c r="D88" s="97">
        <v>0.83911388416818999</v>
      </c>
      <c r="E88" s="89">
        <v>19.979785304285933</v>
      </c>
      <c r="F88" s="89">
        <v>44.819728200674682</v>
      </c>
      <c r="G88" s="86">
        <v>1422.8558956819877</v>
      </c>
      <c r="H88" s="86">
        <v>3354.7343867854715</v>
      </c>
      <c r="I88" s="97">
        <v>9.4771897810218983E-2</v>
      </c>
      <c r="J88" s="89">
        <v>24.21956072647653</v>
      </c>
      <c r="K88" s="89">
        <v>54.009929555649997</v>
      </c>
      <c r="L88" s="97">
        <v>1.0078201890351066E-2</v>
      </c>
      <c r="M88" s="97">
        <v>9.9999999999999915E-3</v>
      </c>
      <c r="N88" s="101">
        <v>1.0179850985662549</v>
      </c>
    </row>
    <row r="89" spans="2:14" x14ac:dyDescent="0.25">
      <c r="B89" s="100">
        <v>45740</v>
      </c>
      <c r="C89" s="86">
        <v>1521.1118378759411</v>
      </c>
      <c r="D89" s="97">
        <v>0.7448428387910091</v>
      </c>
      <c r="E89" s="89">
        <v>13.97963643291151</v>
      </c>
      <c r="F89" s="89">
        <v>44.317863940780647</v>
      </c>
      <c r="G89" s="86">
        <v>1535.8871215258589</v>
      </c>
      <c r="H89" s="86">
        <v>3042.695133860841</v>
      </c>
      <c r="I89" s="97">
        <v>7.0000000000000007E-2</v>
      </c>
      <c r="J89" s="89">
        <v>12.186839353392946</v>
      </c>
      <c r="K89" s="89">
        <v>49</v>
      </c>
      <c r="L89" s="97">
        <v>0.01</v>
      </c>
      <c r="M89" s="97">
        <v>0.66331863817834291</v>
      </c>
      <c r="N89" s="101">
        <v>0.01</v>
      </c>
    </row>
    <row r="90" spans="2:14" x14ac:dyDescent="0.25">
      <c r="B90" s="100">
        <v>45741</v>
      </c>
      <c r="C90" s="86">
        <v>1570.8982778110399</v>
      </c>
      <c r="D90" s="97">
        <v>0.24519460314025673</v>
      </c>
      <c r="E90" s="89">
        <v>16.643321209862847</v>
      </c>
      <c r="F90" s="89">
        <v>42.309566853275221</v>
      </c>
      <c r="G90" s="86">
        <v>1556.1229941611216</v>
      </c>
      <c r="H90" s="86">
        <v>2982.7408276510696</v>
      </c>
      <c r="I90" s="97">
        <v>0.08</v>
      </c>
      <c r="J90" s="89">
        <v>12.147561177348649</v>
      </c>
      <c r="K90" s="89">
        <v>44</v>
      </c>
      <c r="L90" s="97">
        <v>0.01</v>
      </c>
      <c r="M90" s="97">
        <v>9.9991800000000016E-3</v>
      </c>
      <c r="N90" s="101">
        <v>1.1398149266352005</v>
      </c>
    </row>
    <row r="91" spans="2:14" x14ac:dyDescent="0.25">
      <c r="B91" s="100">
        <v>45742</v>
      </c>
      <c r="C91" s="86">
        <v>1684.5255722058141</v>
      </c>
      <c r="D91" s="97">
        <v>0.59951780880608585</v>
      </c>
      <c r="E91" s="89">
        <v>13.401353146184542</v>
      </c>
      <c r="F91" s="89">
        <v>49.210304950749872</v>
      </c>
      <c r="G91" s="86">
        <v>1794.905956853614</v>
      </c>
      <c r="H91" s="86">
        <v>3739.7705325737511</v>
      </c>
      <c r="I91" s="97">
        <v>0.08</v>
      </c>
      <c r="J91" s="89">
        <v>12.883095402346868</v>
      </c>
      <c r="K91" s="89">
        <v>43.701034906486207</v>
      </c>
      <c r="L91" s="97">
        <v>0.11454670855698161</v>
      </c>
      <c r="M91" s="97">
        <v>0.23094737563088921</v>
      </c>
      <c r="N91" s="101">
        <v>1.000000000000003E-2</v>
      </c>
    </row>
    <row r="92" spans="2:14" x14ac:dyDescent="0.25">
      <c r="B92" s="100">
        <v>45743</v>
      </c>
      <c r="C92" s="86">
        <v>1717.4941245567279</v>
      </c>
      <c r="D92" s="97">
        <v>0.55839902812518472</v>
      </c>
      <c r="E92" s="89">
        <v>19.265842268479506</v>
      </c>
      <c r="F92" s="89">
        <v>48.150867144019024</v>
      </c>
      <c r="G92" s="86">
        <v>1726.8916968667845</v>
      </c>
      <c r="H92" s="86">
        <v>3879.8589678888411</v>
      </c>
      <c r="I92" s="97">
        <v>0.08</v>
      </c>
      <c r="J92" s="89">
        <v>11.807054847805778</v>
      </c>
      <c r="K92" s="89">
        <v>38.474384765590095</v>
      </c>
      <c r="L92" s="97">
        <v>0.01</v>
      </c>
      <c r="M92" s="97">
        <v>0.69494951030599061</v>
      </c>
      <c r="N92" s="101">
        <v>0.47259790280424585</v>
      </c>
    </row>
    <row r="93" spans="2:14" x14ac:dyDescent="0.25">
      <c r="B93" s="100">
        <v>45744</v>
      </c>
      <c r="C93" s="86">
        <v>1625.15</v>
      </c>
      <c r="D93" s="97">
        <v>0.71490300090492442</v>
      </c>
      <c r="E93" s="89">
        <v>22.77630362221749</v>
      </c>
      <c r="F93" s="89">
        <v>44.639633433182979</v>
      </c>
      <c r="G93" s="86">
        <v>1694.7006658851308</v>
      </c>
      <c r="H93" s="86">
        <v>4021.6951657214308</v>
      </c>
      <c r="I93" s="97">
        <v>0.08</v>
      </c>
      <c r="J93" s="89">
        <v>10.421258292054199</v>
      </c>
      <c r="K93" s="89">
        <v>56.094975002065631</v>
      </c>
      <c r="L93" s="97">
        <v>1.0018004942209341E-2</v>
      </c>
      <c r="M93" s="97">
        <v>9.9991200000000644E-3</v>
      </c>
      <c r="N93" s="101">
        <v>0.36430622883257907</v>
      </c>
    </row>
    <row r="94" spans="2:14" x14ac:dyDescent="0.25">
      <c r="B94" s="100">
        <v>45745</v>
      </c>
      <c r="C94" s="86">
        <v>1795.2684704492763</v>
      </c>
      <c r="D94" s="97">
        <v>0.83984412993151136</v>
      </c>
      <c r="E94" s="89">
        <v>20.686036415916515</v>
      </c>
      <c r="F94" s="89">
        <v>48.378838026732637</v>
      </c>
      <c r="G94" s="86">
        <v>1727.1250982848678</v>
      </c>
      <c r="H94" s="86">
        <v>4400.6703024252238</v>
      </c>
      <c r="I94" s="97">
        <v>7.0000000000000007E-2</v>
      </c>
      <c r="J94" s="89">
        <v>13.413459096395783</v>
      </c>
      <c r="K94" s="89">
        <v>44.812591357170135</v>
      </c>
      <c r="L94" s="97">
        <v>0.01</v>
      </c>
      <c r="M94" s="97">
        <v>5.1279523866012005</v>
      </c>
      <c r="N94" s="101">
        <v>0.53037906680416635</v>
      </c>
    </row>
    <row r="95" spans="2:14" x14ac:dyDescent="0.25">
      <c r="B95" s="100">
        <v>45746</v>
      </c>
      <c r="C95" s="86">
        <v>1417.510149652903</v>
      </c>
      <c r="D95" s="97">
        <v>0.54716141466001789</v>
      </c>
      <c r="E95" s="89">
        <v>18.725002713420277</v>
      </c>
      <c r="F95" s="89">
        <v>52.860866305212042</v>
      </c>
      <c r="G95" s="86">
        <v>1417.5101496529028</v>
      </c>
      <c r="H95" s="86">
        <v>3360.5714345008091</v>
      </c>
      <c r="I95" s="97">
        <v>0.09</v>
      </c>
      <c r="J95" s="89">
        <v>19.139883754234983</v>
      </c>
      <c r="K95" s="89">
        <v>51.131718985991036</v>
      </c>
      <c r="L95" s="97">
        <v>1.0000167330107858E-2</v>
      </c>
      <c r="M95" s="97">
        <v>3.4874385242593425E-2</v>
      </c>
      <c r="N95" s="101">
        <v>0.3294268802448308</v>
      </c>
    </row>
    <row r="96" spans="2:14" x14ac:dyDescent="0.25">
      <c r="B96" s="102">
        <v>45747</v>
      </c>
      <c r="C96" s="87">
        <v>0</v>
      </c>
      <c r="D96" s="103">
        <v>0</v>
      </c>
      <c r="E96" s="90">
        <v>0</v>
      </c>
      <c r="F96" s="90">
        <v>0</v>
      </c>
      <c r="G96" s="87">
        <v>0</v>
      </c>
      <c r="H96" s="87">
        <v>0</v>
      </c>
      <c r="I96" s="103">
        <v>0</v>
      </c>
      <c r="J96" s="90">
        <v>0</v>
      </c>
      <c r="K96" s="90">
        <v>0</v>
      </c>
      <c r="L96" s="103">
        <v>0</v>
      </c>
      <c r="M96" s="103">
        <v>0</v>
      </c>
      <c r="N96" s="104">
        <v>0</v>
      </c>
    </row>
    <row r="97" spans="2:14" x14ac:dyDescent="0.25">
      <c r="B97" s="100">
        <v>45748</v>
      </c>
      <c r="C97" s="86">
        <v>1715.2046373517192</v>
      </c>
      <c r="D97" s="97">
        <v>0.48472371131843384</v>
      </c>
      <c r="E97" s="89">
        <v>11.738284896288626</v>
      </c>
      <c r="F97" s="89">
        <v>39.754295888913632</v>
      </c>
      <c r="G97" s="86">
        <v>1802.4877963918098</v>
      </c>
      <c r="H97" s="86">
        <v>4317.4837480855203</v>
      </c>
      <c r="I97" s="97">
        <v>5.880597014925374E-2</v>
      </c>
      <c r="J97" s="89">
        <v>10.925797427447016</v>
      </c>
      <c r="K97" s="89">
        <v>39.785522864921198</v>
      </c>
      <c r="L97" s="97">
        <v>1.1353595736040348E-2</v>
      </c>
      <c r="M97" s="97">
        <v>0.39813537073766625</v>
      </c>
      <c r="N97" s="101">
        <v>6.9475650047511051E-2</v>
      </c>
    </row>
    <row r="98" spans="2:14" x14ac:dyDescent="0.25">
      <c r="B98" s="100">
        <v>45749</v>
      </c>
      <c r="C98" s="86">
        <v>1963.3383067524101</v>
      </c>
      <c r="D98" s="97">
        <v>0.40595132902046688</v>
      </c>
      <c r="E98" s="89">
        <v>11.698304703789724</v>
      </c>
      <c r="F98" s="89">
        <v>41.722718193270033</v>
      </c>
      <c r="G98" s="86">
        <v>1978.2181431279155</v>
      </c>
      <c r="H98" s="86">
        <v>4782.0102287932923</v>
      </c>
      <c r="I98" s="97">
        <v>6.0152538709349189E-2</v>
      </c>
      <c r="J98" s="89">
        <v>9.4786825082237574</v>
      </c>
      <c r="K98" s="89">
        <v>38.123726333281795</v>
      </c>
      <c r="L98" s="97">
        <v>0.01</v>
      </c>
      <c r="M98" s="97">
        <v>0.52856442045198215</v>
      </c>
      <c r="N98" s="101">
        <v>0.17306105656482856</v>
      </c>
    </row>
    <row r="99" spans="2:14" x14ac:dyDescent="0.25">
      <c r="B99" s="100">
        <v>45750</v>
      </c>
      <c r="C99" s="86">
        <v>569.11410912842825</v>
      </c>
      <c r="D99" s="97">
        <v>0.61095879750304849</v>
      </c>
      <c r="E99" s="89">
        <v>14.427118868509734</v>
      </c>
      <c r="F99" s="89">
        <v>54.099572836778634</v>
      </c>
      <c r="G99" s="86">
        <v>569.11410912842803</v>
      </c>
      <c r="H99" s="86">
        <v>1244.2319042734709</v>
      </c>
      <c r="I99" s="97">
        <v>0.15195457647694624</v>
      </c>
      <c r="J99" s="89">
        <v>8.9056237558562259</v>
      </c>
      <c r="K99" s="89">
        <v>26.191371352740116</v>
      </c>
      <c r="L99" s="97">
        <v>2.2190251619896961E-2</v>
      </c>
      <c r="M99" s="97">
        <v>0.44444258389486907</v>
      </c>
      <c r="N99" s="101">
        <v>4.7276917606917905</v>
      </c>
    </row>
    <row r="100" spans="2:14" x14ac:dyDescent="0.25">
      <c r="B100" s="100">
        <v>45751</v>
      </c>
      <c r="C100" s="86">
        <v>2297.3582162029415</v>
      </c>
      <c r="D100" s="97">
        <v>0.40063573961453103</v>
      </c>
      <c r="E100" s="89">
        <v>9.5160900506217416</v>
      </c>
      <c r="F100" s="89">
        <v>51.548075341186959</v>
      </c>
      <c r="G100" s="86">
        <v>2140.2676378117276</v>
      </c>
      <c r="H100" s="86">
        <v>4975.573137237755</v>
      </c>
      <c r="I100" s="97">
        <v>7.6185193416440478E-2</v>
      </c>
      <c r="J100" s="89">
        <v>12.168247742717316</v>
      </c>
      <c r="K100" s="89">
        <v>34.247922860141493</v>
      </c>
      <c r="L100" s="97">
        <v>1.0012937513064644E-2</v>
      </c>
      <c r="M100" s="97">
        <v>0.279292179848669</v>
      </c>
      <c r="N100" s="101">
        <v>9.9990211033028822E-3</v>
      </c>
    </row>
    <row r="101" spans="2:14" x14ac:dyDescent="0.25">
      <c r="B101" s="100">
        <v>45752</v>
      </c>
      <c r="C101" s="86">
        <v>2126.6493076597794</v>
      </c>
      <c r="D101" s="97">
        <v>0.62625161945591457</v>
      </c>
      <c r="E101" s="89">
        <v>13.68752423628664</v>
      </c>
      <c r="F101" s="89">
        <v>45.707556114419368</v>
      </c>
      <c r="G101" s="86">
        <v>2044.7440600208888</v>
      </c>
      <c r="H101" s="86">
        <v>4482.1670498612993</v>
      </c>
      <c r="I101" s="97">
        <v>8.3549103744782291E-2</v>
      </c>
      <c r="J101" s="89">
        <v>15.769058738032232</v>
      </c>
      <c r="K101" s="89">
        <v>48.862802789889301</v>
      </c>
      <c r="L101" s="97">
        <v>0.01</v>
      </c>
      <c r="M101" s="97">
        <v>0.43895717618468083</v>
      </c>
      <c r="N101" s="101">
        <v>9.9991660861759434E-3</v>
      </c>
    </row>
    <row r="102" spans="2:14" x14ac:dyDescent="0.25">
      <c r="B102" s="100">
        <v>45753</v>
      </c>
      <c r="C102" s="86">
        <v>2135.7400000000002</v>
      </c>
      <c r="D102" s="97">
        <v>1.0784593848365225</v>
      </c>
      <c r="E102" s="89">
        <v>38.963179538122056</v>
      </c>
      <c r="F102" s="89">
        <v>39.748555750418511</v>
      </c>
      <c r="G102" s="86">
        <v>2079.1715238145239</v>
      </c>
      <c r="H102" s="86">
        <v>3996.3656264154101</v>
      </c>
      <c r="I102" s="97">
        <v>0.10492973794151157</v>
      </c>
      <c r="J102" s="89">
        <v>14.273897949389561</v>
      </c>
      <c r="K102" s="89">
        <v>55.335898250995491</v>
      </c>
      <c r="L102" s="97">
        <v>9.9999999970541553E-3</v>
      </c>
      <c r="M102" s="97">
        <v>0.39328323420578976</v>
      </c>
      <c r="N102" s="101">
        <v>0.40972809176502262</v>
      </c>
    </row>
    <row r="103" spans="2:14" x14ac:dyDescent="0.25">
      <c r="B103" s="100">
        <v>45754</v>
      </c>
      <c r="C103" s="86">
        <v>2005.0955914642886</v>
      </c>
      <c r="D103" s="97">
        <v>1.1730244887246286</v>
      </c>
      <c r="E103" s="89">
        <v>29.371382288340605</v>
      </c>
      <c r="F103" s="89">
        <v>30.362770244280476</v>
      </c>
      <c r="G103" s="86">
        <v>1996.7001877802004</v>
      </c>
      <c r="H103" s="86">
        <v>4021.6256080216481</v>
      </c>
      <c r="I103" s="97">
        <v>0.10637846981337976</v>
      </c>
      <c r="J103" s="89">
        <v>30.333496842784708</v>
      </c>
      <c r="K103" s="89">
        <v>18.820712079692552</v>
      </c>
      <c r="L103" s="97">
        <v>1.0000950547436317E-2</v>
      </c>
      <c r="M103" s="97">
        <v>0.47720855499423054</v>
      </c>
      <c r="N103" s="101">
        <v>0.18144011802923207</v>
      </c>
    </row>
    <row r="104" spans="2:14" x14ac:dyDescent="0.25">
      <c r="B104" s="100">
        <v>45755</v>
      </c>
      <c r="C104" s="86">
        <v>1943.3687649713547</v>
      </c>
      <c r="D104" s="97">
        <v>0.99134739216904455</v>
      </c>
      <c r="E104" s="89">
        <v>87.094283378355485</v>
      </c>
      <c r="F104" s="89">
        <v>53.864210910620713</v>
      </c>
      <c r="G104" s="86">
        <v>1981.5222449796224</v>
      </c>
      <c r="H104" s="86">
        <v>4100.2282235051507</v>
      </c>
      <c r="I104" s="97">
        <v>0.14122178272994831</v>
      </c>
      <c r="J104" s="89">
        <v>38</v>
      </c>
      <c r="K104" s="89">
        <v>34.155588928814112</v>
      </c>
      <c r="L104" s="97">
        <v>1.000635304640384E-2</v>
      </c>
      <c r="M104" s="97">
        <v>0.39540429718232001</v>
      </c>
      <c r="N104" s="101">
        <v>0.11514631883489797</v>
      </c>
    </row>
    <row r="105" spans="2:14" x14ac:dyDescent="0.25">
      <c r="B105" s="100">
        <v>45756</v>
      </c>
      <c r="C105" s="86">
        <v>62.310000000000016</v>
      </c>
      <c r="D105" s="97">
        <v>0.9925105965703539</v>
      </c>
      <c r="E105" s="89">
        <v>58.566339981037515</v>
      </c>
      <c r="F105" s="89">
        <v>52.150073336749543</v>
      </c>
      <c r="G105" s="86">
        <v>62.309999999999945</v>
      </c>
      <c r="H105" s="86">
        <v>126.07574300199266</v>
      </c>
      <c r="I105" s="97">
        <v>5.992543247063755E-2</v>
      </c>
      <c r="J105" s="89">
        <v>38.336942399911216</v>
      </c>
      <c r="K105" s="89">
        <v>56.706257837517477</v>
      </c>
      <c r="L105" s="97">
        <v>1.0048179907824258E-2</v>
      </c>
      <c r="M105" s="97">
        <v>0.25127679365187949</v>
      </c>
      <c r="N105" s="101">
        <v>0.50963570566439353</v>
      </c>
    </row>
    <row r="106" spans="2:14" x14ac:dyDescent="0.25">
      <c r="B106" s="100">
        <v>45757</v>
      </c>
      <c r="C106" s="86">
        <v>0</v>
      </c>
      <c r="D106" s="97">
        <v>0</v>
      </c>
      <c r="E106" s="89">
        <v>0</v>
      </c>
      <c r="F106" s="89">
        <v>0</v>
      </c>
      <c r="G106" s="86">
        <v>0</v>
      </c>
      <c r="H106" s="86">
        <v>0</v>
      </c>
      <c r="I106" s="97">
        <v>0</v>
      </c>
      <c r="J106" s="89">
        <v>0</v>
      </c>
      <c r="K106" s="89">
        <v>0</v>
      </c>
      <c r="L106" s="97">
        <v>0</v>
      </c>
      <c r="M106" s="97">
        <v>0</v>
      </c>
      <c r="N106" s="101">
        <v>0</v>
      </c>
    </row>
    <row r="107" spans="2:14" x14ac:dyDescent="0.25">
      <c r="B107" s="100">
        <v>45758</v>
      </c>
      <c r="C107" s="86">
        <v>1247.82</v>
      </c>
      <c r="D107" s="97">
        <v>0.92949621796591997</v>
      </c>
      <c r="E107" s="89">
        <v>38.800910157089902</v>
      </c>
      <c r="F107" s="89">
        <v>54.6209576525155</v>
      </c>
      <c r="G107" s="86">
        <v>1247.82</v>
      </c>
      <c r="H107" s="86">
        <v>2322.5061607437101</v>
      </c>
      <c r="I107" s="97">
        <v>9.3440424346855899E-2</v>
      </c>
      <c r="J107" s="89">
        <v>41.342452062907498</v>
      </c>
      <c r="K107" s="89">
        <v>53.677885208523328</v>
      </c>
      <c r="L107" s="97">
        <v>1.0000336333569499E-2</v>
      </c>
      <c r="M107" s="97">
        <v>0.37359164756989682</v>
      </c>
      <c r="N107" s="101">
        <v>0.37599406655764689</v>
      </c>
    </row>
    <row r="108" spans="2:14" x14ac:dyDescent="0.25">
      <c r="B108" s="100">
        <v>45759</v>
      </c>
      <c r="C108" s="86">
        <v>1756.3000232860991</v>
      </c>
      <c r="D108" s="97">
        <v>0.88083989711555477</v>
      </c>
      <c r="E108" s="89">
        <v>18.600911727336669</v>
      </c>
      <c r="F108" s="89">
        <v>44.791513098757932</v>
      </c>
      <c r="G108" s="86">
        <v>1953.1665670322836</v>
      </c>
      <c r="H108" s="86">
        <v>4326.7915565114745</v>
      </c>
      <c r="I108" s="97">
        <v>0.08</v>
      </c>
      <c r="J108" s="89">
        <v>26.5</v>
      </c>
      <c r="K108" s="89">
        <v>46.502000451906852</v>
      </c>
      <c r="L108" s="97">
        <v>1.000835738062021E-2</v>
      </c>
      <c r="M108" s="97">
        <v>0.31524115566836602</v>
      </c>
      <c r="N108" s="101">
        <v>0.75329013980440362</v>
      </c>
    </row>
    <row r="109" spans="2:14" x14ac:dyDescent="0.25">
      <c r="B109" s="100">
        <v>45760</v>
      </c>
      <c r="C109" s="86">
        <v>1836.8942662444515</v>
      </c>
      <c r="D109" s="97">
        <v>0.58626375043085932</v>
      </c>
      <c r="E109" s="89">
        <v>18.904786597504071</v>
      </c>
      <c r="F109" s="89">
        <v>47.69923424336303</v>
      </c>
      <c r="G109" s="86">
        <v>1880.0520121618954</v>
      </c>
      <c r="H109" s="86">
        <v>3785.4759325453838</v>
      </c>
      <c r="I109" s="97">
        <v>0.08</v>
      </c>
      <c r="J109" s="89">
        <v>26.703265546416301</v>
      </c>
      <c r="K109" s="89">
        <v>48.017355330462919</v>
      </c>
      <c r="L109" s="97">
        <v>0.01</v>
      </c>
      <c r="M109" s="97">
        <v>0.86934505568327147</v>
      </c>
      <c r="N109" s="101">
        <v>0.56079454452803357</v>
      </c>
    </row>
    <row r="110" spans="2:14" x14ac:dyDescent="0.25">
      <c r="B110" s="100">
        <v>45761</v>
      </c>
      <c r="C110" s="86">
        <v>1562.0342857588514</v>
      </c>
      <c r="D110" s="97">
        <v>1.3630779151655876</v>
      </c>
      <c r="E110" s="89">
        <v>33.628403869591359</v>
      </c>
      <c r="F110" s="89">
        <v>42.281205489326553</v>
      </c>
      <c r="G110" s="86">
        <v>1587.8910862290716</v>
      </c>
      <c r="H110" s="86">
        <v>2992.6821878433257</v>
      </c>
      <c r="I110" s="97">
        <v>9.1139830756333931E-2</v>
      </c>
      <c r="J110" s="89">
        <v>21.855413520863589</v>
      </c>
      <c r="K110" s="89">
        <v>42.590400407063058</v>
      </c>
      <c r="L110" s="97">
        <v>1.0145745219721032E-2</v>
      </c>
      <c r="M110" s="97">
        <v>0.51375622180971792</v>
      </c>
      <c r="N110" s="101">
        <v>1.0000000000000004E-2</v>
      </c>
    </row>
    <row r="111" spans="2:14" x14ac:dyDescent="0.25">
      <c r="B111" s="100">
        <v>45762</v>
      </c>
      <c r="C111" s="86">
        <v>2297.2000000000003</v>
      </c>
      <c r="D111" s="97">
        <v>0.93680516565205252</v>
      </c>
      <c r="E111" s="89">
        <v>16.691196907421968</v>
      </c>
      <c r="F111" s="89">
        <v>38.194998438859272</v>
      </c>
      <c r="G111" s="86">
        <v>2216.098786673133</v>
      </c>
      <c r="H111" s="86">
        <v>3911.8248065954231</v>
      </c>
      <c r="I111" s="97">
        <v>0.10292613483716256</v>
      </c>
      <c r="J111" s="89">
        <v>18.333576193332284</v>
      </c>
      <c r="K111" s="89">
        <v>37.329062286689208</v>
      </c>
      <c r="L111" s="97">
        <v>1.0059047292190091E-2</v>
      </c>
      <c r="M111" s="97">
        <v>0.598286677389821</v>
      </c>
      <c r="N111" s="101">
        <v>9.9999999999999985E-3</v>
      </c>
    </row>
    <row r="112" spans="2:14" x14ac:dyDescent="0.25">
      <c r="B112" s="100">
        <v>45763</v>
      </c>
      <c r="C112" s="86">
        <v>1705.7299654306744</v>
      </c>
      <c r="D112" s="97">
        <v>1.4455755656314613</v>
      </c>
      <c r="E112" s="89">
        <v>19.473843443989491</v>
      </c>
      <c r="F112" s="89">
        <v>46.200994715464965</v>
      </c>
      <c r="G112" s="86">
        <v>1674.9722894975935</v>
      </c>
      <c r="H112" s="86">
        <v>3116.4137512089169</v>
      </c>
      <c r="I112" s="97">
        <v>6.9615607429510049E-2</v>
      </c>
      <c r="J112" s="89">
        <v>13.238967974079472</v>
      </c>
      <c r="K112" s="89">
        <v>45.924003811408809</v>
      </c>
      <c r="L112" s="97">
        <v>1.0190141204568457E-2</v>
      </c>
      <c r="M112" s="97">
        <v>0.73620898576254468</v>
      </c>
      <c r="N112" s="101">
        <v>0.50667091944722953</v>
      </c>
    </row>
    <row r="113" spans="2:14" x14ac:dyDescent="0.25">
      <c r="B113" s="100">
        <v>45764</v>
      </c>
      <c r="C113" s="86">
        <v>2214.2897696378827</v>
      </c>
      <c r="D113" s="97">
        <v>0.87092974940208256</v>
      </c>
      <c r="E113" s="89">
        <v>28.94118911001874</v>
      </c>
      <c r="F113" s="89">
        <v>48.951546639162295</v>
      </c>
      <c r="G113" s="86">
        <v>2250.3664497054119</v>
      </c>
      <c r="H113" s="86">
        <v>3848.246836613579</v>
      </c>
      <c r="I113" s="97">
        <v>8.063829973131148E-2</v>
      </c>
      <c r="J113" s="89">
        <v>20.582440432423585</v>
      </c>
      <c r="K113" s="89">
        <v>47.944444783811932</v>
      </c>
      <c r="L113" s="97">
        <v>1.0045011718051354E-2</v>
      </c>
      <c r="M113" s="97">
        <v>0.77084980014239923</v>
      </c>
      <c r="N113" s="101">
        <v>0.21844397878951904</v>
      </c>
    </row>
    <row r="114" spans="2:14" x14ac:dyDescent="0.25">
      <c r="B114" s="100">
        <v>45765</v>
      </c>
      <c r="C114" s="86">
        <v>1993.0629235417155</v>
      </c>
      <c r="D114" s="97">
        <v>1.071215082833413</v>
      </c>
      <c r="E114" s="89">
        <v>44.186857490352601</v>
      </c>
      <c r="F114" s="89">
        <v>82.598356919098038</v>
      </c>
      <c r="G114" s="86">
        <v>2124.3391360200412</v>
      </c>
      <c r="H114" s="86">
        <v>3575.9453117150888</v>
      </c>
      <c r="I114" s="97">
        <v>0.12426189662271392</v>
      </c>
      <c r="J114" s="89">
        <v>12.448637326713985</v>
      </c>
      <c r="K114" s="89">
        <v>61.714420730613789</v>
      </c>
      <c r="L114" s="97">
        <v>1.0013187019072048E-2</v>
      </c>
      <c r="M114" s="97">
        <v>1.0524772804807132</v>
      </c>
      <c r="N114" s="101">
        <v>0.79869996631806717</v>
      </c>
    </row>
    <row r="115" spans="2:14" x14ac:dyDescent="0.25">
      <c r="B115" s="100">
        <v>45766</v>
      </c>
      <c r="C115" s="86">
        <v>2070.1490345520424</v>
      </c>
      <c r="D115" s="97">
        <v>0.90027546809516734</v>
      </c>
      <c r="E115" s="89">
        <v>27.301512707718661</v>
      </c>
      <c r="F115" s="89">
        <v>104.53714569245703</v>
      </c>
      <c r="G115" s="86">
        <v>1989.2077919366536</v>
      </c>
      <c r="H115" s="86">
        <v>3525.4597277585576</v>
      </c>
      <c r="I115" s="97">
        <v>9.592246303489077E-2</v>
      </c>
      <c r="J115" s="89">
        <v>33.194322588167815</v>
      </c>
      <c r="K115" s="89">
        <v>100.68755969511739</v>
      </c>
      <c r="L115" s="97">
        <v>1.0096382087116487E-2</v>
      </c>
      <c r="M115" s="97">
        <v>0.76630818603830442</v>
      </c>
      <c r="N115" s="101">
        <v>0.49096962530119465</v>
      </c>
    </row>
    <row r="116" spans="2:14" x14ac:dyDescent="0.25">
      <c r="B116" s="100">
        <v>45767</v>
      </c>
      <c r="C116" s="86">
        <v>2117.0533260822526</v>
      </c>
      <c r="D116" s="97">
        <v>0.73061689127325313</v>
      </c>
      <c r="E116" s="89">
        <v>19.421741613748672</v>
      </c>
      <c r="F116" s="89">
        <v>65.899495769554548</v>
      </c>
      <c r="G116" s="86">
        <v>2013.4480124463621</v>
      </c>
      <c r="H116" s="86">
        <v>3651.9378080648462</v>
      </c>
      <c r="I116" s="97">
        <v>0.11423831994897371</v>
      </c>
      <c r="J116" s="89">
        <v>22.014647951107733</v>
      </c>
      <c r="K116" s="89">
        <v>62.432912028174343</v>
      </c>
      <c r="L116" s="97">
        <v>0.01</v>
      </c>
      <c r="M116" s="97">
        <v>0.68161310953893695</v>
      </c>
      <c r="N116" s="101">
        <v>1.1870430760919635</v>
      </c>
    </row>
    <row r="117" spans="2:14" x14ac:dyDescent="0.25">
      <c r="B117" s="100">
        <v>45768</v>
      </c>
      <c r="C117" s="86">
        <v>1761.2757964654027</v>
      </c>
      <c r="D117" s="97">
        <v>0.86762774404723719</v>
      </c>
      <c r="E117" s="89">
        <v>20.453673503679894</v>
      </c>
      <c r="F117" s="89">
        <v>55.187004522346498</v>
      </c>
      <c r="G117" s="86">
        <v>1812.5540607999051</v>
      </c>
      <c r="H117" s="86">
        <v>3165.3932304811542</v>
      </c>
      <c r="I117" s="97">
        <v>8.6683466545663418E-2</v>
      </c>
      <c r="J117" s="89">
        <v>14.557887645104874</v>
      </c>
      <c r="K117" s="89">
        <v>55.375492554138006</v>
      </c>
      <c r="L117" s="97">
        <v>0.01</v>
      </c>
      <c r="M117" s="97">
        <v>0.76280306161354161</v>
      </c>
      <c r="N117" s="101">
        <v>0.41871308493007781</v>
      </c>
    </row>
    <row r="118" spans="2:14" x14ac:dyDescent="0.25">
      <c r="B118" s="100">
        <v>45769</v>
      </c>
      <c r="C118" s="86">
        <v>1833.7122666453495</v>
      </c>
      <c r="D118" s="97">
        <v>0.89406268969558456</v>
      </c>
      <c r="E118" s="89">
        <v>17.621856151673033</v>
      </c>
      <c r="F118" s="89">
        <v>56.472655528768449</v>
      </c>
      <c r="G118" s="86">
        <v>1747.2700454541828</v>
      </c>
      <c r="H118" s="86">
        <v>3521.7603738980883</v>
      </c>
      <c r="I118" s="97">
        <v>0.10667076246445981</v>
      </c>
      <c r="J118" s="89">
        <v>13.28300133760701</v>
      </c>
      <c r="K118" s="89">
        <v>55.736390566792203</v>
      </c>
      <c r="L118" s="97">
        <v>1.0003801172576493E-2</v>
      </c>
      <c r="M118" s="97">
        <v>0.25889505439635097</v>
      </c>
      <c r="N118" s="101">
        <v>0.41455131443086923</v>
      </c>
    </row>
  </sheetData>
  <mergeCells count="10">
    <mergeCell ref="D4:F4"/>
    <mergeCell ref="B2:B6"/>
    <mergeCell ref="C2:F2"/>
    <mergeCell ref="C3:F3"/>
    <mergeCell ref="G4:G5"/>
    <mergeCell ref="G2:N2"/>
    <mergeCell ref="G3:N3"/>
    <mergeCell ref="H4:H5"/>
    <mergeCell ref="I4:K4"/>
    <mergeCell ref="L4:N4"/>
  </mergeCells>
  <conditionalFormatting sqref="B98:F118">
    <cfRule type="expression" dxfId="98" priority="4">
      <formula>_xlfn.ISFORMULA(B98)</formula>
    </cfRule>
    <cfRule type="expression" priority="5">
      <formula>isvalue(B98)</formula>
    </cfRule>
  </conditionalFormatting>
  <conditionalFormatting sqref="B2:N118">
    <cfRule type="cellIs" dxfId="97" priority="1" operator="equal">
      <formula>0</formula>
    </cfRule>
  </conditionalFormatting>
  <conditionalFormatting sqref="C98:F118">
    <cfRule type="cellIs" dxfId="96" priority="2" operator="equal">
      <formula>0</formula>
    </cfRule>
    <cfRule type="cellIs" dxfId="95" priority="8" operator="greaterThan">
      <formula>100</formula>
    </cfRule>
    <cfRule type="cellIs" dxfId="94" priority="9" operator="between">
      <formula>10</formula>
      <formula>100</formula>
    </cfRule>
    <cfRule type="cellIs" dxfId="93" priority="10" operator="between">
      <formula>1</formula>
      <formula>10</formula>
    </cfRule>
    <cfRule type="cellIs" dxfId="92" priority="11" operator="between">
      <formula>0</formula>
      <formula>1</formula>
    </cfRule>
  </conditionalFormatting>
  <pageMargins left="0.7" right="0.7" top="0.75" bottom="0.75" header="0.3" footer="0.3"/>
  <headerFooter>
    <oddFooter>&amp;C_x000D_&amp;1#&amp;"Calibri"&amp;10&amp;K000000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1067-CEF1-4FDC-849C-522E300F2AE2}">
  <sheetPr>
    <tabColor rgb="FF002060"/>
  </sheetPr>
  <dimension ref="C1:AZ388"/>
  <sheetViews>
    <sheetView showGridLines="0" topLeftCell="A8" zoomScale="94" zoomScaleNormal="80" workbookViewId="0">
      <pane xSplit="6" ySplit="8" topLeftCell="AJ361" activePane="bottomRight" state="frozen"/>
      <selection pane="topRight" activeCell="G8" sqref="G8"/>
      <selection pane="bottomLeft" activeCell="A16" sqref="A16"/>
      <selection pane="bottomRight" activeCell="AW246" sqref="AW246"/>
    </sheetView>
  </sheetViews>
  <sheetFormatPr defaultColWidth="8.7109375" defaultRowHeight="15" x14ac:dyDescent="0.25"/>
  <cols>
    <col min="1" max="3" width="4.140625" style="1" customWidth="1"/>
    <col min="4" max="5" width="8.5703125" style="2" customWidth="1"/>
    <col min="6" max="6" width="11.42578125" style="2" customWidth="1"/>
    <col min="7" max="49" width="8.5703125" style="3" customWidth="1"/>
    <col min="50" max="50" width="3.5703125" style="1" customWidth="1"/>
    <col min="51" max="16384" width="8.7109375" style="1"/>
  </cols>
  <sheetData>
    <row r="1" spans="3:52" ht="15.75" thickBot="1" x14ac:dyDescent="0.3"/>
    <row r="2" spans="3:52" ht="14.45" customHeight="1" x14ac:dyDescent="0.25">
      <c r="C2" s="126" t="s">
        <v>17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8"/>
    </row>
    <row r="3" spans="3:52" ht="14.45" customHeight="1" x14ac:dyDescent="0.25">
      <c r="C3" s="129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1"/>
    </row>
    <row r="4" spans="3:52" ht="14.45" customHeight="1" x14ac:dyDescent="0.25"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1"/>
    </row>
    <row r="5" spans="3:52" ht="14.45" customHeight="1" x14ac:dyDescent="0.25">
      <c r="C5" s="129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1"/>
    </row>
    <row r="6" spans="3:52" ht="14.45" customHeight="1" x14ac:dyDescent="0.25"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1"/>
    </row>
    <row r="7" spans="3:52" ht="14.45" customHeight="1" x14ac:dyDescent="0.25"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1"/>
    </row>
    <row r="8" spans="3:52" ht="20.45" customHeight="1" thickBot="1" x14ac:dyDescent="0.3"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4"/>
    </row>
    <row r="9" spans="3:52" s="5" customFormat="1" x14ac:dyDescent="0.25">
      <c r="C9" s="4"/>
      <c r="D9" s="5">
        <v>1</v>
      </c>
      <c r="E9" s="5">
        <f>D9+1</f>
        <v>2</v>
      </c>
      <c r="F9" s="5">
        <f t="shared" ref="F9:AW9" si="0">E9+1</f>
        <v>3</v>
      </c>
      <c r="G9" s="5">
        <f t="shared" si="0"/>
        <v>4</v>
      </c>
      <c r="H9" s="5">
        <f t="shared" si="0"/>
        <v>5</v>
      </c>
      <c r="I9" s="5">
        <f t="shared" si="0"/>
        <v>6</v>
      </c>
      <c r="J9" s="5">
        <f t="shared" si="0"/>
        <v>7</v>
      </c>
      <c r="K9" s="5">
        <f t="shared" si="0"/>
        <v>8</v>
      </c>
      <c r="L9" s="5">
        <f t="shared" si="0"/>
        <v>9</v>
      </c>
      <c r="M9" s="5">
        <f t="shared" si="0"/>
        <v>10</v>
      </c>
      <c r="N9" s="5">
        <f t="shared" si="0"/>
        <v>11</v>
      </c>
      <c r="O9" s="5">
        <f t="shared" si="0"/>
        <v>12</v>
      </c>
      <c r="P9" s="5">
        <f t="shared" si="0"/>
        <v>13</v>
      </c>
      <c r="Q9" s="5">
        <f t="shared" si="0"/>
        <v>14</v>
      </c>
      <c r="R9" s="5">
        <f t="shared" si="0"/>
        <v>15</v>
      </c>
      <c r="S9" s="5">
        <f t="shared" si="0"/>
        <v>16</v>
      </c>
      <c r="T9" s="5">
        <f t="shared" si="0"/>
        <v>17</v>
      </c>
      <c r="U9" s="5">
        <f t="shared" si="0"/>
        <v>18</v>
      </c>
      <c r="V9" s="5">
        <f t="shared" si="0"/>
        <v>19</v>
      </c>
      <c r="W9" s="5">
        <f t="shared" si="0"/>
        <v>20</v>
      </c>
      <c r="X9" s="5">
        <f t="shared" si="0"/>
        <v>21</v>
      </c>
      <c r="Y9" s="5">
        <f t="shared" si="0"/>
        <v>22</v>
      </c>
      <c r="Z9" s="5">
        <f t="shared" si="0"/>
        <v>23</v>
      </c>
      <c r="AA9" s="5">
        <f t="shared" si="0"/>
        <v>24</v>
      </c>
      <c r="AB9" s="5">
        <f t="shared" si="0"/>
        <v>25</v>
      </c>
      <c r="AC9" s="5">
        <f t="shared" si="0"/>
        <v>26</v>
      </c>
      <c r="AD9" s="5">
        <f t="shared" si="0"/>
        <v>27</v>
      </c>
      <c r="AE9" s="5">
        <f t="shared" si="0"/>
        <v>28</v>
      </c>
      <c r="AF9" s="5">
        <f t="shared" si="0"/>
        <v>29</v>
      </c>
      <c r="AG9" s="5">
        <f t="shared" si="0"/>
        <v>30</v>
      </c>
      <c r="AH9" s="5">
        <f t="shared" si="0"/>
        <v>31</v>
      </c>
      <c r="AI9" s="5">
        <f t="shared" si="0"/>
        <v>32</v>
      </c>
      <c r="AJ9" s="5">
        <f t="shared" si="0"/>
        <v>33</v>
      </c>
      <c r="AK9" s="5">
        <f t="shared" si="0"/>
        <v>34</v>
      </c>
      <c r="AL9" s="5">
        <f t="shared" si="0"/>
        <v>35</v>
      </c>
      <c r="AM9" s="5">
        <f t="shared" si="0"/>
        <v>36</v>
      </c>
      <c r="AN9" s="5">
        <f t="shared" si="0"/>
        <v>37</v>
      </c>
      <c r="AO9" s="5">
        <f t="shared" si="0"/>
        <v>38</v>
      </c>
      <c r="AP9" s="5">
        <f t="shared" si="0"/>
        <v>39</v>
      </c>
      <c r="AQ9" s="5">
        <f t="shared" si="0"/>
        <v>40</v>
      </c>
      <c r="AR9" s="5">
        <f t="shared" si="0"/>
        <v>41</v>
      </c>
      <c r="AS9" s="5">
        <f t="shared" si="0"/>
        <v>42</v>
      </c>
      <c r="AT9" s="5">
        <f t="shared" si="0"/>
        <v>43</v>
      </c>
      <c r="AU9" s="5">
        <f t="shared" si="0"/>
        <v>44</v>
      </c>
      <c r="AV9" s="5">
        <f t="shared" si="0"/>
        <v>45</v>
      </c>
      <c r="AW9" s="5">
        <f t="shared" si="0"/>
        <v>46</v>
      </c>
      <c r="AX9" s="6"/>
    </row>
    <row r="10" spans="3:52" ht="15" customHeight="1" x14ac:dyDescent="0.25">
      <c r="C10" s="7"/>
      <c r="D10" s="135" t="s">
        <v>0</v>
      </c>
      <c r="E10" s="136"/>
      <c r="F10" s="136"/>
      <c r="G10" s="139" t="s">
        <v>18</v>
      </c>
      <c r="H10" s="141" t="s">
        <v>19</v>
      </c>
      <c r="I10" s="142"/>
      <c r="J10" s="142"/>
      <c r="K10" s="143"/>
      <c r="L10" s="147" t="s">
        <v>20</v>
      </c>
      <c r="M10" s="148"/>
      <c r="N10" s="148"/>
      <c r="O10" s="149"/>
      <c r="P10" s="153" t="s">
        <v>21</v>
      </c>
      <c r="Q10" s="154"/>
      <c r="R10" s="154"/>
      <c r="S10" s="154"/>
      <c r="T10" s="155"/>
      <c r="U10" s="147" t="s">
        <v>22</v>
      </c>
      <c r="V10" s="148"/>
      <c r="W10" s="159"/>
      <c r="X10" s="159"/>
      <c r="Y10" s="149"/>
      <c r="Z10" s="161" t="s">
        <v>23</v>
      </c>
      <c r="AA10" s="162"/>
      <c r="AB10" s="162"/>
      <c r="AC10" s="162"/>
      <c r="AD10" s="163"/>
      <c r="AE10" s="167" t="s">
        <v>24</v>
      </c>
      <c r="AF10" s="168"/>
      <c r="AG10" s="168"/>
      <c r="AH10" s="168"/>
      <c r="AI10" s="169"/>
      <c r="AJ10" s="173" t="s">
        <v>25</v>
      </c>
      <c r="AK10" s="174"/>
      <c r="AL10" s="174"/>
      <c r="AM10" s="174"/>
      <c r="AN10" s="175"/>
      <c r="AO10" s="179" t="s">
        <v>26</v>
      </c>
      <c r="AP10" s="180"/>
      <c r="AQ10" s="180"/>
      <c r="AR10" s="180"/>
      <c r="AS10" s="181"/>
      <c r="AT10" s="185" t="s">
        <v>27</v>
      </c>
      <c r="AU10" s="186"/>
      <c r="AV10" s="189" t="s">
        <v>28</v>
      </c>
      <c r="AW10" s="190"/>
      <c r="AX10" s="8"/>
    </row>
    <row r="11" spans="3:52" ht="15" customHeight="1" x14ac:dyDescent="0.25">
      <c r="C11" s="7"/>
      <c r="D11" s="137"/>
      <c r="E11" s="138"/>
      <c r="F11" s="138"/>
      <c r="G11" s="140"/>
      <c r="H11" s="144"/>
      <c r="I11" s="145"/>
      <c r="J11" s="145"/>
      <c r="K11" s="146"/>
      <c r="L11" s="150"/>
      <c r="M11" s="151"/>
      <c r="N11" s="151"/>
      <c r="O11" s="152"/>
      <c r="P11" s="156"/>
      <c r="Q11" s="157"/>
      <c r="R11" s="157"/>
      <c r="S11" s="157"/>
      <c r="T11" s="158"/>
      <c r="U11" s="150"/>
      <c r="V11" s="151"/>
      <c r="W11" s="160"/>
      <c r="X11" s="160"/>
      <c r="Y11" s="152"/>
      <c r="Z11" s="164"/>
      <c r="AA11" s="165"/>
      <c r="AB11" s="165"/>
      <c r="AC11" s="165"/>
      <c r="AD11" s="166"/>
      <c r="AE11" s="170"/>
      <c r="AF11" s="171"/>
      <c r="AG11" s="171"/>
      <c r="AH11" s="171"/>
      <c r="AI11" s="172"/>
      <c r="AJ11" s="176"/>
      <c r="AK11" s="177"/>
      <c r="AL11" s="177"/>
      <c r="AM11" s="177"/>
      <c r="AN11" s="178"/>
      <c r="AO11" s="182"/>
      <c r="AP11" s="183"/>
      <c r="AQ11" s="183"/>
      <c r="AR11" s="183"/>
      <c r="AS11" s="184"/>
      <c r="AT11" s="187"/>
      <c r="AU11" s="188"/>
      <c r="AV11" s="191"/>
      <c r="AW11" s="192"/>
      <c r="AX11" s="8"/>
    </row>
    <row r="12" spans="3:52" ht="15" customHeight="1" x14ac:dyDescent="0.25">
      <c r="C12" s="7"/>
      <c r="D12" s="137"/>
      <c r="E12" s="138"/>
      <c r="F12" s="138"/>
      <c r="G12" s="193" t="s">
        <v>29</v>
      </c>
      <c r="H12" s="194" t="s">
        <v>29</v>
      </c>
      <c r="I12" s="195" t="s">
        <v>30</v>
      </c>
      <c r="J12" s="198" t="s">
        <v>31</v>
      </c>
      <c r="K12" s="199" t="s">
        <v>32</v>
      </c>
      <c r="L12" s="200" t="s">
        <v>29</v>
      </c>
      <c r="M12" s="201" t="s">
        <v>31</v>
      </c>
      <c r="N12" s="205" t="s">
        <v>30</v>
      </c>
      <c r="O12" s="204" t="s">
        <v>32</v>
      </c>
      <c r="P12" s="206" t="s">
        <v>29</v>
      </c>
      <c r="Q12" s="207" t="s">
        <v>30</v>
      </c>
      <c r="R12" s="207" t="s">
        <v>31</v>
      </c>
      <c r="S12" s="210" t="s">
        <v>32</v>
      </c>
      <c r="T12" s="211" t="s">
        <v>33</v>
      </c>
      <c r="U12" s="200" t="s">
        <v>29</v>
      </c>
      <c r="V12" s="201" t="s">
        <v>30</v>
      </c>
      <c r="W12" s="205" t="s">
        <v>31</v>
      </c>
      <c r="X12" s="201" t="s">
        <v>32</v>
      </c>
      <c r="Y12" s="204" t="s">
        <v>33</v>
      </c>
      <c r="Z12" s="217" t="s">
        <v>29</v>
      </c>
      <c r="AA12" s="218" t="s">
        <v>30</v>
      </c>
      <c r="AB12" s="218" t="s">
        <v>31</v>
      </c>
      <c r="AC12" s="221" t="s">
        <v>32</v>
      </c>
      <c r="AD12" s="222" t="s">
        <v>33</v>
      </c>
      <c r="AE12" s="225" t="s">
        <v>29</v>
      </c>
      <c r="AF12" s="226" t="s">
        <v>30</v>
      </c>
      <c r="AG12" s="229" t="s">
        <v>31</v>
      </c>
      <c r="AH12" s="229" t="s">
        <v>32</v>
      </c>
      <c r="AI12" s="230" t="s">
        <v>33</v>
      </c>
      <c r="AJ12" s="233" t="s">
        <v>29</v>
      </c>
      <c r="AK12" s="214" t="s">
        <v>30</v>
      </c>
      <c r="AL12" s="237" t="s">
        <v>31</v>
      </c>
      <c r="AM12" s="237" t="s">
        <v>32</v>
      </c>
      <c r="AN12" s="238" t="s">
        <v>34</v>
      </c>
      <c r="AO12" s="239" t="s">
        <v>29</v>
      </c>
      <c r="AP12" s="240" t="s">
        <v>30</v>
      </c>
      <c r="AQ12" s="243" t="s">
        <v>31</v>
      </c>
      <c r="AR12" s="243" t="s">
        <v>32</v>
      </c>
      <c r="AS12" s="244" t="s">
        <v>34</v>
      </c>
      <c r="AT12" s="245" t="s">
        <v>29</v>
      </c>
      <c r="AU12" s="246" t="s">
        <v>31</v>
      </c>
      <c r="AV12" s="249" t="s">
        <v>35</v>
      </c>
      <c r="AW12" s="234" t="s">
        <v>36</v>
      </c>
      <c r="AX12" s="8"/>
    </row>
    <row r="13" spans="3:52" ht="15" customHeight="1" x14ac:dyDescent="0.25">
      <c r="C13" s="7"/>
      <c r="D13" s="137"/>
      <c r="E13" s="138"/>
      <c r="F13" s="138"/>
      <c r="G13" s="193"/>
      <c r="H13" s="194"/>
      <c r="I13" s="196"/>
      <c r="J13" s="198"/>
      <c r="K13" s="199"/>
      <c r="L13" s="200"/>
      <c r="M13" s="202"/>
      <c r="N13" s="205"/>
      <c r="O13" s="204"/>
      <c r="P13" s="206"/>
      <c r="Q13" s="208"/>
      <c r="R13" s="208"/>
      <c r="S13" s="210"/>
      <c r="T13" s="212"/>
      <c r="U13" s="200"/>
      <c r="V13" s="202"/>
      <c r="W13" s="205"/>
      <c r="X13" s="202"/>
      <c r="Y13" s="204"/>
      <c r="Z13" s="217"/>
      <c r="AA13" s="219"/>
      <c r="AB13" s="219"/>
      <c r="AC13" s="221"/>
      <c r="AD13" s="223"/>
      <c r="AE13" s="225"/>
      <c r="AF13" s="227"/>
      <c r="AG13" s="229"/>
      <c r="AH13" s="229"/>
      <c r="AI13" s="231"/>
      <c r="AJ13" s="233"/>
      <c r="AK13" s="215"/>
      <c r="AL13" s="237"/>
      <c r="AM13" s="237"/>
      <c r="AN13" s="238"/>
      <c r="AO13" s="239"/>
      <c r="AP13" s="241"/>
      <c r="AQ13" s="243"/>
      <c r="AR13" s="243"/>
      <c r="AS13" s="244"/>
      <c r="AT13" s="245"/>
      <c r="AU13" s="247"/>
      <c r="AV13" s="249"/>
      <c r="AW13" s="235"/>
      <c r="AX13" s="8"/>
    </row>
    <row r="14" spans="3:52" ht="15" customHeight="1" x14ac:dyDescent="0.25">
      <c r="C14" s="7"/>
      <c r="D14" s="137"/>
      <c r="E14" s="138"/>
      <c r="F14" s="138"/>
      <c r="G14" s="193"/>
      <c r="H14" s="194"/>
      <c r="I14" s="197"/>
      <c r="J14" s="198"/>
      <c r="K14" s="199"/>
      <c r="L14" s="200"/>
      <c r="M14" s="203"/>
      <c r="N14" s="205"/>
      <c r="O14" s="204"/>
      <c r="P14" s="206"/>
      <c r="Q14" s="209"/>
      <c r="R14" s="209"/>
      <c r="S14" s="210"/>
      <c r="T14" s="213"/>
      <c r="U14" s="200"/>
      <c r="V14" s="203"/>
      <c r="W14" s="205"/>
      <c r="X14" s="203"/>
      <c r="Y14" s="204"/>
      <c r="Z14" s="217"/>
      <c r="AA14" s="220"/>
      <c r="AB14" s="220"/>
      <c r="AC14" s="221"/>
      <c r="AD14" s="224"/>
      <c r="AE14" s="225"/>
      <c r="AF14" s="228"/>
      <c r="AG14" s="229"/>
      <c r="AH14" s="229"/>
      <c r="AI14" s="232"/>
      <c r="AJ14" s="233"/>
      <c r="AK14" s="216"/>
      <c r="AL14" s="237"/>
      <c r="AM14" s="237"/>
      <c r="AN14" s="238"/>
      <c r="AO14" s="239"/>
      <c r="AP14" s="242"/>
      <c r="AQ14" s="243"/>
      <c r="AR14" s="243"/>
      <c r="AS14" s="244"/>
      <c r="AT14" s="245"/>
      <c r="AU14" s="248"/>
      <c r="AV14" s="249"/>
      <c r="AW14" s="236"/>
      <c r="AX14" s="8"/>
    </row>
    <row r="15" spans="3:52" s="41" customFormat="1" ht="21.6" customHeight="1" x14ac:dyDescent="0.25">
      <c r="C15" s="9"/>
      <c r="D15" s="137"/>
      <c r="E15" s="138"/>
      <c r="F15" s="138"/>
      <c r="G15" s="10" t="s">
        <v>37</v>
      </c>
      <c r="H15" s="11" t="s">
        <v>37</v>
      </c>
      <c r="I15" s="12" t="s">
        <v>38</v>
      </c>
      <c r="J15" s="12" t="s">
        <v>14</v>
      </c>
      <c r="K15" s="13" t="s">
        <v>14</v>
      </c>
      <c r="L15" s="14" t="s">
        <v>37</v>
      </c>
      <c r="M15" s="15" t="s">
        <v>38</v>
      </c>
      <c r="N15" s="15" t="s">
        <v>38</v>
      </c>
      <c r="O15" s="16" t="s">
        <v>14</v>
      </c>
      <c r="P15" s="17" t="s">
        <v>37</v>
      </c>
      <c r="Q15" s="18" t="s">
        <v>38</v>
      </c>
      <c r="R15" s="19" t="s">
        <v>14</v>
      </c>
      <c r="S15" s="19" t="s">
        <v>14</v>
      </c>
      <c r="T15" s="20" t="s">
        <v>39</v>
      </c>
      <c r="U15" s="14" t="s">
        <v>37</v>
      </c>
      <c r="V15" s="15" t="s">
        <v>38</v>
      </c>
      <c r="W15" s="15" t="s">
        <v>14</v>
      </c>
      <c r="X15" s="21" t="s">
        <v>14</v>
      </c>
      <c r="Y15" s="16" t="s">
        <v>39</v>
      </c>
      <c r="Z15" s="22" t="s">
        <v>37</v>
      </c>
      <c r="AA15" s="23" t="s">
        <v>38</v>
      </c>
      <c r="AB15" s="24" t="s">
        <v>14</v>
      </c>
      <c r="AC15" s="24" t="s">
        <v>14</v>
      </c>
      <c r="AD15" s="25" t="s">
        <v>39</v>
      </c>
      <c r="AE15" s="26" t="s">
        <v>37</v>
      </c>
      <c r="AF15" s="27" t="s">
        <v>38</v>
      </c>
      <c r="AG15" s="28" t="s">
        <v>14</v>
      </c>
      <c r="AH15" s="28" t="s">
        <v>14</v>
      </c>
      <c r="AI15" s="29" t="s">
        <v>39</v>
      </c>
      <c r="AJ15" s="30" t="s">
        <v>37</v>
      </c>
      <c r="AK15" s="31" t="s">
        <v>38</v>
      </c>
      <c r="AL15" s="31" t="s">
        <v>14</v>
      </c>
      <c r="AM15" s="31" t="s">
        <v>14</v>
      </c>
      <c r="AN15" s="32" t="s">
        <v>39</v>
      </c>
      <c r="AO15" s="33" t="s">
        <v>37</v>
      </c>
      <c r="AP15" s="34" t="s">
        <v>38</v>
      </c>
      <c r="AQ15" s="34" t="s">
        <v>14</v>
      </c>
      <c r="AR15" s="34" t="s">
        <v>14</v>
      </c>
      <c r="AS15" s="35" t="s">
        <v>39</v>
      </c>
      <c r="AT15" s="36" t="s">
        <v>37</v>
      </c>
      <c r="AU15" s="37" t="s">
        <v>38</v>
      </c>
      <c r="AV15" s="38" t="s">
        <v>37</v>
      </c>
      <c r="AW15" s="39" t="s">
        <v>38</v>
      </c>
      <c r="AX15" s="40"/>
    </row>
    <row r="16" spans="3:52" ht="15" customHeight="1" x14ac:dyDescent="0.25">
      <c r="C16" s="42">
        <v>1</v>
      </c>
      <c r="D16" s="43">
        <f>DATE([1]Dash!$F$3,VLOOKUP([1]Dash!$E$3,[1]Abb!$C$3:$D$14,2,FALSE),C16)</f>
        <v>45658</v>
      </c>
      <c r="E16" s="44">
        <v>0.25</v>
      </c>
      <c r="F16" s="45">
        <f>D16+E16</f>
        <v>45658.25</v>
      </c>
      <c r="G16" s="46"/>
      <c r="H16" s="47"/>
      <c r="I16" s="48"/>
      <c r="J16" s="48"/>
      <c r="K16" s="49"/>
      <c r="L16" s="50"/>
      <c r="M16" s="48"/>
      <c r="N16" s="48"/>
      <c r="O16" s="51"/>
      <c r="P16" s="47"/>
      <c r="Q16" s="48"/>
      <c r="R16" s="49"/>
      <c r="S16" s="49"/>
      <c r="T16" s="51"/>
      <c r="U16" s="50"/>
      <c r="V16" s="48"/>
      <c r="W16" s="49"/>
      <c r="X16" s="49"/>
      <c r="Y16" s="51"/>
      <c r="Z16" s="47"/>
      <c r="AA16" s="48"/>
      <c r="AB16" s="49"/>
      <c r="AC16" s="49"/>
      <c r="AD16" s="51"/>
      <c r="AE16" s="50"/>
      <c r="AF16" s="48"/>
      <c r="AG16" s="49"/>
      <c r="AH16" s="49"/>
      <c r="AI16" s="51"/>
      <c r="AJ16" s="50"/>
      <c r="AK16" s="48"/>
      <c r="AL16" s="48"/>
      <c r="AM16" s="48"/>
      <c r="AN16" s="51"/>
      <c r="AO16" s="47"/>
      <c r="AP16" s="48"/>
      <c r="AQ16" s="48"/>
      <c r="AR16" s="48"/>
      <c r="AS16" s="51"/>
      <c r="AT16" s="50"/>
      <c r="AU16" s="51"/>
      <c r="AV16" s="50">
        <v>59.3994140625</v>
      </c>
      <c r="AW16" s="51">
        <v>378.16273651123049</v>
      </c>
      <c r="AX16" s="8"/>
      <c r="AZ16" s="1">
        <v>90</v>
      </c>
    </row>
    <row r="17" spans="3:52" ht="15" customHeight="1" x14ac:dyDescent="0.25">
      <c r="C17" s="42"/>
      <c r="D17" s="43">
        <f>D16</f>
        <v>45658</v>
      </c>
      <c r="E17" s="44">
        <f>E16+2/24</f>
        <v>0.33333333333333331</v>
      </c>
      <c r="F17" s="45">
        <f>F16+(E17-E16)</f>
        <v>45658.333333333336</v>
      </c>
      <c r="G17" s="52">
        <v>40</v>
      </c>
      <c r="H17" s="53">
        <v>40</v>
      </c>
      <c r="I17" s="54">
        <v>10.5</v>
      </c>
      <c r="J17" s="54">
        <v>300</v>
      </c>
      <c r="K17" s="55">
        <v>0</v>
      </c>
      <c r="L17" s="56">
        <v>39</v>
      </c>
      <c r="M17" s="54">
        <v>10.5</v>
      </c>
      <c r="N17" s="54">
        <v>300</v>
      </c>
      <c r="O17" s="57">
        <v>0</v>
      </c>
      <c r="P17" s="53">
        <v>38</v>
      </c>
      <c r="Q17" s="54">
        <v>10.5</v>
      </c>
      <c r="R17" s="55">
        <v>0</v>
      </c>
      <c r="S17" s="55">
        <v>0</v>
      </c>
      <c r="T17" s="57">
        <v>18.600000000000001</v>
      </c>
      <c r="U17" s="56">
        <v>38</v>
      </c>
      <c r="V17" s="54">
        <v>10.5</v>
      </c>
      <c r="W17" s="55">
        <v>0</v>
      </c>
      <c r="X17" s="55">
        <v>0</v>
      </c>
      <c r="Y17" s="57">
        <v>12</v>
      </c>
      <c r="Z17" s="53">
        <v>38</v>
      </c>
      <c r="AA17" s="54">
        <v>10.5</v>
      </c>
      <c r="AB17" s="55">
        <v>0</v>
      </c>
      <c r="AC17" s="55">
        <v>0</v>
      </c>
      <c r="AD17" s="57">
        <v>14</v>
      </c>
      <c r="AE17" s="56">
        <v>39</v>
      </c>
      <c r="AF17" s="54">
        <v>10.4</v>
      </c>
      <c r="AG17" s="55">
        <v>0</v>
      </c>
      <c r="AH17" s="55">
        <v>0</v>
      </c>
      <c r="AI17" s="57">
        <v>13.6</v>
      </c>
      <c r="AJ17" s="56">
        <v>38</v>
      </c>
      <c r="AK17" s="54">
        <v>10.4</v>
      </c>
      <c r="AL17" s="54">
        <v>0</v>
      </c>
      <c r="AM17" s="54">
        <v>0</v>
      </c>
      <c r="AN17" s="57">
        <v>14.6</v>
      </c>
      <c r="AO17" s="53">
        <v>37</v>
      </c>
      <c r="AP17" s="54">
        <v>10.3</v>
      </c>
      <c r="AQ17" s="54">
        <v>200</v>
      </c>
      <c r="AR17" s="54">
        <v>0</v>
      </c>
      <c r="AS17" s="57">
        <v>18</v>
      </c>
      <c r="AT17" s="56">
        <v>27</v>
      </c>
      <c r="AU17" s="57">
        <v>110</v>
      </c>
      <c r="AV17" s="56">
        <v>59.810382843017599</v>
      </c>
      <c r="AW17" s="57">
        <v>377.14349390665689</v>
      </c>
      <c r="AX17" s="8"/>
      <c r="AZ17" s="1">
        <v>90</v>
      </c>
    </row>
    <row r="18" spans="3:52" ht="15" customHeight="1" x14ac:dyDescent="0.25">
      <c r="C18" s="42"/>
      <c r="D18" s="43">
        <f>D16</f>
        <v>45658</v>
      </c>
      <c r="E18" s="44">
        <f t="shared" ref="E18:E27" si="1">E17+2/24</f>
        <v>0.41666666666666663</v>
      </c>
      <c r="F18" s="45">
        <f t="shared" ref="F18:F81" si="2">F17+(E18-E17)</f>
        <v>45658.416666666672</v>
      </c>
      <c r="G18" s="52">
        <v>0</v>
      </c>
      <c r="H18" s="53">
        <v>40</v>
      </c>
      <c r="I18" s="54">
        <v>10.6</v>
      </c>
      <c r="J18" s="54">
        <v>300</v>
      </c>
      <c r="K18" s="55">
        <v>0</v>
      </c>
      <c r="L18" s="56">
        <v>39</v>
      </c>
      <c r="M18" s="54">
        <v>10.5</v>
      </c>
      <c r="N18" s="54">
        <v>300</v>
      </c>
      <c r="O18" s="57">
        <v>0</v>
      </c>
      <c r="P18" s="53">
        <v>39</v>
      </c>
      <c r="Q18" s="54">
        <v>10.5</v>
      </c>
      <c r="R18" s="55">
        <v>0</v>
      </c>
      <c r="S18" s="55">
        <v>0</v>
      </c>
      <c r="T18" s="57">
        <v>18.2</v>
      </c>
      <c r="U18" s="56">
        <v>38</v>
      </c>
      <c r="V18" s="54">
        <v>10.5</v>
      </c>
      <c r="W18" s="55">
        <v>0</v>
      </c>
      <c r="X18" s="55">
        <v>0</v>
      </c>
      <c r="Y18" s="57">
        <v>12.2</v>
      </c>
      <c r="Z18" s="53">
        <v>38</v>
      </c>
      <c r="AA18" s="54">
        <v>10.4</v>
      </c>
      <c r="AB18" s="55">
        <v>0</v>
      </c>
      <c r="AC18" s="55">
        <v>0</v>
      </c>
      <c r="AD18" s="57">
        <v>14</v>
      </c>
      <c r="AE18" s="56">
        <v>38</v>
      </c>
      <c r="AF18" s="54">
        <v>10.4</v>
      </c>
      <c r="AG18" s="55">
        <v>0</v>
      </c>
      <c r="AH18" s="55">
        <v>0</v>
      </c>
      <c r="AI18" s="57">
        <v>13.2</v>
      </c>
      <c r="AJ18" s="56">
        <v>38</v>
      </c>
      <c r="AK18" s="54">
        <v>10.4</v>
      </c>
      <c r="AL18" s="54">
        <v>0</v>
      </c>
      <c r="AM18" s="54">
        <v>0</v>
      </c>
      <c r="AN18" s="57">
        <v>14</v>
      </c>
      <c r="AO18" s="53">
        <v>37</v>
      </c>
      <c r="AP18" s="54">
        <v>10.4</v>
      </c>
      <c r="AQ18" s="54">
        <v>190</v>
      </c>
      <c r="AR18" s="54">
        <v>0</v>
      </c>
      <c r="AS18" s="57">
        <v>18</v>
      </c>
      <c r="AT18" s="56">
        <v>28</v>
      </c>
      <c r="AU18" s="57">
        <v>100</v>
      </c>
      <c r="AV18" s="56">
        <v>58.69140625</v>
      </c>
      <c r="AW18" s="57">
        <v>377.43610127766925</v>
      </c>
      <c r="AX18" s="8"/>
      <c r="AZ18" s="1">
        <v>90</v>
      </c>
    </row>
    <row r="19" spans="3:52" ht="15" customHeight="1" x14ac:dyDescent="0.25">
      <c r="C19" s="42"/>
      <c r="D19" s="43">
        <f>D16</f>
        <v>45658</v>
      </c>
      <c r="E19" s="44">
        <f t="shared" si="1"/>
        <v>0.49999999999999994</v>
      </c>
      <c r="F19" s="45">
        <f t="shared" si="2"/>
        <v>45658.500000000007</v>
      </c>
      <c r="G19" s="52">
        <v>0</v>
      </c>
      <c r="H19" s="53">
        <v>39</v>
      </c>
      <c r="I19" s="54">
        <v>10.6</v>
      </c>
      <c r="J19" s="54">
        <v>300</v>
      </c>
      <c r="K19" s="55">
        <v>0</v>
      </c>
      <c r="L19" s="56">
        <v>38</v>
      </c>
      <c r="M19" s="54">
        <v>10.5</v>
      </c>
      <c r="N19" s="54">
        <v>300</v>
      </c>
      <c r="O19" s="57">
        <v>0</v>
      </c>
      <c r="P19" s="53">
        <v>38</v>
      </c>
      <c r="Q19" s="54">
        <v>10.5</v>
      </c>
      <c r="R19" s="55">
        <v>0</v>
      </c>
      <c r="S19" s="55">
        <v>0</v>
      </c>
      <c r="T19" s="57">
        <v>18.399999999999999</v>
      </c>
      <c r="U19" s="56">
        <v>38</v>
      </c>
      <c r="V19" s="54">
        <v>10.5</v>
      </c>
      <c r="W19" s="55">
        <v>0</v>
      </c>
      <c r="X19" s="55">
        <v>0</v>
      </c>
      <c r="Y19" s="57">
        <v>13</v>
      </c>
      <c r="Z19" s="53">
        <v>38</v>
      </c>
      <c r="AA19" s="54">
        <v>10.5</v>
      </c>
      <c r="AB19" s="55">
        <v>0</v>
      </c>
      <c r="AC19" s="55">
        <v>0</v>
      </c>
      <c r="AD19" s="57">
        <v>14.2</v>
      </c>
      <c r="AE19" s="56">
        <v>37</v>
      </c>
      <c r="AF19" s="54">
        <v>10.3</v>
      </c>
      <c r="AG19" s="55">
        <v>0</v>
      </c>
      <c r="AH19" s="55">
        <v>0</v>
      </c>
      <c r="AI19" s="57">
        <v>13.2</v>
      </c>
      <c r="AJ19" s="56">
        <v>37</v>
      </c>
      <c r="AK19" s="54">
        <v>10.4</v>
      </c>
      <c r="AL19" s="54">
        <v>0</v>
      </c>
      <c r="AM19" s="54">
        <v>0</v>
      </c>
      <c r="AN19" s="57">
        <v>14.2</v>
      </c>
      <c r="AO19" s="53">
        <v>36</v>
      </c>
      <c r="AP19" s="54">
        <v>10.3</v>
      </c>
      <c r="AQ19" s="54">
        <v>190</v>
      </c>
      <c r="AR19" s="54">
        <v>0</v>
      </c>
      <c r="AS19" s="57">
        <v>18</v>
      </c>
      <c r="AT19" s="56">
        <v>0</v>
      </c>
      <c r="AU19" s="57">
        <v>0</v>
      </c>
      <c r="AV19" s="56">
        <v>59.586589813232401</v>
      </c>
      <c r="AW19" s="57">
        <v>377.89713439941409</v>
      </c>
      <c r="AX19" s="8"/>
      <c r="AZ19" s="1">
        <v>90</v>
      </c>
    </row>
    <row r="20" spans="3:52" ht="15" customHeight="1" x14ac:dyDescent="0.25">
      <c r="C20" s="42"/>
      <c r="D20" s="43">
        <f>D16</f>
        <v>45658</v>
      </c>
      <c r="E20" s="44">
        <f t="shared" si="1"/>
        <v>0.58333333333333326</v>
      </c>
      <c r="F20" s="45">
        <f t="shared" si="2"/>
        <v>45658.583333333343</v>
      </c>
      <c r="G20" s="52">
        <v>0</v>
      </c>
      <c r="H20" s="53">
        <v>36</v>
      </c>
      <c r="I20" s="54">
        <v>10.3</v>
      </c>
      <c r="J20" s="54">
        <v>300</v>
      </c>
      <c r="K20" s="55">
        <v>0</v>
      </c>
      <c r="L20" s="56">
        <v>37</v>
      </c>
      <c r="M20" s="54">
        <v>10.4</v>
      </c>
      <c r="N20" s="54">
        <v>250</v>
      </c>
      <c r="O20" s="57">
        <v>0</v>
      </c>
      <c r="P20" s="53">
        <v>37</v>
      </c>
      <c r="Q20" s="54">
        <v>10.4</v>
      </c>
      <c r="R20" s="55">
        <v>0</v>
      </c>
      <c r="S20" s="55">
        <v>0</v>
      </c>
      <c r="T20" s="57">
        <v>13</v>
      </c>
      <c r="U20" s="56">
        <v>37</v>
      </c>
      <c r="V20" s="54">
        <v>10.5</v>
      </c>
      <c r="W20" s="55">
        <v>0</v>
      </c>
      <c r="X20" s="55">
        <v>0</v>
      </c>
      <c r="Y20" s="57">
        <v>12.6</v>
      </c>
      <c r="Z20" s="53">
        <v>37</v>
      </c>
      <c r="AA20" s="54">
        <v>10.4</v>
      </c>
      <c r="AB20" s="55">
        <v>0</v>
      </c>
      <c r="AC20" s="55">
        <v>0</v>
      </c>
      <c r="AD20" s="57">
        <v>14</v>
      </c>
      <c r="AE20" s="56">
        <v>36</v>
      </c>
      <c r="AF20" s="54">
        <v>10.3</v>
      </c>
      <c r="AG20" s="55">
        <v>0</v>
      </c>
      <c r="AH20" s="55">
        <v>0</v>
      </c>
      <c r="AI20" s="57">
        <v>13</v>
      </c>
      <c r="AJ20" s="56">
        <v>35</v>
      </c>
      <c r="AK20" s="54">
        <v>10.3</v>
      </c>
      <c r="AL20" s="54">
        <v>0</v>
      </c>
      <c r="AM20" s="54">
        <v>0</v>
      </c>
      <c r="AN20" s="57">
        <v>14.6</v>
      </c>
      <c r="AO20" s="53">
        <v>37</v>
      </c>
      <c r="AP20" s="54">
        <v>10.3</v>
      </c>
      <c r="AQ20" s="54">
        <v>180</v>
      </c>
      <c r="AR20" s="54">
        <v>0</v>
      </c>
      <c r="AS20" s="57">
        <v>18.2</v>
      </c>
      <c r="AT20" s="56">
        <v>0</v>
      </c>
      <c r="AU20" s="57">
        <v>0</v>
      </c>
      <c r="AV20" s="56">
        <v>61.128742218017599</v>
      </c>
      <c r="AW20" s="57">
        <v>368.52876663208008</v>
      </c>
      <c r="AX20" s="8"/>
      <c r="AZ20" s="1">
        <v>90</v>
      </c>
    </row>
    <row r="21" spans="3:52" ht="15" customHeight="1" x14ac:dyDescent="0.25">
      <c r="C21" s="42"/>
      <c r="D21" s="43">
        <f>D16</f>
        <v>45658</v>
      </c>
      <c r="E21" s="44">
        <f t="shared" si="1"/>
        <v>0.66666666666666663</v>
      </c>
      <c r="F21" s="45">
        <f t="shared" si="2"/>
        <v>45658.666666666679</v>
      </c>
      <c r="G21" s="52">
        <v>0</v>
      </c>
      <c r="H21" s="53">
        <v>37</v>
      </c>
      <c r="I21" s="54">
        <v>10.4</v>
      </c>
      <c r="J21" s="54">
        <v>300</v>
      </c>
      <c r="K21" s="55">
        <v>0</v>
      </c>
      <c r="L21" s="56">
        <v>37</v>
      </c>
      <c r="M21" s="54">
        <v>10.3</v>
      </c>
      <c r="N21" s="54">
        <v>300</v>
      </c>
      <c r="O21" s="57">
        <v>0</v>
      </c>
      <c r="P21" s="53">
        <v>36</v>
      </c>
      <c r="Q21" s="54">
        <v>10.4</v>
      </c>
      <c r="R21" s="55">
        <v>0</v>
      </c>
      <c r="S21" s="55">
        <v>0</v>
      </c>
      <c r="T21" s="57">
        <v>12.2</v>
      </c>
      <c r="U21" s="56">
        <v>37</v>
      </c>
      <c r="V21" s="54">
        <v>10.5</v>
      </c>
      <c r="W21" s="55">
        <v>0</v>
      </c>
      <c r="X21" s="55">
        <v>0</v>
      </c>
      <c r="Y21" s="57">
        <v>12.4</v>
      </c>
      <c r="Z21" s="53">
        <v>36</v>
      </c>
      <c r="AA21" s="54">
        <v>10.3</v>
      </c>
      <c r="AB21" s="55">
        <v>0</v>
      </c>
      <c r="AC21" s="55">
        <v>0</v>
      </c>
      <c r="AD21" s="57">
        <v>14</v>
      </c>
      <c r="AE21" s="56">
        <v>35</v>
      </c>
      <c r="AF21" s="54">
        <v>10.199999999999999</v>
      </c>
      <c r="AG21" s="55">
        <v>0</v>
      </c>
      <c r="AH21" s="55">
        <v>0</v>
      </c>
      <c r="AI21" s="57">
        <v>14</v>
      </c>
      <c r="AJ21" s="56">
        <v>34</v>
      </c>
      <c r="AK21" s="54">
        <v>10.3</v>
      </c>
      <c r="AL21" s="54">
        <v>0</v>
      </c>
      <c r="AM21" s="54">
        <v>0</v>
      </c>
      <c r="AN21" s="57">
        <v>14.6</v>
      </c>
      <c r="AO21" s="53">
        <v>35</v>
      </c>
      <c r="AP21" s="54">
        <v>10.199999999999999</v>
      </c>
      <c r="AQ21" s="54">
        <v>190</v>
      </c>
      <c r="AR21" s="54">
        <v>0</v>
      </c>
      <c r="AS21" s="57">
        <v>17.600000000000001</v>
      </c>
      <c r="AT21" s="56">
        <v>0</v>
      </c>
      <c r="AU21" s="57">
        <v>0</v>
      </c>
      <c r="AV21" s="56">
        <v>60.009765625</v>
      </c>
      <c r="AW21" s="57">
        <v>373.57024065653485</v>
      </c>
      <c r="AX21" s="8"/>
      <c r="AZ21" s="1">
        <v>90</v>
      </c>
    </row>
    <row r="22" spans="3:52" ht="15" customHeight="1" x14ac:dyDescent="0.25">
      <c r="C22" s="42"/>
      <c r="D22" s="43">
        <f>D16</f>
        <v>45658</v>
      </c>
      <c r="E22" s="44">
        <f t="shared" si="1"/>
        <v>0.75</v>
      </c>
      <c r="F22" s="45">
        <f t="shared" si="2"/>
        <v>45658.750000000015</v>
      </c>
      <c r="G22" s="52">
        <v>39</v>
      </c>
      <c r="H22" s="53">
        <v>38</v>
      </c>
      <c r="I22" s="54">
        <v>10.3</v>
      </c>
      <c r="J22" s="54">
        <v>300</v>
      </c>
      <c r="K22" s="55">
        <v>0</v>
      </c>
      <c r="L22" s="56">
        <v>37</v>
      </c>
      <c r="M22" s="54">
        <v>10.4</v>
      </c>
      <c r="N22" s="54">
        <v>250</v>
      </c>
      <c r="O22" s="57">
        <v>0</v>
      </c>
      <c r="P22" s="53">
        <v>36</v>
      </c>
      <c r="Q22" s="54">
        <v>10.4</v>
      </c>
      <c r="R22" s="55">
        <v>0</v>
      </c>
      <c r="S22" s="55">
        <v>0</v>
      </c>
      <c r="T22" s="57">
        <v>10</v>
      </c>
      <c r="U22" s="56">
        <v>37</v>
      </c>
      <c r="V22" s="54">
        <v>10.5</v>
      </c>
      <c r="W22" s="55">
        <v>0</v>
      </c>
      <c r="X22" s="55">
        <v>0</v>
      </c>
      <c r="Y22" s="57">
        <v>12.2</v>
      </c>
      <c r="Z22" s="53">
        <v>36</v>
      </c>
      <c r="AA22" s="54">
        <v>10.4</v>
      </c>
      <c r="AB22" s="55">
        <v>0</v>
      </c>
      <c r="AC22" s="55">
        <v>0</v>
      </c>
      <c r="AD22" s="57">
        <v>14.6</v>
      </c>
      <c r="AE22" s="56">
        <v>35</v>
      </c>
      <c r="AF22" s="54">
        <v>10.3</v>
      </c>
      <c r="AG22" s="55">
        <v>0</v>
      </c>
      <c r="AH22" s="55">
        <v>0</v>
      </c>
      <c r="AI22" s="57">
        <v>14</v>
      </c>
      <c r="AJ22" s="56">
        <v>33</v>
      </c>
      <c r="AK22" s="54">
        <v>10.4</v>
      </c>
      <c r="AL22" s="54">
        <v>0</v>
      </c>
      <c r="AM22" s="54">
        <v>0</v>
      </c>
      <c r="AN22" s="57">
        <v>13.4</v>
      </c>
      <c r="AO22" s="53">
        <v>36</v>
      </c>
      <c r="AP22" s="54">
        <v>10.3</v>
      </c>
      <c r="AQ22" s="54">
        <v>190</v>
      </c>
      <c r="AR22" s="54">
        <v>0</v>
      </c>
      <c r="AS22" s="57">
        <v>17</v>
      </c>
      <c r="AT22" s="56">
        <v>0</v>
      </c>
      <c r="AU22" s="57">
        <v>0</v>
      </c>
      <c r="AV22" s="56">
        <v>60.233562469482401</v>
      </c>
      <c r="AW22" s="57">
        <v>377.0400519053141</v>
      </c>
      <c r="AX22" s="8"/>
      <c r="AZ22" s="1">
        <v>90</v>
      </c>
    </row>
    <row r="23" spans="3:52" ht="15" customHeight="1" x14ac:dyDescent="0.25">
      <c r="C23" s="42"/>
      <c r="D23" s="43">
        <f>D16</f>
        <v>45658</v>
      </c>
      <c r="E23" s="44">
        <f t="shared" si="1"/>
        <v>0.83333333333333337</v>
      </c>
      <c r="F23" s="45">
        <f t="shared" si="2"/>
        <v>45658.83333333335</v>
      </c>
      <c r="G23" s="52">
        <v>44</v>
      </c>
      <c r="H23" s="53">
        <v>41</v>
      </c>
      <c r="I23" s="54">
        <v>10</v>
      </c>
      <c r="J23" s="54">
        <v>300</v>
      </c>
      <c r="K23" s="55">
        <v>0</v>
      </c>
      <c r="L23" s="56">
        <v>40</v>
      </c>
      <c r="M23" s="54">
        <v>10.199999999999999</v>
      </c>
      <c r="N23" s="54">
        <v>300</v>
      </c>
      <c r="O23" s="57">
        <v>0</v>
      </c>
      <c r="P23" s="53">
        <v>40</v>
      </c>
      <c r="Q23" s="54">
        <v>10.4</v>
      </c>
      <c r="R23" s="55">
        <v>0</v>
      </c>
      <c r="S23" s="55">
        <v>0</v>
      </c>
      <c r="T23" s="57">
        <v>8.6</v>
      </c>
      <c r="U23" s="56">
        <v>40</v>
      </c>
      <c r="V23" s="54">
        <v>10.4</v>
      </c>
      <c r="W23" s="55">
        <v>0</v>
      </c>
      <c r="X23" s="55">
        <v>0</v>
      </c>
      <c r="Y23" s="57">
        <v>10.199999999999999</v>
      </c>
      <c r="Z23" s="53">
        <v>41</v>
      </c>
      <c r="AA23" s="54">
        <v>10.4</v>
      </c>
      <c r="AB23" s="55">
        <v>0</v>
      </c>
      <c r="AC23" s="55">
        <v>0</v>
      </c>
      <c r="AD23" s="57">
        <v>16.600000000000001</v>
      </c>
      <c r="AE23" s="56">
        <v>40</v>
      </c>
      <c r="AF23" s="54">
        <v>10.5</v>
      </c>
      <c r="AG23" s="55">
        <v>0</v>
      </c>
      <c r="AH23" s="55">
        <v>0</v>
      </c>
      <c r="AI23" s="57">
        <v>14</v>
      </c>
      <c r="AJ23" s="56">
        <v>40</v>
      </c>
      <c r="AK23" s="54">
        <v>10.5</v>
      </c>
      <c r="AL23" s="54">
        <v>0</v>
      </c>
      <c r="AM23" s="54">
        <v>0</v>
      </c>
      <c r="AN23" s="57">
        <v>14</v>
      </c>
      <c r="AO23" s="53">
        <v>39</v>
      </c>
      <c r="AP23" s="54">
        <v>10.5</v>
      </c>
      <c r="AQ23" s="54">
        <v>190</v>
      </c>
      <c r="AR23" s="54">
        <v>0</v>
      </c>
      <c r="AS23" s="57">
        <v>18</v>
      </c>
      <c r="AT23" s="56">
        <v>29</v>
      </c>
      <c r="AU23" s="57">
        <v>110</v>
      </c>
      <c r="AV23" s="56">
        <v>60.92529296875</v>
      </c>
      <c r="AW23" s="57">
        <v>371.05794283548988</v>
      </c>
      <c r="AX23" s="8"/>
      <c r="AZ23" s="1">
        <v>90</v>
      </c>
    </row>
    <row r="24" spans="3:52" ht="15" customHeight="1" x14ac:dyDescent="0.25">
      <c r="C24" s="42"/>
      <c r="D24" s="43">
        <f>D16</f>
        <v>45658</v>
      </c>
      <c r="E24" s="44">
        <f t="shared" si="1"/>
        <v>0.91666666666666674</v>
      </c>
      <c r="F24" s="45">
        <f t="shared" si="2"/>
        <v>45658.916666666686</v>
      </c>
      <c r="G24" s="52">
        <v>44</v>
      </c>
      <c r="H24" s="53">
        <v>40</v>
      </c>
      <c r="I24" s="54">
        <v>10.4</v>
      </c>
      <c r="J24" s="54">
        <v>300</v>
      </c>
      <c r="K24" s="55">
        <v>0</v>
      </c>
      <c r="L24" s="56">
        <v>39</v>
      </c>
      <c r="M24" s="54">
        <v>10.3</v>
      </c>
      <c r="N24" s="54">
        <v>300</v>
      </c>
      <c r="O24" s="57">
        <v>0</v>
      </c>
      <c r="P24" s="53">
        <v>39</v>
      </c>
      <c r="Q24" s="54">
        <v>10.5</v>
      </c>
      <c r="R24" s="55">
        <v>0</v>
      </c>
      <c r="S24" s="55">
        <v>0</v>
      </c>
      <c r="T24" s="57">
        <v>13.6</v>
      </c>
      <c r="U24" s="56">
        <v>39</v>
      </c>
      <c r="V24" s="54">
        <v>10.4</v>
      </c>
      <c r="W24" s="55">
        <v>0</v>
      </c>
      <c r="X24" s="55">
        <v>0</v>
      </c>
      <c r="Y24" s="57">
        <v>5</v>
      </c>
      <c r="Z24" s="53">
        <v>40</v>
      </c>
      <c r="AA24" s="54">
        <v>10.4</v>
      </c>
      <c r="AB24" s="55">
        <v>0</v>
      </c>
      <c r="AC24" s="55">
        <v>0</v>
      </c>
      <c r="AD24" s="57">
        <v>16</v>
      </c>
      <c r="AE24" s="56">
        <v>39</v>
      </c>
      <c r="AF24" s="54">
        <v>10.5</v>
      </c>
      <c r="AG24" s="55">
        <v>0</v>
      </c>
      <c r="AH24" s="55">
        <v>0</v>
      </c>
      <c r="AI24" s="57">
        <v>14.2</v>
      </c>
      <c r="AJ24" s="56">
        <v>39</v>
      </c>
      <c r="AK24" s="54">
        <v>10.5</v>
      </c>
      <c r="AL24" s="54">
        <v>0</v>
      </c>
      <c r="AM24" s="54">
        <v>0</v>
      </c>
      <c r="AN24" s="57">
        <v>14</v>
      </c>
      <c r="AO24" s="53">
        <v>39</v>
      </c>
      <c r="AP24" s="54">
        <v>10.5</v>
      </c>
      <c r="AQ24" s="54">
        <v>200</v>
      </c>
      <c r="AR24" s="54">
        <v>0</v>
      </c>
      <c r="AS24" s="57">
        <v>18.2</v>
      </c>
      <c r="AT24" s="56">
        <v>27</v>
      </c>
      <c r="AU24" s="57">
        <v>140</v>
      </c>
      <c r="AV24" s="56">
        <v>60.957843780517599</v>
      </c>
      <c r="AW24" s="57">
        <v>367.666015625</v>
      </c>
      <c r="AX24" s="8"/>
      <c r="AZ24" s="1">
        <v>90</v>
      </c>
    </row>
    <row r="25" spans="3:52" ht="15" customHeight="1" x14ac:dyDescent="0.25">
      <c r="C25" s="42"/>
      <c r="D25" s="43">
        <f>D16</f>
        <v>45658</v>
      </c>
      <c r="E25" s="44">
        <f t="shared" si="1"/>
        <v>1</v>
      </c>
      <c r="F25" s="45">
        <f t="shared" si="2"/>
        <v>45659.000000000022</v>
      </c>
      <c r="G25" s="52">
        <v>43</v>
      </c>
      <c r="H25" s="53">
        <v>40</v>
      </c>
      <c r="I25" s="54">
        <v>10.5</v>
      </c>
      <c r="J25" s="54">
        <v>300</v>
      </c>
      <c r="K25" s="55">
        <v>0</v>
      </c>
      <c r="L25" s="56">
        <v>39</v>
      </c>
      <c r="M25" s="54">
        <v>10.4</v>
      </c>
      <c r="N25" s="54">
        <v>300</v>
      </c>
      <c r="O25" s="57">
        <v>0</v>
      </c>
      <c r="P25" s="53">
        <v>40</v>
      </c>
      <c r="Q25" s="54">
        <v>10.5</v>
      </c>
      <c r="R25" s="55">
        <v>0</v>
      </c>
      <c r="S25" s="55">
        <v>0</v>
      </c>
      <c r="T25" s="57">
        <v>17</v>
      </c>
      <c r="U25" s="56">
        <v>38</v>
      </c>
      <c r="V25" s="54">
        <v>10.5</v>
      </c>
      <c r="W25" s="55">
        <v>0</v>
      </c>
      <c r="X25" s="55">
        <v>0</v>
      </c>
      <c r="Y25" s="57">
        <v>4.8</v>
      </c>
      <c r="Z25" s="53">
        <v>39</v>
      </c>
      <c r="AA25" s="54">
        <v>10.5</v>
      </c>
      <c r="AB25" s="55">
        <v>0</v>
      </c>
      <c r="AC25" s="55">
        <v>0</v>
      </c>
      <c r="AD25" s="57">
        <v>17</v>
      </c>
      <c r="AE25" s="56">
        <v>39</v>
      </c>
      <c r="AF25" s="54">
        <v>10.5</v>
      </c>
      <c r="AG25" s="55">
        <v>0</v>
      </c>
      <c r="AH25" s="55">
        <v>0</v>
      </c>
      <c r="AI25" s="57">
        <v>14</v>
      </c>
      <c r="AJ25" s="56">
        <v>38</v>
      </c>
      <c r="AK25" s="54">
        <v>10.5</v>
      </c>
      <c r="AL25" s="54">
        <v>0</v>
      </c>
      <c r="AM25" s="54">
        <v>0</v>
      </c>
      <c r="AN25" s="57">
        <v>14.4</v>
      </c>
      <c r="AO25" s="53">
        <v>38</v>
      </c>
      <c r="AP25" s="54">
        <v>10.5</v>
      </c>
      <c r="AQ25" s="54">
        <v>200</v>
      </c>
      <c r="AR25" s="54">
        <v>0</v>
      </c>
      <c r="AS25" s="57">
        <v>18</v>
      </c>
      <c r="AT25" s="56">
        <v>25</v>
      </c>
      <c r="AU25" s="57">
        <v>140</v>
      </c>
      <c r="AV25" s="56">
        <v>61.617023468017599</v>
      </c>
      <c r="AW25" s="57">
        <v>362.16772816975913</v>
      </c>
      <c r="AX25" s="8"/>
      <c r="AZ25" s="1">
        <v>90</v>
      </c>
    </row>
    <row r="26" spans="3:52" ht="15" customHeight="1" x14ac:dyDescent="0.25">
      <c r="C26" s="42"/>
      <c r="D26" s="43">
        <f>D16</f>
        <v>45658</v>
      </c>
      <c r="E26" s="44">
        <f t="shared" si="1"/>
        <v>1.0833333333333333</v>
      </c>
      <c r="F26" s="45">
        <f t="shared" si="2"/>
        <v>45659.083333333358</v>
      </c>
      <c r="G26" s="52">
        <v>42</v>
      </c>
      <c r="H26" s="53">
        <v>40</v>
      </c>
      <c r="I26" s="54">
        <v>10.9</v>
      </c>
      <c r="J26" s="54">
        <v>350</v>
      </c>
      <c r="K26" s="55">
        <v>0</v>
      </c>
      <c r="L26" s="56">
        <v>40</v>
      </c>
      <c r="M26" s="54">
        <v>10.6</v>
      </c>
      <c r="N26" s="54">
        <v>300</v>
      </c>
      <c r="O26" s="57">
        <v>0</v>
      </c>
      <c r="P26" s="53">
        <v>42</v>
      </c>
      <c r="Q26" s="54">
        <v>10.6</v>
      </c>
      <c r="R26" s="55">
        <v>0</v>
      </c>
      <c r="S26" s="55">
        <v>0</v>
      </c>
      <c r="T26" s="57">
        <v>17</v>
      </c>
      <c r="U26" s="56">
        <v>39</v>
      </c>
      <c r="V26" s="54">
        <v>10.5</v>
      </c>
      <c r="W26" s="55">
        <v>0</v>
      </c>
      <c r="X26" s="55">
        <v>0</v>
      </c>
      <c r="Y26" s="57">
        <v>8</v>
      </c>
      <c r="Z26" s="53">
        <v>39</v>
      </c>
      <c r="AA26" s="54">
        <v>10.5</v>
      </c>
      <c r="AB26" s="55">
        <v>0</v>
      </c>
      <c r="AC26" s="55">
        <v>0</v>
      </c>
      <c r="AD26" s="57">
        <v>13</v>
      </c>
      <c r="AE26" s="56">
        <v>38</v>
      </c>
      <c r="AF26" s="54">
        <v>10.6</v>
      </c>
      <c r="AG26" s="55">
        <v>0</v>
      </c>
      <c r="AH26" s="55">
        <v>0</v>
      </c>
      <c r="AI26" s="57">
        <v>13</v>
      </c>
      <c r="AJ26" s="56">
        <v>38</v>
      </c>
      <c r="AK26" s="54">
        <v>10.6</v>
      </c>
      <c r="AL26" s="54">
        <v>0</v>
      </c>
      <c r="AM26" s="54">
        <v>0</v>
      </c>
      <c r="AN26" s="57">
        <v>14</v>
      </c>
      <c r="AO26" s="53">
        <v>38</v>
      </c>
      <c r="AP26" s="54">
        <v>10.5</v>
      </c>
      <c r="AQ26" s="54">
        <v>200</v>
      </c>
      <c r="AR26" s="54">
        <v>0</v>
      </c>
      <c r="AS26" s="57">
        <v>18</v>
      </c>
      <c r="AT26" s="56">
        <v>25</v>
      </c>
      <c r="AU26" s="57">
        <v>130</v>
      </c>
      <c r="AV26" s="56">
        <v>61.63330078125</v>
      </c>
      <c r="AW26" s="57">
        <v>365.05377108256022</v>
      </c>
      <c r="AX26" s="8"/>
      <c r="AZ26" s="1">
        <v>90</v>
      </c>
    </row>
    <row r="27" spans="3:52" ht="15" customHeight="1" x14ac:dyDescent="0.25">
      <c r="C27" s="42"/>
      <c r="D27" s="58">
        <f>D16</f>
        <v>45658</v>
      </c>
      <c r="E27" s="59">
        <f t="shared" si="1"/>
        <v>1.1666666666666665</v>
      </c>
      <c r="F27" s="45">
        <f t="shared" si="2"/>
        <v>45659.166666666693</v>
      </c>
      <c r="G27" s="60">
        <v>43</v>
      </c>
      <c r="H27" s="61">
        <v>41</v>
      </c>
      <c r="I27" s="62">
        <v>10.8</v>
      </c>
      <c r="J27" s="62">
        <v>350</v>
      </c>
      <c r="K27" s="63">
        <v>0</v>
      </c>
      <c r="L27" s="64">
        <v>40</v>
      </c>
      <c r="M27" s="62">
        <v>10.6</v>
      </c>
      <c r="N27" s="62">
        <v>300</v>
      </c>
      <c r="O27" s="65">
        <v>0</v>
      </c>
      <c r="P27" s="61">
        <v>41</v>
      </c>
      <c r="Q27" s="62">
        <v>10.6</v>
      </c>
      <c r="R27" s="63">
        <v>0</v>
      </c>
      <c r="S27" s="63">
        <v>0</v>
      </c>
      <c r="T27" s="65">
        <v>17.2</v>
      </c>
      <c r="U27" s="64">
        <v>40</v>
      </c>
      <c r="V27" s="62">
        <v>10.5</v>
      </c>
      <c r="W27" s="63">
        <v>0</v>
      </c>
      <c r="X27" s="63">
        <v>0</v>
      </c>
      <c r="Y27" s="65">
        <v>14</v>
      </c>
      <c r="Z27" s="61">
        <v>39</v>
      </c>
      <c r="AA27" s="62">
        <v>10.5</v>
      </c>
      <c r="AB27" s="63">
        <v>0</v>
      </c>
      <c r="AC27" s="63">
        <v>0</v>
      </c>
      <c r="AD27" s="65">
        <v>8</v>
      </c>
      <c r="AE27" s="64">
        <v>39</v>
      </c>
      <c r="AF27" s="62">
        <v>10.6</v>
      </c>
      <c r="AG27" s="63">
        <v>0</v>
      </c>
      <c r="AH27" s="63">
        <v>0</v>
      </c>
      <c r="AI27" s="65">
        <v>14</v>
      </c>
      <c r="AJ27" s="64">
        <v>39</v>
      </c>
      <c r="AK27" s="62">
        <v>10.5</v>
      </c>
      <c r="AL27" s="62">
        <v>0</v>
      </c>
      <c r="AM27" s="62">
        <v>0</v>
      </c>
      <c r="AN27" s="65">
        <v>14</v>
      </c>
      <c r="AO27" s="61">
        <v>38</v>
      </c>
      <c r="AP27" s="62">
        <v>10.5</v>
      </c>
      <c r="AQ27" s="62">
        <v>210</v>
      </c>
      <c r="AR27" s="62">
        <v>0</v>
      </c>
      <c r="AS27" s="65">
        <v>18.2</v>
      </c>
      <c r="AT27" s="64">
        <v>24</v>
      </c>
      <c r="AU27" s="65">
        <v>140</v>
      </c>
      <c r="AV27" s="64">
        <v>62.886554718017599</v>
      </c>
      <c r="AW27" s="65">
        <v>361.39371159871422</v>
      </c>
      <c r="AX27" s="8"/>
      <c r="AZ27" s="1">
        <v>90</v>
      </c>
    </row>
    <row r="28" spans="3:52" ht="15" customHeight="1" x14ac:dyDescent="0.25">
      <c r="C28" s="42">
        <f>C16+1</f>
        <v>2</v>
      </c>
      <c r="D28" s="66">
        <f>D16+1</f>
        <v>45659</v>
      </c>
      <c r="E28" s="67">
        <f>E27+2/24</f>
        <v>1.2499999999999998</v>
      </c>
      <c r="F28" s="68">
        <f t="shared" si="2"/>
        <v>45659.250000000029</v>
      </c>
      <c r="G28" s="46">
        <v>35</v>
      </c>
      <c r="H28" s="47">
        <v>35</v>
      </c>
      <c r="I28" s="48">
        <v>11</v>
      </c>
      <c r="J28" s="48">
        <v>300</v>
      </c>
      <c r="K28" s="49">
        <v>0</v>
      </c>
      <c r="L28" s="50">
        <v>35</v>
      </c>
      <c r="M28" s="48">
        <v>10.7</v>
      </c>
      <c r="N28" s="48">
        <v>300</v>
      </c>
      <c r="O28" s="51">
        <v>0</v>
      </c>
      <c r="P28" s="47">
        <v>34</v>
      </c>
      <c r="Q28" s="48">
        <v>10.6</v>
      </c>
      <c r="R28" s="49">
        <v>0</v>
      </c>
      <c r="S28" s="49">
        <v>0</v>
      </c>
      <c r="T28" s="51">
        <v>16</v>
      </c>
      <c r="U28" s="50">
        <v>34</v>
      </c>
      <c r="V28" s="48">
        <v>10.4</v>
      </c>
      <c r="W28" s="49">
        <v>0</v>
      </c>
      <c r="X28" s="49">
        <v>0</v>
      </c>
      <c r="Y28" s="51">
        <v>14</v>
      </c>
      <c r="Z28" s="47">
        <v>34</v>
      </c>
      <c r="AA28" s="48">
        <v>10.4</v>
      </c>
      <c r="AB28" s="49">
        <v>0</v>
      </c>
      <c r="AC28" s="49">
        <v>0</v>
      </c>
      <c r="AD28" s="51">
        <v>11</v>
      </c>
      <c r="AE28" s="50">
        <v>33</v>
      </c>
      <c r="AF28" s="48">
        <v>10.4</v>
      </c>
      <c r="AG28" s="49">
        <v>0</v>
      </c>
      <c r="AH28" s="49">
        <v>0</v>
      </c>
      <c r="AI28" s="51">
        <v>9</v>
      </c>
      <c r="AJ28" s="50">
        <v>33</v>
      </c>
      <c r="AK28" s="48">
        <v>10.4</v>
      </c>
      <c r="AL28" s="48">
        <v>0</v>
      </c>
      <c r="AM28" s="48">
        <v>0</v>
      </c>
      <c r="AN28" s="51">
        <v>15</v>
      </c>
      <c r="AO28" s="47">
        <v>33</v>
      </c>
      <c r="AP28" s="48">
        <v>10.4</v>
      </c>
      <c r="AQ28" s="48">
        <v>210</v>
      </c>
      <c r="AR28" s="48">
        <v>0</v>
      </c>
      <c r="AS28" s="51">
        <v>19</v>
      </c>
      <c r="AT28" s="50">
        <v>21</v>
      </c>
      <c r="AU28" s="51">
        <v>150</v>
      </c>
      <c r="AV28" s="50">
        <v>63.350421905517599</v>
      </c>
      <c r="AW28" s="51">
        <v>352.1283030192057</v>
      </c>
      <c r="AX28" s="8"/>
      <c r="AZ28" s="1">
        <v>90</v>
      </c>
    </row>
    <row r="29" spans="3:52" ht="15" customHeight="1" x14ac:dyDescent="0.25">
      <c r="C29" s="42"/>
      <c r="D29" s="43">
        <f>D28</f>
        <v>45659</v>
      </c>
      <c r="E29" s="44">
        <f>E28+2/24</f>
        <v>1.333333333333333</v>
      </c>
      <c r="F29" s="45">
        <f t="shared" si="2"/>
        <v>45659.333333333365</v>
      </c>
      <c r="G29" s="52">
        <v>37</v>
      </c>
      <c r="H29" s="53">
        <v>40</v>
      </c>
      <c r="I29" s="54">
        <v>11.6</v>
      </c>
      <c r="J29" s="54">
        <v>400</v>
      </c>
      <c r="K29" s="55">
        <v>0</v>
      </c>
      <c r="L29" s="56">
        <v>40</v>
      </c>
      <c r="M29" s="54">
        <v>11</v>
      </c>
      <c r="N29" s="54">
        <v>380</v>
      </c>
      <c r="O29" s="57">
        <v>0</v>
      </c>
      <c r="P29" s="53">
        <v>38</v>
      </c>
      <c r="Q29" s="54">
        <v>10.9</v>
      </c>
      <c r="R29" s="55">
        <v>0</v>
      </c>
      <c r="S29" s="55">
        <v>0</v>
      </c>
      <c r="T29" s="57">
        <v>17</v>
      </c>
      <c r="U29" s="56">
        <v>33</v>
      </c>
      <c r="V29" s="54">
        <v>10.6</v>
      </c>
      <c r="W29" s="55">
        <v>0</v>
      </c>
      <c r="X29" s="55">
        <v>0</v>
      </c>
      <c r="Y29" s="57">
        <v>14</v>
      </c>
      <c r="Z29" s="53">
        <v>32</v>
      </c>
      <c r="AA29" s="54">
        <v>10.6</v>
      </c>
      <c r="AB29" s="55">
        <v>0</v>
      </c>
      <c r="AC29" s="55">
        <v>0</v>
      </c>
      <c r="AD29" s="57">
        <v>13</v>
      </c>
      <c r="AE29" s="56">
        <v>35</v>
      </c>
      <c r="AF29" s="54">
        <v>10.5</v>
      </c>
      <c r="AG29" s="55">
        <v>0</v>
      </c>
      <c r="AH29" s="55">
        <v>0</v>
      </c>
      <c r="AI29" s="57">
        <v>7</v>
      </c>
      <c r="AJ29" s="56">
        <v>38</v>
      </c>
      <c r="AK29" s="54">
        <v>10.5</v>
      </c>
      <c r="AL29" s="54">
        <v>0</v>
      </c>
      <c r="AM29" s="54">
        <v>0</v>
      </c>
      <c r="AN29" s="57">
        <v>14</v>
      </c>
      <c r="AO29" s="53">
        <v>36</v>
      </c>
      <c r="AP29" s="54">
        <v>10.5</v>
      </c>
      <c r="AQ29" s="54">
        <v>200</v>
      </c>
      <c r="AR29" s="54">
        <v>0</v>
      </c>
      <c r="AS29" s="57">
        <v>18.5</v>
      </c>
      <c r="AT29" s="56">
        <v>28</v>
      </c>
      <c r="AU29" s="57">
        <v>160</v>
      </c>
      <c r="AV29" s="56">
        <v>60.33935546875</v>
      </c>
      <c r="AW29" s="57">
        <v>367.5329142888387</v>
      </c>
      <c r="AX29" s="8"/>
      <c r="AZ29" s="1">
        <v>90</v>
      </c>
    </row>
    <row r="30" spans="3:52" ht="15" customHeight="1" x14ac:dyDescent="0.25">
      <c r="C30" s="42"/>
      <c r="D30" s="43">
        <f>D28</f>
        <v>45659</v>
      </c>
      <c r="E30" s="44">
        <f t="shared" ref="E30:E39" si="3">E29+2/24</f>
        <v>1.4166666666666663</v>
      </c>
      <c r="F30" s="45">
        <f t="shared" si="2"/>
        <v>45659.416666666701</v>
      </c>
      <c r="G30" s="52">
        <v>34</v>
      </c>
      <c r="H30" s="53">
        <v>35</v>
      </c>
      <c r="I30" s="54">
        <v>11.4</v>
      </c>
      <c r="J30" s="54">
        <v>300</v>
      </c>
      <c r="K30" s="55">
        <v>0</v>
      </c>
      <c r="L30" s="56">
        <v>40</v>
      </c>
      <c r="M30" s="54">
        <v>11</v>
      </c>
      <c r="N30" s="54">
        <v>350</v>
      </c>
      <c r="O30" s="57">
        <v>0</v>
      </c>
      <c r="P30" s="53">
        <v>38</v>
      </c>
      <c r="Q30" s="54">
        <v>10</v>
      </c>
      <c r="R30" s="55">
        <v>0</v>
      </c>
      <c r="S30" s="55">
        <v>0</v>
      </c>
      <c r="T30" s="57">
        <v>17.2</v>
      </c>
      <c r="U30" s="56">
        <v>34</v>
      </c>
      <c r="V30" s="54">
        <v>10.6</v>
      </c>
      <c r="W30" s="55">
        <v>0</v>
      </c>
      <c r="X30" s="55">
        <v>0</v>
      </c>
      <c r="Y30" s="57">
        <v>15.4</v>
      </c>
      <c r="Z30" s="53">
        <v>35</v>
      </c>
      <c r="AA30" s="54">
        <v>10.6</v>
      </c>
      <c r="AB30" s="55">
        <v>0</v>
      </c>
      <c r="AC30" s="55">
        <v>0</v>
      </c>
      <c r="AD30" s="57">
        <v>15</v>
      </c>
      <c r="AE30" s="56">
        <v>38</v>
      </c>
      <c r="AF30" s="54">
        <v>10.5</v>
      </c>
      <c r="AG30" s="55">
        <v>0</v>
      </c>
      <c r="AH30" s="55">
        <v>0</v>
      </c>
      <c r="AI30" s="57">
        <v>8</v>
      </c>
      <c r="AJ30" s="56">
        <v>38</v>
      </c>
      <c r="AK30" s="54">
        <v>10.4</v>
      </c>
      <c r="AL30" s="54">
        <v>0</v>
      </c>
      <c r="AM30" s="54">
        <v>0</v>
      </c>
      <c r="AN30" s="57">
        <v>8.6</v>
      </c>
      <c r="AO30" s="53">
        <v>36</v>
      </c>
      <c r="AP30" s="54">
        <v>10.5</v>
      </c>
      <c r="AQ30" s="54">
        <v>200</v>
      </c>
      <c r="AR30" s="54">
        <v>0</v>
      </c>
      <c r="AS30" s="57">
        <v>18.5</v>
      </c>
      <c r="AT30" s="56">
        <v>27</v>
      </c>
      <c r="AU30" s="57">
        <v>160</v>
      </c>
      <c r="AV30" s="56">
        <v>70.259597778320298</v>
      </c>
      <c r="AW30" s="57">
        <v>329.70630894949039</v>
      </c>
      <c r="AX30" s="8"/>
      <c r="AZ30" s="1">
        <v>90</v>
      </c>
    </row>
    <row r="31" spans="3:52" ht="15" customHeight="1" x14ac:dyDescent="0.25">
      <c r="C31" s="42"/>
      <c r="D31" s="43">
        <f>D28</f>
        <v>45659</v>
      </c>
      <c r="E31" s="44">
        <f t="shared" si="3"/>
        <v>1.4999999999999996</v>
      </c>
      <c r="F31" s="45">
        <f t="shared" si="2"/>
        <v>45659.500000000036</v>
      </c>
      <c r="G31" s="52">
        <v>38</v>
      </c>
      <c r="H31" s="53">
        <v>36</v>
      </c>
      <c r="I31" s="54">
        <v>11.1</v>
      </c>
      <c r="J31" s="54">
        <v>300</v>
      </c>
      <c r="K31" s="55">
        <v>0</v>
      </c>
      <c r="L31" s="56">
        <v>39</v>
      </c>
      <c r="M31" s="54">
        <v>11</v>
      </c>
      <c r="N31" s="54">
        <v>600</v>
      </c>
      <c r="O31" s="57">
        <v>0</v>
      </c>
      <c r="P31" s="53">
        <v>38</v>
      </c>
      <c r="Q31" s="54">
        <v>11</v>
      </c>
      <c r="R31" s="55">
        <v>0</v>
      </c>
      <c r="S31" s="55">
        <v>0</v>
      </c>
      <c r="T31" s="57">
        <v>17.2</v>
      </c>
      <c r="U31" s="56">
        <v>36</v>
      </c>
      <c r="V31" s="54">
        <v>10.7</v>
      </c>
      <c r="W31" s="55">
        <v>0</v>
      </c>
      <c r="X31" s="55">
        <v>0</v>
      </c>
      <c r="Y31" s="57">
        <v>15.2</v>
      </c>
      <c r="Z31" s="53">
        <v>38</v>
      </c>
      <c r="AA31" s="54">
        <v>10.5</v>
      </c>
      <c r="AB31" s="55">
        <v>0</v>
      </c>
      <c r="AC31" s="55">
        <v>0</v>
      </c>
      <c r="AD31" s="57">
        <v>15.2</v>
      </c>
      <c r="AE31" s="56">
        <v>37</v>
      </c>
      <c r="AF31" s="54">
        <v>10.4</v>
      </c>
      <c r="AG31" s="55">
        <v>0</v>
      </c>
      <c r="AH31" s="55">
        <v>0</v>
      </c>
      <c r="AI31" s="57">
        <v>13</v>
      </c>
      <c r="AJ31" s="56">
        <v>37</v>
      </c>
      <c r="AK31" s="54">
        <v>10.5</v>
      </c>
      <c r="AL31" s="54">
        <v>0</v>
      </c>
      <c r="AM31" s="54">
        <v>0</v>
      </c>
      <c r="AN31" s="57">
        <v>7</v>
      </c>
      <c r="AO31" s="53">
        <v>37</v>
      </c>
      <c r="AP31" s="54">
        <v>10.3</v>
      </c>
      <c r="AQ31" s="54">
        <v>200</v>
      </c>
      <c r="AR31" s="54">
        <v>0</v>
      </c>
      <c r="AS31" s="57">
        <v>13</v>
      </c>
      <c r="AT31" s="56">
        <v>29</v>
      </c>
      <c r="AU31" s="57">
        <v>170</v>
      </c>
      <c r="AV31" s="56">
        <v>68.912757873535199</v>
      </c>
      <c r="AW31" s="57">
        <v>319.43383461497723</v>
      </c>
      <c r="AX31" s="8"/>
      <c r="AZ31" s="1">
        <v>90</v>
      </c>
    </row>
    <row r="32" spans="3:52" ht="15" customHeight="1" x14ac:dyDescent="0.25">
      <c r="C32" s="42"/>
      <c r="D32" s="43">
        <f>D28</f>
        <v>45659</v>
      </c>
      <c r="E32" s="44">
        <f t="shared" si="3"/>
        <v>1.5833333333333328</v>
      </c>
      <c r="F32" s="45">
        <f t="shared" si="2"/>
        <v>45659.583333333372</v>
      </c>
      <c r="G32" s="52">
        <v>39</v>
      </c>
      <c r="H32" s="53">
        <v>40</v>
      </c>
      <c r="I32" s="54">
        <v>11.2</v>
      </c>
      <c r="J32" s="54">
        <v>200</v>
      </c>
      <c r="K32" s="55">
        <v>0</v>
      </c>
      <c r="L32" s="56">
        <v>39</v>
      </c>
      <c r="M32" s="54">
        <v>11</v>
      </c>
      <c r="N32" s="54">
        <v>500</v>
      </c>
      <c r="O32" s="57">
        <v>0</v>
      </c>
      <c r="P32" s="53">
        <v>39</v>
      </c>
      <c r="Q32" s="54">
        <v>11</v>
      </c>
      <c r="R32" s="55">
        <v>0</v>
      </c>
      <c r="S32" s="55">
        <v>0</v>
      </c>
      <c r="T32" s="57">
        <v>17</v>
      </c>
      <c r="U32" s="56">
        <v>38</v>
      </c>
      <c r="V32" s="54">
        <v>10.7</v>
      </c>
      <c r="W32" s="55">
        <v>0</v>
      </c>
      <c r="X32" s="55">
        <v>0</v>
      </c>
      <c r="Y32" s="57">
        <v>15.4</v>
      </c>
      <c r="Z32" s="53">
        <v>37</v>
      </c>
      <c r="AA32" s="54">
        <v>10.6</v>
      </c>
      <c r="AB32" s="55">
        <v>0</v>
      </c>
      <c r="AC32" s="55">
        <v>0</v>
      </c>
      <c r="AD32" s="57">
        <v>15.2</v>
      </c>
      <c r="AE32" s="56">
        <v>37</v>
      </c>
      <c r="AF32" s="54">
        <v>10.5</v>
      </c>
      <c r="AG32" s="55">
        <v>0</v>
      </c>
      <c r="AH32" s="55">
        <v>0</v>
      </c>
      <c r="AI32" s="57">
        <v>15.2</v>
      </c>
      <c r="AJ32" s="56">
        <v>36</v>
      </c>
      <c r="AK32" s="54">
        <v>10.4</v>
      </c>
      <c r="AL32" s="54">
        <v>0</v>
      </c>
      <c r="AM32" s="54">
        <v>0</v>
      </c>
      <c r="AN32" s="57">
        <v>13</v>
      </c>
      <c r="AO32" s="53">
        <v>35</v>
      </c>
      <c r="AP32" s="54">
        <v>10.4</v>
      </c>
      <c r="AQ32" s="54">
        <v>240</v>
      </c>
      <c r="AR32" s="54">
        <v>0</v>
      </c>
      <c r="AS32" s="57">
        <v>9</v>
      </c>
      <c r="AT32" s="56">
        <v>28</v>
      </c>
      <c r="AU32" s="57">
        <v>200</v>
      </c>
      <c r="AV32" s="56">
        <v>62.68310546875</v>
      </c>
      <c r="AW32" s="57">
        <v>352.33711916605631</v>
      </c>
      <c r="AX32" s="8"/>
      <c r="AZ32" s="1">
        <v>90</v>
      </c>
    </row>
    <row r="33" spans="3:52" ht="15" customHeight="1" x14ac:dyDescent="0.25">
      <c r="C33" s="42"/>
      <c r="D33" s="43">
        <f>D28</f>
        <v>45659</v>
      </c>
      <c r="E33" s="44">
        <f t="shared" si="3"/>
        <v>1.6666666666666661</v>
      </c>
      <c r="F33" s="45">
        <f t="shared" si="2"/>
        <v>45659.666666666708</v>
      </c>
      <c r="G33" s="52">
        <v>38</v>
      </c>
      <c r="H33" s="53">
        <v>39</v>
      </c>
      <c r="I33" s="54">
        <v>11.8</v>
      </c>
      <c r="J33" s="54">
        <v>200</v>
      </c>
      <c r="K33" s="55">
        <v>0</v>
      </c>
      <c r="L33" s="56">
        <v>37</v>
      </c>
      <c r="M33" s="54">
        <v>11.9</v>
      </c>
      <c r="N33" s="54">
        <v>450</v>
      </c>
      <c r="O33" s="57">
        <v>0</v>
      </c>
      <c r="P33" s="53">
        <v>39</v>
      </c>
      <c r="Q33" s="54">
        <v>10.7</v>
      </c>
      <c r="R33" s="55">
        <v>0</v>
      </c>
      <c r="S33" s="55">
        <v>0</v>
      </c>
      <c r="T33" s="57">
        <v>16</v>
      </c>
      <c r="U33" s="56">
        <v>37</v>
      </c>
      <c r="V33" s="54">
        <v>10.6</v>
      </c>
      <c r="W33" s="55">
        <v>0</v>
      </c>
      <c r="X33" s="55">
        <v>0</v>
      </c>
      <c r="Y33" s="57">
        <v>14</v>
      </c>
      <c r="Z33" s="53">
        <v>36</v>
      </c>
      <c r="AA33" s="54">
        <v>10.4</v>
      </c>
      <c r="AB33" s="55">
        <v>0</v>
      </c>
      <c r="AC33" s="55">
        <v>0</v>
      </c>
      <c r="AD33" s="57">
        <v>15.2</v>
      </c>
      <c r="AE33" s="56">
        <v>38</v>
      </c>
      <c r="AF33" s="54">
        <v>10.5</v>
      </c>
      <c r="AG33" s="55">
        <v>0</v>
      </c>
      <c r="AH33" s="55">
        <v>0</v>
      </c>
      <c r="AI33" s="57">
        <v>15</v>
      </c>
      <c r="AJ33" s="56">
        <v>37</v>
      </c>
      <c r="AK33" s="54">
        <v>10.5</v>
      </c>
      <c r="AL33" s="54">
        <v>0</v>
      </c>
      <c r="AM33" s="54">
        <v>0</v>
      </c>
      <c r="AN33" s="57">
        <v>13</v>
      </c>
      <c r="AO33" s="53">
        <v>37</v>
      </c>
      <c r="AP33" s="54">
        <v>10.3</v>
      </c>
      <c r="AQ33" s="54">
        <v>220</v>
      </c>
      <c r="AR33" s="54">
        <v>0</v>
      </c>
      <c r="AS33" s="57">
        <v>7</v>
      </c>
      <c r="AT33" s="56">
        <v>29</v>
      </c>
      <c r="AU33" s="57">
        <v>180</v>
      </c>
      <c r="AV33" s="56">
        <v>61.173503875732401</v>
      </c>
      <c r="AW33" s="57">
        <v>368.62509689331057</v>
      </c>
      <c r="AX33" s="8"/>
      <c r="AZ33" s="1">
        <v>90</v>
      </c>
    </row>
    <row r="34" spans="3:52" ht="15" customHeight="1" x14ac:dyDescent="0.25">
      <c r="C34" s="42"/>
      <c r="D34" s="43">
        <f>D28</f>
        <v>45659</v>
      </c>
      <c r="E34" s="44">
        <f t="shared" si="3"/>
        <v>1.7499999999999993</v>
      </c>
      <c r="F34" s="45">
        <f t="shared" si="2"/>
        <v>45659.750000000044</v>
      </c>
      <c r="G34" s="52">
        <v>38</v>
      </c>
      <c r="H34" s="53">
        <v>39</v>
      </c>
      <c r="I34" s="54">
        <v>10.7</v>
      </c>
      <c r="J34" s="54">
        <v>200</v>
      </c>
      <c r="K34" s="55">
        <v>0</v>
      </c>
      <c r="L34" s="56">
        <v>38</v>
      </c>
      <c r="M34" s="54">
        <v>11.3</v>
      </c>
      <c r="N34" s="54">
        <v>350</v>
      </c>
      <c r="O34" s="57">
        <v>0</v>
      </c>
      <c r="P34" s="53">
        <v>38</v>
      </c>
      <c r="Q34" s="54">
        <v>10.7</v>
      </c>
      <c r="R34" s="55">
        <v>0</v>
      </c>
      <c r="S34" s="55">
        <v>0</v>
      </c>
      <c r="T34" s="57">
        <v>16.8</v>
      </c>
      <c r="U34" s="56">
        <v>37</v>
      </c>
      <c r="V34" s="54">
        <v>10.6</v>
      </c>
      <c r="W34" s="55">
        <v>0</v>
      </c>
      <c r="X34" s="55">
        <v>0</v>
      </c>
      <c r="Y34" s="57">
        <v>14.4</v>
      </c>
      <c r="Z34" s="53">
        <v>37</v>
      </c>
      <c r="AA34" s="54">
        <v>10.4</v>
      </c>
      <c r="AB34" s="55">
        <v>0</v>
      </c>
      <c r="AC34" s="55">
        <v>0</v>
      </c>
      <c r="AD34" s="57">
        <v>15.2</v>
      </c>
      <c r="AE34" s="56">
        <v>37</v>
      </c>
      <c r="AF34" s="54">
        <v>10.4</v>
      </c>
      <c r="AG34" s="55">
        <v>0</v>
      </c>
      <c r="AH34" s="55">
        <v>0</v>
      </c>
      <c r="AI34" s="57">
        <v>15</v>
      </c>
      <c r="AJ34" s="56">
        <v>37</v>
      </c>
      <c r="AK34" s="54">
        <v>10.3</v>
      </c>
      <c r="AL34" s="54">
        <v>0</v>
      </c>
      <c r="AM34" s="54">
        <v>0</v>
      </c>
      <c r="AN34" s="57">
        <v>13.2</v>
      </c>
      <c r="AO34" s="53">
        <v>36</v>
      </c>
      <c r="AP34" s="54">
        <v>10.4</v>
      </c>
      <c r="AQ34" s="54">
        <v>210</v>
      </c>
      <c r="AR34" s="54">
        <v>0</v>
      </c>
      <c r="AS34" s="57">
        <v>7.2</v>
      </c>
      <c r="AT34" s="56">
        <v>29</v>
      </c>
      <c r="AU34" s="57">
        <v>180</v>
      </c>
      <c r="AV34" s="56">
        <v>60.77880859375</v>
      </c>
      <c r="AW34" s="57">
        <v>373.30343322753907</v>
      </c>
      <c r="AX34" s="8"/>
      <c r="AZ34" s="1">
        <v>90</v>
      </c>
    </row>
    <row r="35" spans="3:52" ht="15" customHeight="1" x14ac:dyDescent="0.25">
      <c r="C35" s="42"/>
      <c r="D35" s="43">
        <f>D28</f>
        <v>45659</v>
      </c>
      <c r="E35" s="44">
        <f t="shared" si="3"/>
        <v>1.8333333333333326</v>
      </c>
      <c r="F35" s="45">
        <f t="shared" si="2"/>
        <v>45659.833333333379</v>
      </c>
      <c r="G35" s="52">
        <v>41</v>
      </c>
      <c r="H35" s="53">
        <v>37</v>
      </c>
      <c r="I35" s="54">
        <v>10.9</v>
      </c>
      <c r="J35" s="54">
        <v>250</v>
      </c>
      <c r="K35" s="55">
        <v>0</v>
      </c>
      <c r="L35" s="56">
        <v>38</v>
      </c>
      <c r="M35" s="54">
        <v>10.9</v>
      </c>
      <c r="N35" s="54">
        <v>300</v>
      </c>
      <c r="O35" s="57">
        <v>0</v>
      </c>
      <c r="P35" s="53">
        <v>38</v>
      </c>
      <c r="Q35" s="54">
        <v>10.9</v>
      </c>
      <c r="R35" s="55">
        <v>0</v>
      </c>
      <c r="S35" s="55">
        <v>0</v>
      </c>
      <c r="T35" s="57">
        <v>16</v>
      </c>
      <c r="U35" s="56">
        <v>38</v>
      </c>
      <c r="V35" s="54">
        <v>10.9</v>
      </c>
      <c r="W35" s="55">
        <v>0</v>
      </c>
      <c r="X35" s="55">
        <v>0</v>
      </c>
      <c r="Y35" s="57">
        <v>15</v>
      </c>
      <c r="Z35" s="53">
        <v>38</v>
      </c>
      <c r="AA35" s="54">
        <v>10.8</v>
      </c>
      <c r="AB35" s="55">
        <v>0</v>
      </c>
      <c r="AC35" s="55">
        <v>0</v>
      </c>
      <c r="AD35" s="57">
        <v>15.2</v>
      </c>
      <c r="AE35" s="56">
        <v>38</v>
      </c>
      <c r="AF35" s="54">
        <v>10.8</v>
      </c>
      <c r="AG35" s="55">
        <v>0</v>
      </c>
      <c r="AH35" s="55">
        <v>0</v>
      </c>
      <c r="AI35" s="57">
        <v>15</v>
      </c>
      <c r="AJ35" s="56">
        <v>38</v>
      </c>
      <c r="AK35" s="54">
        <v>10.6</v>
      </c>
      <c r="AL35" s="54">
        <v>0</v>
      </c>
      <c r="AM35" s="54">
        <v>0</v>
      </c>
      <c r="AN35" s="57">
        <v>14</v>
      </c>
      <c r="AO35" s="53">
        <v>36</v>
      </c>
      <c r="AP35" s="54">
        <v>10.5</v>
      </c>
      <c r="AQ35" s="54">
        <v>250</v>
      </c>
      <c r="AR35" s="54">
        <v>0</v>
      </c>
      <c r="AS35" s="57">
        <v>6</v>
      </c>
      <c r="AT35" s="56">
        <v>25</v>
      </c>
      <c r="AU35" s="57">
        <v>160</v>
      </c>
      <c r="AV35" s="56">
        <v>60.892742156982401</v>
      </c>
      <c r="AW35" s="57">
        <v>373.97400690714517</v>
      </c>
      <c r="AX35" s="8"/>
      <c r="AZ35" s="1">
        <v>90</v>
      </c>
    </row>
    <row r="36" spans="3:52" ht="15" customHeight="1" x14ac:dyDescent="0.25">
      <c r="C36" s="42"/>
      <c r="D36" s="43">
        <f>D28</f>
        <v>45659</v>
      </c>
      <c r="E36" s="44">
        <f t="shared" si="3"/>
        <v>1.9166666666666659</v>
      </c>
      <c r="F36" s="45">
        <f t="shared" si="2"/>
        <v>45659.916666666715</v>
      </c>
      <c r="G36" s="52">
        <v>37</v>
      </c>
      <c r="H36" s="53">
        <v>40</v>
      </c>
      <c r="I36" s="54">
        <v>10.9</v>
      </c>
      <c r="J36" s="54">
        <v>300</v>
      </c>
      <c r="K36" s="55">
        <v>0</v>
      </c>
      <c r="L36" s="56">
        <v>37</v>
      </c>
      <c r="M36" s="54">
        <v>10.9</v>
      </c>
      <c r="N36" s="54">
        <v>350</v>
      </c>
      <c r="O36" s="57">
        <v>0</v>
      </c>
      <c r="P36" s="53">
        <v>38</v>
      </c>
      <c r="Q36" s="54">
        <v>10.8</v>
      </c>
      <c r="R36" s="55">
        <v>0</v>
      </c>
      <c r="S36" s="55">
        <v>0</v>
      </c>
      <c r="T36" s="57">
        <v>15</v>
      </c>
      <c r="U36" s="56">
        <v>38</v>
      </c>
      <c r="V36" s="54">
        <v>10.8</v>
      </c>
      <c r="W36" s="55">
        <v>0</v>
      </c>
      <c r="X36" s="55">
        <v>0</v>
      </c>
      <c r="Y36" s="57">
        <v>15</v>
      </c>
      <c r="Z36" s="53">
        <v>37</v>
      </c>
      <c r="AA36" s="54">
        <v>10.8</v>
      </c>
      <c r="AB36" s="55">
        <v>0</v>
      </c>
      <c r="AC36" s="55">
        <v>0</v>
      </c>
      <c r="AD36" s="57">
        <v>16</v>
      </c>
      <c r="AE36" s="56">
        <v>37</v>
      </c>
      <c r="AF36" s="54">
        <v>10.8</v>
      </c>
      <c r="AG36" s="55">
        <v>0</v>
      </c>
      <c r="AH36" s="55">
        <v>0</v>
      </c>
      <c r="AI36" s="57">
        <v>15</v>
      </c>
      <c r="AJ36" s="56">
        <v>37</v>
      </c>
      <c r="AK36" s="54">
        <v>10.7</v>
      </c>
      <c r="AL36" s="54">
        <v>0</v>
      </c>
      <c r="AM36" s="54">
        <v>0</v>
      </c>
      <c r="AN36" s="57">
        <v>13</v>
      </c>
      <c r="AO36" s="53">
        <v>37</v>
      </c>
      <c r="AP36" s="54">
        <v>10.5</v>
      </c>
      <c r="AQ36" s="54">
        <v>260</v>
      </c>
      <c r="AR36" s="54">
        <v>0</v>
      </c>
      <c r="AS36" s="57">
        <v>9</v>
      </c>
      <c r="AT36" s="56">
        <v>27</v>
      </c>
      <c r="AU36" s="57">
        <v>160</v>
      </c>
      <c r="AV36" s="56">
        <v>60.85205078125</v>
      </c>
      <c r="AW36" s="57">
        <v>374.52654762268065</v>
      </c>
      <c r="AX36" s="8"/>
      <c r="AZ36" s="1">
        <v>90</v>
      </c>
    </row>
    <row r="37" spans="3:52" ht="15" customHeight="1" x14ac:dyDescent="0.25">
      <c r="C37" s="42"/>
      <c r="D37" s="43">
        <f>D28</f>
        <v>45659</v>
      </c>
      <c r="E37" s="44">
        <f t="shared" si="3"/>
        <v>1.9999999999999991</v>
      </c>
      <c r="F37" s="45">
        <f t="shared" si="2"/>
        <v>45660.000000000051</v>
      </c>
      <c r="G37" s="52">
        <v>38</v>
      </c>
      <c r="H37" s="53">
        <v>39</v>
      </c>
      <c r="I37" s="54">
        <v>10.8</v>
      </c>
      <c r="J37" s="54">
        <v>300</v>
      </c>
      <c r="K37" s="55">
        <v>0</v>
      </c>
      <c r="L37" s="56">
        <v>40</v>
      </c>
      <c r="M37" s="54">
        <v>10.8</v>
      </c>
      <c r="N37" s="54">
        <v>350</v>
      </c>
      <c r="O37" s="57">
        <v>0</v>
      </c>
      <c r="P37" s="53">
        <v>39</v>
      </c>
      <c r="Q37" s="54">
        <v>10.9</v>
      </c>
      <c r="R37" s="55">
        <v>0</v>
      </c>
      <c r="S37" s="55">
        <v>0</v>
      </c>
      <c r="T37" s="57">
        <v>16</v>
      </c>
      <c r="U37" s="56">
        <v>39</v>
      </c>
      <c r="V37" s="54">
        <v>10.8</v>
      </c>
      <c r="W37" s="55">
        <v>0</v>
      </c>
      <c r="X37" s="55">
        <v>0</v>
      </c>
      <c r="Y37" s="57">
        <v>15.2</v>
      </c>
      <c r="Z37" s="53">
        <v>38</v>
      </c>
      <c r="AA37" s="54">
        <v>10.8</v>
      </c>
      <c r="AB37" s="55">
        <v>0</v>
      </c>
      <c r="AC37" s="55">
        <v>0</v>
      </c>
      <c r="AD37" s="57">
        <v>15.2</v>
      </c>
      <c r="AE37" s="56">
        <v>38</v>
      </c>
      <c r="AF37" s="54">
        <v>10.7</v>
      </c>
      <c r="AG37" s="55">
        <v>0</v>
      </c>
      <c r="AH37" s="55">
        <v>0</v>
      </c>
      <c r="AI37" s="57">
        <v>15</v>
      </c>
      <c r="AJ37" s="56">
        <v>38</v>
      </c>
      <c r="AK37" s="54">
        <v>10.7</v>
      </c>
      <c r="AL37" s="54">
        <v>0</v>
      </c>
      <c r="AM37" s="54">
        <v>0</v>
      </c>
      <c r="AN37" s="57">
        <v>14</v>
      </c>
      <c r="AO37" s="53">
        <v>37</v>
      </c>
      <c r="AP37" s="54">
        <v>10.6</v>
      </c>
      <c r="AQ37" s="54">
        <v>250</v>
      </c>
      <c r="AR37" s="54">
        <v>0</v>
      </c>
      <c r="AS37" s="57">
        <v>8</v>
      </c>
      <c r="AT37" s="56">
        <v>25</v>
      </c>
      <c r="AU37" s="57">
        <v>150</v>
      </c>
      <c r="AV37" s="56">
        <v>61.03515625</v>
      </c>
      <c r="AW37" s="57">
        <v>373.9737653096517</v>
      </c>
      <c r="AX37" s="8"/>
      <c r="AZ37" s="1">
        <v>90</v>
      </c>
    </row>
    <row r="38" spans="3:52" ht="15" customHeight="1" x14ac:dyDescent="0.25">
      <c r="C38" s="42"/>
      <c r="D38" s="43">
        <f>D28</f>
        <v>45659</v>
      </c>
      <c r="E38" s="44">
        <f t="shared" si="3"/>
        <v>2.0833333333333326</v>
      </c>
      <c r="F38" s="45">
        <f t="shared" si="2"/>
        <v>45660.083333333387</v>
      </c>
      <c r="G38" s="52">
        <v>43</v>
      </c>
      <c r="H38" s="53">
        <v>41</v>
      </c>
      <c r="I38" s="54">
        <v>10.7</v>
      </c>
      <c r="J38" s="54">
        <v>300</v>
      </c>
      <c r="K38" s="55">
        <v>0</v>
      </c>
      <c r="L38" s="56">
        <v>40</v>
      </c>
      <c r="M38" s="54">
        <v>10.8</v>
      </c>
      <c r="N38" s="54">
        <v>300</v>
      </c>
      <c r="O38" s="57">
        <v>0</v>
      </c>
      <c r="P38" s="53">
        <v>40</v>
      </c>
      <c r="Q38" s="54">
        <v>10.8</v>
      </c>
      <c r="R38" s="55">
        <v>0</v>
      </c>
      <c r="S38" s="55">
        <v>0</v>
      </c>
      <c r="T38" s="57">
        <v>16.8</v>
      </c>
      <c r="U38" s="56">
        <v>40</v>
      </c>
      <c r="V38" s="54">
        <v>10.8</v>
      </c>
      <c r="W38" s="55">
        <v>0</v>
      </c>
      <c r="X38" s="55">
        <v>0</v>
      </c>
      <c r="Y38" s="57">
        <v>15</v>
      </c>
      <c r="Z38" s="53">
        <v>39</v>
      </c>
      <c r="AA38" s="54">
        <v>10.7</v>
      </c>
      <c r="AB38" s="55">
        <v>0</v>
      </c>
      <c r="AC38" s="55">
        <v>0</v>
      </c>
      <c r="AD38" s="57">
        <v>16</v>
      </c>
      <c r="AE38" s="56">
        <v>39</v>
      </c>
      <c r="AF38" s="54">
        <v>10.7</v>
      </c>
      <c r="AG38" s="55">
        <v>0</v>
      </c>
      <c r="AH38" s="55">
        <v>0</v>
      </c>
      <c r="AI38" s="57">
        <v>14.8</v>
      </c>
      <c r="AJ38" s="56">
        <v>38</v>
      </c>
      <c r="AK38" s="54">
        <v>10.7</v>
      </c>
      <c r="AL38" s="54">
        <v>0</v>
      </c>
      <c r="AM38" s="54">
        <v>0</v>
      </c>
      <c r="AN38" s="57">
        <v>14.4</v>
      </c>
      <c r="AO38" s="53">
        <v>38</v>
      </c>
      <c r="AP38" s="54">
        <v>10.6</v>
      </c>
      <c r="AQ38" s="54">
        <v>250</v>
      </c>
      <c r="AR38" s="54">
        <v>0</v>
      </c>
      <c r="AS38" s="57">
        <v>8</v>
      </c>
      <c r="AT38" s="56">
        <v>28</v>
      </c>
      <c r="AU38" s="57">
        <v>150</v>
      </c>
      <c r="AV38" s="56">
        <v>60.819499969482401</v>
      </c>
      <c r="AW38" s="57">
        <v>373.26220080057777</v>
      </c>
      <c r="AX38" s="8"/>
      <c r="AZ38" s="1">
        <v>90</v>
      </c>
    </row>
    <row r="39" spans="3:52" ht="15" customHeight="1" x14ac:dyDescent="0.25">
      <c r="C39" s="42"/>
      <c r="D39" s="69">
        <f>D28</f>
        <v>45659</v>
      </c>
      <c r="E39" s="70">
        <f t="shared" si="3"/>
        <v>2.1666666666666661</v>
      </c>
      <c r="F39" s="71">
        <f t="shared" si="2"/>
        <v>45660.166666666722</v>
      </c>
      <c r="G39" s="60">
        <v>43</v>
      </c>
      <c r="H39" s="61">
        <v>40</v>
      </c>
      <c r="I39" s="62">
        <v>10.6</v>
      </c>
      <c r="J39" s="62">
        <v>350</v>
      </c>
      <c r="K39" s="63">
        <v>0</v>
      </c>
      <c r="L39" s="64">
        <v>40</v>
      </c>
      <c r="M39" s="62">
        <v>10.7</v>
      </c>
      <c r="N39" s="62">
        <v>350</v>
      </c>
      <c r="O39" s="65">
        <v>0</v>
      </c>
      <c r="P39" s="61">
        <v>39</v>
      </c>
      <c r="Q39" s="62">
        <v>10.7</v>
      </c>
      <c r="R39" s="63">
        <v>0</v>
      </c>
      <c r="S39" s="63">
        <v>0</v>
      </c>
      <c r="T39" s="65">
        <v>16</v>
      </c>
      <c r="U39" s="64">
        <v>39</v>
      </c>
      <c r="V39" s="62">
        <v>10.8</v>
      </c>
      <c r="W39" s="63">
        <v>0</v>
      </c>
      <c r="X39" s="63">
        <v>0</v>
      </c>
      <c r="Y39" s="65">
        <v>15</v>
      </c>
      <c r="Z39" s="61">
        <v>40</v>
      </c>
      <c r="AA39" s="62">
        <v>10.7</v>
      </c>
      <c r="AB39" s="63">
        <v>0</v>
      </c>
      <c r="AC39" s="63">
        <v>0</v>
      </c>
      <c r="AD39" s="65">
        <v>15.6</v>
      </c>
      <c r="AE39" s="64">
        <v>38</v>
      </c>
      <c r="AF39" s="62">
        <v>10.7</v>
      </c>
      <c r="AG39" s="63">
        <v>0</v>
      </c>
      <c r="AH39" s="63">
        <v>0</v>
      </c>
      <c r="AI39" s="65">
        <v>15</v>
      </c>
      <c r="AJ39" s="64">
        <v>39</v>
      </c>
      <c r="AK39" s="62">
        <v>10.7</v>
      </c>
      <c r="AL39" s="62">
        <v>0</v>
      </c>
      <c r="AM39" s="62">
        <v>0</v>
      </c>
      <c r="AN39" s="65">
        <v>14.8</v>
      </c>
      <c r="AO39" s="61">
        <v>39</v>
      </c>
      <c r="AP39" s="62">
        <v>10.6</v>
      </c>
      <c r="AQ39" s="62">
        <v>240</v>
      </c>
      <c r="AR39" s="62">
        <v>0</v>
      </c>
      <c r="AS39" s="65">
        <v>12</v>
      </c>
      <c r="AT39" s="64">
        <v>27</v>
      </c>
      <c r="AU39" s="65">
        <v>140</v>
      </c>
      <c r="AV39" s="64">
        <v>61.088054656982401</v>
      </c>
      <c r="AW39" s="65">
        <v>371.92539545694984</v>
      </c>
      <c r="AX39" s="8"/>
      <c r="AZ39" s="1">
        <v>90</v>
      </c>
    </row>
    <row r="40" spans="3:52" ht="15" customHeight="1" x14ac:dyDescent="0.25">
      <c r="C40" s="42">
        <f>C28+1</f>
        <v>3</v>
      </c>
      <c r="D40" s="66">
        <f>DATE([1]Dash!$F$3,VLOOKUP([1]Dash!$E$3,[1]Abb!$C$3:$D$14,2,FALSE),C40)</f>
        <v>45660</v>
      </c>
      <c r="E40" s="67">
        <f>E39+2/24</f>
        <v>2.2499999999999996</v>
      </c>
      <c r="F40" s="68">
        <f t="shared" si="2"/>
        <v>45660.250000000058</v>
      </c>
      <c r="G40" s="46">
        <v>40</v>
      </c>
      <c r="H40" s="47">
        <v>40</v>
      </c>
      <c r="I40" s="48">
        <v>10.9</v>
      </c>
      <c r="J40" s="48">
        <v>350</v>
      </c>
      <c r="K40" s="49">
        <v>0</v>
      </c>
      <c r="L40" s="50">
        <v>42</v>
      </c>
      <c r="M40" s="48">
        <v>10.8</v>
      </c>
      <c r="N40" s="48">
        <v>350</v>
      </c>
      <c r="O40" s="51">
        <v>0</v>
      </c>
      <c r="P40" s="47">
        <v>40</v>
      </c>
      <c r="Q40" s="48">
        <v>10.8</v>
      </c>
      <c r="R40" s="49">
        <v>0</v>
      </c>
      <c r="S40" s="49">
        <v>0</v>
      </c>
      <c r="T40" s="51">
        <v>15</v>
      </c>
      <c r="U40" s="50">
        <v>40</v>
      </c>
      <c r="V40" s="48">
        <v>10.7</v>
      </c>
      <c r="W40" s="49">
        <v>0</v>
      </c>
      <c r="X40" s="49">
        <v>0</v>
      </c>
      <c r="Y40" s="51">
        <v>15.2</v>
      </c>
      <c r="Z40" s="47">
        <v>39</v>
      </c>
      <c r="AA40" s="48">
        <v>10.7</v>
      </c>
      <c r="AB40" s="49">
        <v>0</v>
      </c>
      <c r="AC40" s="49">
        <v>0</v>
      </c>
      <c r="AD40" s="51">
        <v>15.2</v>
      </c>
      <c r="AE40" s="50">
        <v>38</v>
      </c>
      <c r="AF40" s="48">
        <v>10.7</v>
      </c>
      <c r="AG40" s="49">
        <v>0</v>
      </c>
      <c r="AH40" s="49">
        <v>0</v>
      </c>
      <c r="AI40" s="51">
        <v>14.8</v>
      </c>
      <c r="AJ40" s="50">
        <v>38</v>
      </c>
      <c r="AK40" s="48">
        <v>10.6</v>
      </c>
      <c r="AL40" s="48">
        <v>0</v>
      </c>
      <c r="AM40" s="48">
        <v>0</v>
      </c>
      <c r="AN40" s="51">
        <v>14</v>
      </c>
      <c r="AO40" s="47">
        <v>38</v>
      </c>
      <c r="AP40" s="48">
        <v>10.7</v>
      </c>
      <c r="AQ40" s="48">
        <v>280</v>
      </c>
      <c r="AR40" s="48">
        <v>0</v>
      </c>
      <c r="AS40" s="51">
        <v>12</v>
      </c>
      <c r="AT40" s="50">
        <v>25</v>
      </c>
      <c r="AU40" s="51">
        <v>160</v>
      </c>
      <c r="AV40" s="50">
        <v>60.75439453125</v>
      </c>
      <c r="AW40" s="51">
        <v>371.31245193481448</v>
      </c>
      <c r="AX40" s="8"/>
      <c r="AZ40" s="1">
        <v>90</v>
      </c>
    </row>
    <row r="41" spans="3:52" ht="15" customHeight="1" x14ac:dyDescent="0.25">
      <c r="C41" s="42"/>
      <c r="D41" s="43">
        <f>D40</f>
        <v>45660</v>
      </c>
      <c r="E41" s="44">
        <f>E40+2/24</f>
        <v>2.333333333333333</v>
      </c>
      <c r="F41" s="45">
        <f t="shared" si="2"/>
        <v>45660.333333333394</v>
      </c>
      <c r="G41" s="52">
        <v>35</v>
      </c>
      <c r="H41" s="53">
        <v>38</v>
      </c>
      <c r="I41" s="54">
        <v>10.9</v>
      </c>
      <c r="J41" s="54">
        <v>350</v>
      </c>
      <c r="K41" s="55">
        <v>0</v>
      </c>
      <c r="L41" s="56">
        <v>38</v>
      </c>
      <c r="M41" s="54">
        <v>10.9</v>
      </c>
      <c r="N41" s="54">
        <v>300</v>
      </c>
      <c r="O41" s="57">
        <v>0</v>
      </c>
      <c r="P41" s="53">
        <v>37</v>
      </c>
      <c r="Q41" s="54">
        <v>11</v>
      </c>
      <c r="R41" s="55">
        <v>0</v>
      </c>
      <c r="S41" s="55">
        <v>0</v>
      </c>
      <c r="T41" s="57">
        <v>15</v>
      </c>
      <c r="U41" s="56">
        <v>34</v>
      </c>
      <c r="V41" s="54">
        <v>11</v>
      </c>
      <c r="W41" s="55">
        <v>0</v>
      </c>
      <c r="X41" s="55">
        <v>0</v>
      </c>
      <c r="Y41" s="57">
        <v>13.4</v>
      </c>
      <c r="Z41" s="53">
        <v>34</v>
      </c>
      <c r="AA41" s="54">
        <v>10.9</v>
      </c>
      <c r="AB41" s="55">
        <v>0</v>
      </c>
      <c r="AC41" s="55">
        <v>0</v>
      </c>
      <c r="AD41" s="57">
        <v>16.2</v>
      </c>
      <c r="AE41" s="56">
        <v>36</v>
      </c>
      <c r="AF41" s="54">
        <v>10.9</v>
      </c>
      <c r="AG41" s="55">
        <v>0</v>
      </c>
      <c r="AH41" s="55">
        <v>0</v>
      </c>
      <c r="AI41" s="57">
        <v>14.6</v>
      </c>
      <c r="AJ41" s="56">
        <v>36</v>
      </c>
      <c r="AK41" s="54">
        <v>10.9</v>
      </c>
      <c r="AL41" s="54">
        <v>0</v>
      </c>
      <c r="AM41" s="54">
        <v>0</v>
      </c>
      <c r="AN41" s="57">
        <v>14.4</v>
      </c>
      <c r="AO41" s="53">
        <v>35</v>
      </c>
      <c r="AP41" s="54">
        <v>10.8</v>
      </c>
      <c r="AQ41" s="54">
        <v>290</v>
      </c>
      <c r="AR41" s="54">
        <v>0</v>
      </c>
      <c r="AS41" s="57">
        <v>11</v>
      </c>
      <c r="AT41" s="56">
        <v>28</v>
      </c>
      <c r="AU41" s="57">
        <v>240</v>
      </c>
      <c r="AV41" s="56">
        <v>60.990398406982401</v>
      </c>
      <c r="AW41" s="57">
        <v>372.1490400950114</v>
      </c>
      <c r="AX41" s="8"/>
      <c r="AZ41" s="1">
        <v>90</v>
      </c>
    </row>
    <row r="42" spans="3:52" ht="15" customHeight="1" x14ac:dyDescent="0.25">
      <c r="C42" s="42"/>
      <c r="D42" s="43">
        <f>D40</f>
        <v>45660</v>
      </c>
      <c r="E42" s="44">
        <f t="shared" ref="E42:E51" si="4">E41+2/24</f>
        <v>2.4166666666666665</v>
      </c>
      <c r="F42" s="45">
        <f t="shared" si="2"/>
        <v>45660.41666666673</v>
      </c>
      <c r="G42" s="52">
        <v>38</v>
      </c>
      <c r="H42" s="53">
        <v>39</v>
      </c>
      <c r="I42" s="54">
        <v>10.9</v>
      </c>
      <c r="J42" s="54">
        <v>350</v>
      </c>
      <c r="K42" s="55">
        <v>0</v>
      </c>
      <c r="L42" s="56">
        <v>38</v>
      </c>
      <c r="M42" s="54">
        <v>11</v>
      </c>
      <c r="N42" s="54">
        <v>300</v>
      </c>
      <c r="O42" s="57">
        <v>0</v>
      </c>
      <c r="P42" s="53">
        <v>37</v>
      </c>
      <c r="Q42" s="54">
        <v>11</v>
      </c>
      <c r="R42" s="55">
        <v>0</v>
      </c>
      <c r="S42" s="55">
        <v>0</v>
      </c>
      <c r="T42" s="57">
        <v>15.2</v>
      </c>
      <c r="U42" s="56">
        <v>35</v>
      </c>
      <c r="V42" s="54">
        <v>11</v>
      </c>
      <c r="W42" s="55">
        <v>0</v>
      </c>
      <c r="X42" s="55">
        <v>0</v>
      </c>
      <c r="Y42" s="57">
        <v>14</v>
      </c>
      <c r="Z42" s="53">
        <v>35</v>
      </c>
      <c r="AA42" s="54">
        <v>10.9</v>
      </c>
      <c r="AB42" s="55">
        <v>0</v>
      </c>
      <c r="AC42" s="55">
        <v>0</v>
      </c>
      <c r="AD42" s="57">
        <v>16</v>
      </c>
      <c r="AE42" s="56">
        <v>36</v>
      </c>
      <c r="AF42" s="54">
        <v>10.8</v>
      </c>
      <c r="AG42" s="55">
        <v>0</v>
      </c>
      <c r="AH42" s="55">
        <v>0</v>
      </c>
      <c r="AI42" s="57">
        <v>14.8</v>
      </c>
      <c r="AJ42" s="56">
        <v>36</v>
      </c>
      <c r="AK42" s="54">
        <v>10.9</v>
      </c>
      <c r="AL42" s="54">
        <v>0</v>
      </c>
      <c r="AM42" s="54">
        <v>0</v>
      </c>
      <c r="AN42" s="57">
        <v>14.8</v>
      </c>
      <c r="AO42" s="53">
        <v>35</v>
      </c>
      <c r="AP42" s="54">
        <v>10.8</v>
      </c>
      <c r="AQ42" s="54">
        <v>290</v>
      </c>
      <c r="AR42" s="54">
        <v>0</v>
      </c>
      <c r="AS42" s="57">
        <v>11.2</v>
      </c>
      <c r="AT42" s="56">
        <v>0</v>
      </c>
      <c r="AU42" s="57">
        <v>0</v>
      </c>
      <c r="AV42" s="56">
        <v>60.709636688232401</v>
      </c>
      <c r="AW42" s="57">
        <v>372.06211433410647</v>
      </c>
      <c r="AX42" s="8"/>
      <c r="AZ42" s="1">
        <v>90</v>
      </c>
    </row>
    <row r="43" spans="3:52" ht="15" customHeight="1" x14ac:dyDescent="0.25">
      <c r="C43" s="42"/>
      <c r="D43" s="43">
        <f>D40</f>
        <v>45660</v>
      </c>
      <c r="E43" s="44">
        <f t="shared" si="4"/>
        <v>2.5</v>
      </c>
      <c r="F43" s="45">
        <f t="shared" si="2"/>
        <v>45660.500000000065</v>
      </c>
      <c r="G43" s="52">
        <v>37</v>
      </c>
      <c r="H43" s="53">
        <v>39</v>
      </c>
      <c r="I43" s="54">
        <v>10.9</v>
      </c>
      <c r="J43" s="54">
        <v>400</v>
      </c>
      <c r="K43" s="55">
        <v>0</v>
      </c>
      <c r="L43" s="56">
        <v>38</v>
      </c>
      <c r="M43" s="54">
        <v>10.9</v>
      </c>
      <c r="N43" s="54">
        <v>350</v>
      </c>
      <c r="O43" s="57">
        <v>0</v>
      </c>
      <c r="P43" s="53">
        <v>36</v>
      </c>
      <c r="Q43" s="54">
        <v>10.8</v>
      </c>
      <c r="R43" s="55">
        <v>0</v>
      </c>
      <c r="S43" s="55">
        <v>0</v>
      </c>
      <c r="T43" s="57">
        <v>15</v>
      </c>
      <c r="U43" s="56">
        <v>36</v>
      </c>
      <c r="V43" s="54">
        <v>11</v>
      </c>
      <c r="W43" s="55">
        <v>0</v>
      </c>
      <c r="X43" s="55">
        <v>0</v>
      </c>
      <c r="Y43" s="57">
        <v>13.6</v>
      </c>
      <c r="Z43" s="53">
        <v>35</v>
      </c>
      <c r="AA43" s="54">
        <v>10.9</v>
      </c>
      <c r="AB43" s="55">
        <v>0</v>
      </c>
      <c r="AC43" s="55">
        <v>0</v>
      </c>
      <c r="AD43" s="57">
        <v>15.8</v>
      </c>
      <c r="AE43" s="56">
        <v>36</v>
      </c>
      <c r="AF43" s="54">
        <v>10.8</v>
      </c>
      <c r="AG43" s="55">
        <v>0</v>
      </c>
      <c r="AH43" s="55">
        <v>0</v>
      </c>
      <c r="AI43" s="57">
        <v>14.6</v>
      </c>
      <c r="AJ43" s="56">
        <v>37</v>
      </c>
      <c r="AK43" s="54">
        <v>10.9</v>
      </c>
      <c r="AL43" s="54">
        <v>0</v>
      </c>
      <c r="AM43" s="54">
        <v>0</v>
      </c>
      <c r="AN43" s="57">
        <v>14.6</v>
      </c>
      <c r="AO43" s="53">
        <v>36</v>
      </c>
      <c r="AP43" s="54">
        <v>10.8</v>
      </c>
      <c r="AQ43" s="54">
        <v>330</v>
      </c>
      <c r="AR43" s="54">
        <v>0</v>
      </c>
      <c r="AS43" s="57">
        <v>11.6</v>
      </c>
      <c r="AT43" s="56">
        <v>0</v>
      </c>
      <c r="AU43" s="57">
        <v>0</v>
      </c>
      <c r="AV43" s="56">
        <v>60.396320343017599</v>
      </c>
      <c r="AW43" s="57">
        <v>116.08398424784345</v>
      </c>
      <c r="AX43" s="8"/>
      <c r="AZ43" s="1">
        <v>90</v>
      </c>
    </row>
    <row r="44" spans="3:52" ht="15" customHeight="1" x14ac:dyDescent="0.25">
      <c r="C44" s="42"/>
      <c r="D44" s="43">
        <f>D40</f>
        <v>45660</v>
      </c>
      <c r="E44" s="44">
        <f t="shared" si="4"/>
        <v>2.5833333333333335</v>
      </c>
      <c r="F44" s="45">
        <f t="shared" si="2"/>
        <v>45660.583333333401</v>
      </c>
      <c r="G44" s="52" t="s">
        <v>38</v>
      </c>
      <c r="H44" s="53">
        <v>38</v>
      </c>
      <c r="I44" s="54">
        <v>10.8</v>
      </c>
      <c r="J44" s="54">
        <v>400</v>
      </c>
      <c r="K44" s="55">
        <v>0</v>
      </c>
      <c r="L44" s="56">
        <v>38</v>
      </c>
      <c r="M44" s="54">
        <v>10.9</v>
      </c>
      <c r="N44" s="54">
        <v>350</v>
      </c>
      <c r="O44" s="57">
        <v>0</v>
      </c>
      <c r="P44" s="53">
        <v>36</v>
      </c>
      <c r="Q44" s="54">
        <v>10.9</v>
      </c>
      <c r="R44" s="55">
        <v>0</v>
      </c>
      <c r="S44" s="55">
        <v>0</v>
      </c>
      <c r="T44" s="57">
        <v>15</v>
      </c>
      <c r="U44" s="56">
        <v>36</v>
      </c>
      <c r="V44" s="54">
        <v>10.9</v>
      </c>
      <c r="W44" s="55">
        <v>0</v>
      </c>
      <c r="X44" s="55">
        <v>0</v>
      </c>
      <c r="Y44" s="57">
        <v>14</v>
      </c>
      <c r="Z44" s="53">
        <v>36</v>
      </c>
      <c r="AA44" s="54">
        <v>10.9</v>
      </c>
      <c r="AB44" s="55">
        <v>0</v>
      </c>
      <c r="AC44" s="55">
        <v>0</v>
      </c>
      <c r="AD44" s="57">
        <v>16</v>
      </c>
      <c r="AE44" s="56">
        <v>36</v>
      </c>
      <c r="AF44" s="54">
        <v>10.9</v>
      </c>
      <c r="AG44" s="55">
        <v>0</v>
      </c>
      <c r="AH44" s="55">
        <v>0</v>
      </c>
      <c r="AI44" s="57">
        <v>14.6</v>
      </c>
      <c r="AJ44" s="56">
        <v>36</v>
      </c>
      <c r="AK44" s="54">
        <v>10.8</v>
      </c>
      <c r="AL44" s="54">
        <v>0</v>
      </c>
      <c r="AM44" s="54">
        <v>0</v>
      </c>
      <c r="AN44" s="57">
        <v>14.4</v>
      </c>
      <c r="AO44" s="53">
        <v>37</v>
      </c>
      <c r="AP44" s="54">
        <v>10.8</v>
      </c>
      <c r="AQ44" s="54">
        <v>300</v>
      </c>
      <c r="AR44" s="54">
        <v>0</v>
      </c>
      <c r="AS44" s="57">
        <v>11.4</v>
      </c>
      <c r="AT44" s="56">
        <v>0</v>
      </c>
      <c r="AU44" s="57">
        <v>0</v>
      </c>
      <c r="AV44" s="56">
        <v>60.43701171875</v>
      </c>
      <c r="AW44" s="57">
        <v>0</v>
      </c>
      <c r="AX44" s="8"/>
      <c r="AZ44" s="1">
        <v>90</v>
      </c>
    </row>
    <row r="45" spans="3:52" ht="15" customHeight="1" x14ac:dyDescent="0.25">
      <c r="C45" s="42"/>
      <c r="D45" s="43">
        <f>D40</f>
        <v>45660</v>
      </c>
      <c r="E45" s="44">
        <f t="shared" si="4"/>
        <v>2.666666666666667</v>
      </c>
      <c r="F45" s="45">
        <f t="shared" si="2"/>
        <v>45660.666666666737</v>
      </c>
      <c r="G45" s="52" t="s">
        <v>38</v>
      </c>
      <c r="H45" s="53">
        <v>39</v>
      </c>
      <c r="I45" s="54">
        <v>10.9</v>
      </c>
      <c r="J45" s="54">
        <v>400</v>
      </c>
      <c r="K45" s="55">
        <v>0</v>
      </c>
      <c r="L45" s="56">
        <v>38</v>
      </c>
      <c r="M45" s="54">
        <v>10.9</v>
      </c>
      <c r="N45" s="54">
        <v>350</v>
      </c>
      <c r="O45" s="57">
        <v>0</v>
      </c>
      <c r="P45" s="53">
        <v>37</v>
      </c>
      <c r="Q45" s="54">
        <v>10.9</v>
      </c>
      <c r="R45" s="55">
        <v>0</v>
      </c>
      <c r="S45" s="55">
        <v>0</v>
      </c>
      <c r="T45" s="57">
        <v>15.2</v>
      </c>
      <c r="U45" s="56">
        <v>36</v>
      </c>
      <c r="V45" s="54">
        <v>11</v>
      </c>
      <c r="W45" s="55">
        <v>0</v>
      </c>
      <c r="X45" s="55">
        <v>0</v>
      </c>
      <c r="Y45" s="57">
        <v>13.8</v>
      </c>
      <c r="Z45" s="53">
        <v>36</v>
      </c>
      <c r="AA45" s="54">
        <v>10.9</v>
      </c>
      <c r="AB45" s="55">
        <v>0</v>
      </c>
      <c r="AC45" s="55">
        <v>0</v>
      </c>
      <c r="AD45" s="57">
        <v>15.4</v>
      </c>
      <c r="AE45" s="56">
        <v>36</v>
      </c>
      <c r="AF45" s="54">
        <v>10.9</v>
      </c>
      <c r="AG45" s="55">
        <v>0</v>
      </c>
      <c r="AH45" s="55">
        <v>0</v>
      </c>
      <c r="AI45" s="57">
        <v>14.6</v>
      </c>
      <c r="AJ45" s="56">
        <v>36</v>
      </c>
      <c r="AK45" s="54">
        <v>10.9</v>
      </c>
      <c r="AL45" s="54">
        <v>0</v>
      </c>
      <c r="AM45" s="54">
        <v>0</v>
      </c>
      <c r="AN45" s="57">
        <v>14.4</v>
      </c>
      <c r="AO45" s="53">
        <v>35</v>
      </c>
      <c r="AP45" s="54">
        <v>10.8</v>
      </c>
      <c r="AQ45" s="54">
        <v>300</v>
      </c>
      <c r="AR45" s="54">
        <v>0</v>
      </c>
      <c r="AS45" s="57">
        <v>11.8</v>
      </c>
      <c r="AT45" s="56">
        <v>0</v>
      </c>
      <c r="AU45" s="57">
        <v>0</v>
      </c>
      <c r="AV45" s="56">
        <v>60.77880859375</v>
      </c>
      <c r="AW45" s="57">
        <v>250.34215850830077</v>
      </c>
      <c r="AX45" s="8"/>
      <c r="AZ45" s="1">
        <v>90</v>
      </c>
    </row>
    <row r="46" spans="3:52" ht="15" customHeight="1" x14ac:dyDescent="0.25">
      <c r="C46" s="42"/>
      <c r="D46" s="43">
        <f>D40</f>
        <v>45660</v>
      </c>
      <c r="E46" s="44">
        <f t="shared" si="4"/>
        <v>2.7500000000000004</v>
      </c>
      <c r="F46" s="45">
        <f t="shared" si="2"/>
        <v>45660.750000000073</v>
      </c>
      <c r="G46" s="52">
        <v>34</v>
      </c>
      <c r="H46" s="53">
        <v>37</v>
      </c>
      <c r="I46" s="54">
        <v>10.8</v>
      </c>
      <c r="J46" s="54">
        <v>300</v>
      </c>
      <c r="K46" s="55">
        <v>0</v>
      </c>
      <c r="L46" s="56">
        <v>38</v>
      </c>
      <c r="M46" s="54">
        <v>10.7</v>
      </c>
      <c r="N46" s="54">
        <v>300</v>
      </c>
      <c r="O46" s="57">
        <v>0</v>
      </c>
      <c r="P46" s="53">
        <v>38</v>
      </c>
      <c r="Q46" s="54">
        <v>10.9</v>
      </c>
      <c r="R46" s="55">
        <v>0</v>
      </c>
      <c r="S46" s="55">
        <v>0</v>
      </c>
      <c r="T46" s="57">
        <v>14</v>
      </c>
      <c r="U46" s="56">
        <v>36</v>
      </c>
      <c r="V46" s="54">
        <v>10.9</v>
      </c>
      <c r="W46" s="55">
        <v>0</v>
      </c>
      <c r="X46" s="55">
        <v>0</v>
      </c>
      <c r="Y46" s="57">
        <v>16</v>
      </c>
      <c r="Z46" s="53">
        <v>37</v>
      </c>
      <c r="AA46" s="54">
        <v>10.9</v>
      </c>
      <c r="AB46" s="55">
        <v>0</v>
      </c>
      <c r="AC46" s="55">
        <v>0</v>
      </c>
      <c r="AD46" s="57">
        <v>17</v>
      </c>
      <c r="AE46" s="56">
        <v>36</v>
      </c>
      <c r="AF46" s="54">
        <v>10.9</v>
      </c>
      <c r="AG46" s="55">
        <v>0</v>
      </c>
      <c r="AH46" s="55">
        <v>0</v>
      </c>
      <c r="AI46" s="57">
        <v>14.6</v>
      </c>
      <c r="AJ46" s="56">
        <v>35</v>
      </c>
      <c r="AK46" s="54">
        <v>10.8</v>
      </c>
      <c r="AL46" s="54">
        <v>0</v>
      </c>
      <c r="AM46" s="54">
        <v>0</v>
      </c>
      <c r="AN46" s="57">
        <v>15</v>
      </c>
      <c r="AO46" s="53">
        <v>36</v>
      </c>
      <c r="AP46" s="54">
        <v>10.7</v>
      </c>
      <c r="AQ46" s="54">
        <v>250</v>
      </c>
      <c r="AR46" s="54">
        <v>0</v>
      </c>
      <c r="AS46" s="57">
        <v>12</v>
      </c>
      <c r="AT46" s="56">
        <v>28</v>
      </c>
      <c r="AU46" s="57">
        <v>210</v>
      </c>
      <c r="AV46" s="56">
        <v>60.8154296875</v>
      </c>
      <c r="AW46" s="57">
        <v>374.611545308431</v>
      </c>
      <c r="AX46" s="8"/>
      <c r="AZ46" s="1">
        <v>90</v>
      </c>
    </row>
    <row r="47" spans="3:52" ht="15" customHeight="1" x14ac:dyDescent="0.25">
      <c r="C47" s="42"/>
      <c r="D47" s="43">
        <f>D40</f>
        <v>45660</v>
      </c>
      <c r="E47" s="44">
        <f t="shared" si="4"/>
        <v>2.8333333333333339</v>
      </c>
      <c r="F47" s="45">
        <f t="shared" si="2"/>
        <v>45660.833333333409</v>
      </c>
      <c r="G47" s="52">
        <v>37</v>
      </c>
      <c r="H47" s="53">
        <v>38</v>
      </c>
      <c r="I47" s="54">
        <v>10.8</v>
      </c>
      <c r="J47" s="54">
        <v>300</v>
      </c>
      <c r="K47" s="55">
        <v>0</v>
      </c>
      <c r="L47" s="56">
        <v>40</v>
      </c>
      <c r="M47" s="54">
        <v>10.7</v>
      </c>
      <c r="N47" s="54">
        <v>350</v>
      </c>
      <c r="O47" s="57">
        <v>0</v>
      </c>
      <c r="P47" s="53">
        <v>41</v>
      </c>
      <c r="Q47" s="54">
        <v>10.8</v>
      </c>
      <c r="R47" s="55">
        <v>0</v>
      </c>
      <c r="S47" s="55">
        <v>0</v>
      </c>
      <c r="T47" s="57">
        <v>16</v>
      </c>
      <c r="U47" s="56">
        <v>39</v>
      </c>
      <c r="V47" s="54">
        <v>10.8</v>
      </c>
      <c r="W47" s="55">
        <v>0</v>
      </c>
      <c r="X47" s="55">
        <v>0</v>
      </c>
      <c r="Y47" s="57">
        <v>14</v>
      </c>
      <c r="Z47" s="53">
        <v>39</v>
      </c>
      <c r="AA47" s="54">
        <v>10.8</v>
      </c>
      <c r="AB47" s="55">
        <v>0</v>
      </c>
      <c r="AC47" s="55">
        <v>0</v>
      </c>
      <c r="AD47" s="57">
        <v>17</v>
      </c>
      <c r="AE47" s="56">
        <v>39</v>
      </c>
      <c r="AF47" s="54">
        <v>10.9</v>
      </c>
      <c r="AG47" s="55">
        <v>0</v>
      </c>
      <c r="AH47" s="55">
        <v>0</v>
      </c>
      <c r="AI47" s="57">
        <v>13</v>
      </c>
      <c r="AJ47" s="56">
        <v>39</v>
      </c>
      <c r="AK47" s="54">
        <v>10.8</v>
      </c>
      <c r="AL47" s="54">
        <v>0</v>
      </c>
      <c r="AM47" s="54">
        <v>0</v>
      </c>
      <c r="AN47" s="57">
        <v>15</v>
      </c>
      <c r="AO47" s="53">
        <v>37</v>
      </c>
      <c r="AP47" s="54">
        <v>10.9</v>
      </c>
      <c r="AQ47" s="54">
        <v>270</v>
      </c>
      <c r="AR47" s="54">
        <v>0</v>
      </c>
      <c r="AS47" s="57">
        <v>12</v>
      </c>
      <c r="AT47" s="56">
        <v>23</v>
      </c>
      <c r="AU47" s="57">
        <v>200</v>
      </c>
      <c r="AV47" s="56">
        <v>60.526531219482401</v>
      </c>
      <c r="AW47" s="57">
        <v>372.36569277445477</v>
      </c>
      <c r="AX47" s="8"/>
      <c r="AZ47" s="1">
        <v>90</v>
      </c>
    </row>
    <row r="48" spans="3:52" ht="15" customHeight="1" x14ac:dyDescent="0.25">
      <c r="C48" s="42"/>
      <c r="D48" s="43">
        <f>D40</f>
        <v>45660</v>
      </c>
      <c r="E48" s="44">
        <f t="shared" si="4"/>
        <v>2.9166666666666674</v>
      </c>
      <c r="F48" s="45">
        <f t="shared" si="2"/>
        <v>45660.916666666744</v>
      </c>
      <c r="G48" s="52">
        <v>37</v>
      </c>
      <c r="H48" s="53">
        <v>39</v>
      </c>
      <c r="I48" s="54">
        <v>10.7</v>
      </c>
      <c r="J48" s="54">
        <v>350</v>
      </c>
      <c r="K48" s="55">
        <v>0</v>
      </c>
      <c r="L48" s="56">
        <v>40</v>
      </c>
      <c r="M48" s="54">
        <v>10.8</v>
      </c>
      <c r="N48" s="54">
        <v>350</v>
      </c>
      <c r="O48" s="57">
        <v>0</v>
      </c>
      <c r="P48" s="53">
        <v>40</v>
      </c>
      <c r="Q48" s="54">
        <v>10.8</v>
      </c>
      <c r="R48" s="55">
        <v>0</v>
      </c>
      <c r="S48" s="55">
        <v>0</v>
      </c>
      <c r="T48" s="57">
        <v>16.399999999999999</v>
      </c>
      <c r="U48" s="56">
        <v>38</v>
      </c>
      <c r="V48" s="54">
        <v>10.8</v>
      </c>
      <c r="W48" s="55">
        <v>0</v>
      </c>
      <c r="X48" s="55">
        <v>0</v>
      </c>
      <c r="Y48" s="57">
        <v>14.8</v>
      </c>
      <c r="Z48" s="53">
        <v>38</v>
      </c>
      <c r="AA48" s="54">
        <v>10.7</v>
      </c>
      <c r="AB48" s="55">
        <v>0</v>
      </c>
      <c r="AC48" s="55">
        <v>0</v>
      </c>
      <c r="AD48" s="57">
        <v>16</v>
      </c>
      <c r="AE48" s="56">
        <v>39</v>
      </c>
      <c r="AF48" s="54">
        <v>10.8</v>
      </c>
      <c r="AG48" s="55">
        <v>0</v>
      </c>
      <c r="AH48" s="55">
        <v>0</v>
      </c>
      <c r="AI48" s="57">
        <v>14</v>
      </c>
      <c r="AJ48" s="56">
        <v>38</v>
      </c>
      <c r="AK48" s="54">
        <v>10.8</v>
      </c>
      <c r="AL48" s="54">
        <v>0</v>
      </c>
      <c r="AM48" s="54">
        <v>0</v>
      </c>
      <c r="AN48" s="57">
        <v>15</v>
      </c>
      <c r="AO48" s="53">
        <v>38</v>
      </c>
      <c r="AP48" s="54">
        <v>10.8</v>
      </c>
      <c r="AQ48" s="54">
        <v>310</v>
      </c>
      <c r="AR48" s="54">
        <v>0</v>
      </c>
      <c r="AS48" s="57">
        <v>12.4</v>
      </c>
      <c r="AT48" s="56">
        <v>24</v>
      </c>
      <c r="AU48" s="57">
        <v>210</v>
      </c>
      <c r="AV48" s="56">
        <v>60.77880859375</v>
      </c>
      <c r="AW48" s="57">
        <v>372.44224967956541</v>
      </c>
      <c r="AX48" s="8"/>
      <c r="AZ48" s="1">
        <v>90</v>
      </c>
    </row>
    <row r="49" spans="3:52" ht="15" customHeight="1" x14ac:dyDescent="0.25">
      <c r="C49" s="42"/>
      <c r="D49" s="43">
        <f>D40</f>
        <v>45660</v>
      </c>
      <c r="E49" s="44">
        <f t="shared" si="4"/>
        <v>3.0000000000000009</v>
      </c>
      <c r="F49" s="45">
        <f t="shared" si="2"/>
        <v>45661.00000000008</v>
      </c>
      <c r="G49" s="52">
        <v>38</v>
      </c>
      <c r="H49" s="53">
        <v>39</v>
      </c>
      <c r="I49" s="54">
        <v>10.6</v>
      </c>
      <c r="J49" s="54">
        <v>350</v>
      </c>
      <c r="K49" s="55">
        <v>0</v>
      </c>
      <c r="L49" s="56">
        <v>39</v>
      </c>
      <c r="M49" s="54">
        <v>10.7</v>
      </c>
      <c r="N49" s="54">
        <v>350</v>
      </c>
      <c r="O49" s="57">
        <v>0</v>
      </c>
      <c r="P49" s="53">
        <v>39</v>
      </c>
      <c r="Q49" s="54">
        <v>10.7</v>
      </c>
      <c r="R49" s="55">
        <v>0</v>
      </c>
      <c r="S49" s="55">
        <v>0</v>
      </c>
      <c r="T49" s="57">
        <v>16</v>
      </c>
      <c r="U49" s="56">
        <v>37</v>
      </c>
      <c r="V49" s="54">
        <v>10.7</v>
      </c>
      <c r="W49" s="55">
        <v>0</v>
      </c>
      <c r="X49" s="55">
        <v>0</v>
      </c>
      <c r="Y49" s="57">
        <v>15</v>
      </c>
      <c r="Z49" s="53">
        <v>38</v>
      </c>
      <c r="AA49" s="54">
        <v>10.7</v>
      </c>
      <c r="AB49" s="55">
        <v>0</v>
      </c>
      <c r="AC49" s="55">
        <v>0</v>
      </c>
      <c r="AD49" s="57">
        <v>16</v>
      </c>
      <c r="AE49" s="56">
        <v>38</v>
      </c>
      <c r="AF49" s="54">
        <v>10.7</v>
      </c>
      <c r="AG49" s="55">
        <v>0</v>
      </c>
      <c r="AH49" s="55">
        <v>0</v>
      </c>
      <c r="AI49" s="57">
        <v>13.6</v>
      </c>
      <c r="AJ49" s="56">
        <v>38</v>
      </c>
      <c r="AK49" s="54">
        <v>10.8</v>
      </c>
      <c r="AL49" s="54">
        <v>0</v>
      </c>
      <c r="AM49" s="54">
        <v>0</v>
      </c>
      <c r="AN49" s="57">
        <v>14</v>
      </c>
      <c r="AO49" s="53">
        <v>37</v>
      </c>
      <c r="AP49" s="54">
        <v>10.8</v>
      </c>
      <c r="AQ49" s="54">
        <v>290</v>
      </c>
      <c r="AR49" s="54">
        <v>0</v>
      </c>
      <c r="AS49" s="57">
        <v>12</v>
      </c>
      <c r="AT49" s="56">
        <v>23</v>
      </c>
      <c r="AU49" s="57">
        <v>200</v>
      </c>
      <c r="AV49" s="56">
        <v>60.868328094482401</v>
      </c>
      <c r="AW49" s="57">
        <v>372.68832041422525</v>
      </c>
      <c r="AX49" s="8"/>
      <c r="AZ49" s="1">
        <v>90</v>
      </c>
    </row>
    <row r="50" spans="3:52" ht="15" customHeight="1" x14ac:dyDescent="0.25">
      <c r="C50" s="42"/>
      <c r="D50" s="43">
        <f>D40</f>
        <v>45660</v>
      </c>
      <c r="E50" s="44">
        <f t="shared" si="4"/>
        <v>3.0833333333333344</v>
      </c>
      <c r="F50" s="45">
        <f t="shared" si="2"/>
        <v>45661.083333333416</v>
      </c>
      <c r="G50" s="52">
        <v>40</v>
      </c>
      <c r="H50" s="53">
        <v>35</v>
      </c>
      <c r="I50" s="54">
        <v>10.5</v>
      </c>
      <c r="J50" s="54">
        <v>350</v>
      </c>
      <c r="K50" s="55">
        <v>0</v>
      </c>
      <c r="L50" s="56">
        <v>37</v>
      </c>
      <c r="M50" s="54">
        <v>10.6</v>
      </c>
      <c r="N50" s="54">
        <v>300</v>
      </c>
      <c r="O50" s="57">
        <v>0</v>
      </c>
      <c r="P50" s="53">
        <v>37</v>
      </c>
      <c r="Q50" s="54">
        <v>10.6</v>
      </c>
      <c r="R50" s="55">
        <v>0</v>
      </c>
      <c r="S50" s="55">
        <v>0</v>
      </c>
      <c r="T50" s="57">
        <v>16</v>
      </c>
      <c r="U50" s="56">
        <v>36</v>
      </c>
      <c r="V50" s="54">
        <v>10.7</v>
      </c>
      <c r="W50" s="55">
        <v>0</v>
      </c>
      <c r="X50" s="55">
        <v>0</v>
      </c>
      <c r="Y50" s="57">
        <v>14</v>
      </c>
      <c r="Z50" s="53">
        <v>36</v>
      </c>
      <c r="AA50" s="54">
        <v>10.7</v>
      </c>
      <c r="AB50" s="55">
        <v>0</v>
      </c>
      <c r="AC50" s="55">
        <v>0</v>
      </c>
      <c r="AD50" s="57">
        <v>17</v>
      </c>
      <c r="AE50" s="56">
        <v>37</v>
      </c>
      <c r="AF50" s="54">
        <v>10.7</v>
      </c>
      <c r="AG50" s="55">
        <v>0</v>
      </c>
      <c r="AH50" s="55">
        <v>0</v>
      </c>
      <c r="AI50" s="57">
        <v>15</v>
      </c>
      <c r="AJ50" s="56">
        <v>37</v>
      </c>
      <c r="AK50" s="54">
        <v>10.8</v>
      </c>
      <c r="AL50" s="54">
        <v>0</v>
      </c>
      <c r="AM50" s="54">
        <v>0</v>
      </c>
      <c r="AN50" s="57">
        <v>15</v>
      </c>
      <c r="AO50" s="53">
        <v>37</v>
      </c>
      <c r="AP50" s="54">
        <v>10.8</v>
      </c>
      <c r="AQ50" s="54">
        <v>290</v>
      </c>
      <c r="AR50" s="54">
        <v>0</v>
      </c>
      <c r="AS50" s="57">
        <v>13</v>
      </c>
      <c r="AT50" s="56">
        <v>25</v>
      </c>
      <c r="AU50" s="57">
        <v>200</v>
      </c>
      <c r="AV50" s="56">
        <v>61.014812469482401</v>
      </c>
      <c r="AW50" s="57">
        <v>371.70187123616535</v>
      </c>
      <c r="AX50" s="8"/>
      <c r="AZ50" s="1">
        <v>90</v>
      </c>
    </row>
    <row r="51" spans="3:52" ht="15" customHeight="1" x14ac:dyDescent="0.25">
      <c r="C51" s="42"/>
      <c r="D51" s="69">
        <f>D40</f>
        <v>45660</v>
      </c>
      <c r="E51" s="70">
        <f t="shared" si="4"/>
        <v>3.1666666666666679</v>
      </c>
      <c r="F51" s="71">
        <f t="shared" si="2"/>
        <v>45661.166666666752</v>
      </c>
      <c r="G51" s="60">
        <v>42</v>
      </c>
      <c r="H51" s="61">
        <v>38</v>
      </c>
      <c r="I51" s="62">
        <v>10.6</v>
      </c>
      <c r="J51" s="62">
        <v>300</v>
      </c>
      <c r="K51" s="63">
        <v>0</v>
      </c>
      <c r="L51" s="64">
        <v>37</v>
      </c>
      <c r="M51" s="62">
        <v>10.6</v>
      </c>
      <c r="N51" s="62">
        <v>300</v>
      </c>
      <c r="O51" s="65">
        <v>0</v>
      </c>
      <c r="P51" s="61">
        <v>37</v>
      </c>
      <c r="Q51" s="62">
        <v>10.7</v>
      </c>
      <c r="R51" s="63">
        <v>0</v>
      </c>
      <c r="S51" s="63">
        <v>0</v>
      </c>
      <c r="T51" s="65">
        <v>16</v>
      </c>
      <c r="U51" s="64">
        <v>37</v>
      </c>
      <c r="V51" s="62">
        <v>10.7</v>
      </c>
      <c r="W51" s="63">
        <v>0</v>
      </c>
      <c r="X51" s="63">
        <v>0</v>
      </c>
      <c r="Y51" s="65">
        <v>14.4</v>
      </c>
      <c r="Z51" s="61">
        <v>36</v>
      </c>
      <c r="AA51" s="62">
        <v>10.6</v>
      </c>
      <c r="AB51" s="63">
        <v>0</v>
      </c>
      <c r="AC51" s="63">
        <v>0</v>
      </c>
      <c r="AD51" s="65">
        <v>16.399999999999999</v>
      </c>
      <c r="AE51" s="64">
        <v>36</v>
      </c>
      <c r="AF51" s="62">
        <v>10.6</v>
      </c>
      <c r="AG51" s="63">
        <v>0</v>
      </c>
      <c r="AH51" s="63">
        <v>0</v>
      </c>
      <c r="AI51" s="65">
        <v>14</v>
      </c>
      <c r="AJ51" s="64">
        <v>37</v>
      </c>
      <c r="AK51" s="62">
        <v>10.7</v>
      </c>
      <c r="AL51" s="62">
        <v>0</v>
      </c>
      <c r="AM51" s="62">
        <v>0</v>
      </c>
      <c r="AN51" s="65">
        <v>14.8</v>
      </c>
      <c r="AO51" s="61">
        <v>37</v>
      </c>
      <c r="AP51" s="62">
        <v>10.7</v>
      </c>
      <c r="AQ51" s="62">
        <v>290</v>
      </c>
      <c r="AR51" s="62">
        <v>0</v>
      </c>
      <c r="AS51" s="65">
        <v>13</v>
      </c>
      <c r="AT51" s="64">
        <v>25</v>
      </c>
      <c r="AU51" s="65">
        <v>190</v>
      </c>
      <c r="AV51" s="64">
        <v>61.348468780517599</v>
      </c>
      <c r="AW51" s="65">
        <v>372.48034884134927</v>
      </c>
      <c r="AX51" s="8"/>
      <c r="AZ51" s="1">
        <v>90</v>
      </c>
    </row>
    <row r="52" spans="3:52" ht="15" customHeight="1" x14ac:dyDescent="0.25">
      <c r="C52" s="42">
        <f>C40+1</f>
        <v>4</v>
      </c>
      <c r="D52" s="66">
        <f>DATE([1]Dash!$F$3,VLOOKUP([1]Dash!$E$3,[1]Abb!$C$3:$D$14,2,FALSE),C52)</f>
        <v>45661</v>
      </c>
      <c r="E52" s="67">
        <f>E51+2/24</f>
        <v>3.2500000000000013</v>
      </c>
      <c r="F52" s="68">
        <f t="shared" si="2"/>
        <v>45661.250000000087</v>
      </c>
      <c r="G52" s="46">
        <v>41</v>
      </c>
      <c r="H52" s="47">
        <v>39</v>
      </c>
      <c r="I52" s="48">
        <v>10.6</v>
      </c>
      <c r="J52" s="48">
        <v>300</v>
      </c>
      <c r="K52" s="49">
        <v>0</v>
      </c>
      <c r="L52" s="50">
        <v>38</v>
      </c>
      <c r="M52" s="48">
        <v>10.6</v>
      </c>
      <c r="N52" s="48">
        <v>300</v>
      </c>
      <c r="O52" s="51">
        <v>0</v>
      </c>
      <c r="P52" s="47">
        <v>36</v>
      </c>
      <c r="Q52" s="48">
        <v>10.7</v>
      </c>
      <c r="R52" s="49">
        <v>0</v>
      </c>
      <c r="S52" s="49">
        <v>0</v>
      </c>
      <c r="T52" s="51">
        <v>16</v>
      </c>
      <c r="U52" s="50">
        <v>37</v>
      </c>
      <c r="V52" s="48">
        <v>10.6</v>
      </c>
      <c r="W52" s="49">
        <v>0</v>
      </c>
      <c r="X52" s="49">
        <v>0</v>
      </c>
      <c r="Y52" s="51">
        <v>14.6</v>
      </c>
      <c r="Z52" s="47">
        <v>37</v>
      </c>
      <c r="AA52" s="48">
        <v>10.6</v>
      </c>
      <c r="AB52" s="49">
        <v>0</v>
      </c>
      <c r="AC52" s="49">
        <v>0</v>
      </c>
      <c r="AD52" s="51">
        <v>16.2</v>
      </c>
      <c r="AE52" s="50">
        <v>35</v>
      </c>
      <c r="AF52" s="48">
        <v>10.5</v>
      </c>
      <c r="AG52" s="49">
        <v>0</v>
      </c>
      <c r="AH52" s="49">
        <v>0</v>
      </c>
      <c r="AI52" s="51">
        <v>14.6</v>
      </c>
      <c r="AJ52" s="50">
        <v>36</v>
      </c>
      <c r="AK52" s="48">
        <v>10.5</v>
      </c>
      <c r="AL52" s="48">
        <v>0</v>
      </c>
      <c r="AM52" s="48">
        <v>0</v>
      </c>
      <c r="AN52" s="51">
        <v>15</v>
      </c>
      <c r="AO52" s="47">
        <v>35</v>
      </c>
      <c r="AP52" s="48">
        <v>10.5</v>
      </c>
      <c r="AQ52" s="48">
        <v>290</v>
      </c>
      <c r="AR52" s="48">
        <v>0</v>
      </c>
      <c r="AS52" s="48">
        <v>13</v>
      </c>
      <c r="AT52" s="50">
        <v>26</v>
      </c>
      <c r="AU52" s="51">
        <v>180</v>
      </c>
      <c r="AV52" s="50">
        <v>61.295574188232401</v>
      </c>
      <c r="AW52" s="51">
        <v>372.56510403951012</v>
      </c>
      <c r="AX52" s="8"/>
      <c r="AZ52" s="1">
        <v>90</v>
      </c>
    </row>
    <row r="53" spans="3:52" ht="15" customHeight="1" x14ac:dyDescent="0.25">
      <c r="C53" s="42"/>
      <c r="D53" s="43">
        <f>D52</f>
        <v>45661</v>
      </c>
      <c r="E53" s="44">
        <f>E52+2/24</f>
        <v>3.3333333333333348</v>
      </c>
      <c r="F53" s="45">
        <f t="shared" si="2"/>
        <v>45661.333333333423</v>
      </c>
      <c r="G53" s="52">
        <v>37</v>
      </c>
      <c r="H53" s="53">
        <v>36</v>
      </c>
      <c r="I53" s="54">
        <v>11.2</v>
      </c>
      <c r="J53" s="54">
        <v>350</v>
      </c>
      <c r="K53" s="55">
        <v>0</v>
      </c>
      <c r="L53" s="56">
        <v>37</v>
      </c>
      <c r="M53" s="54">
        <v>11</v>
      </c>
      <c r="N53" s="54">
        <v>350</v>
      </c>
      <c r="O53" s="57">
        <v>0</v>
      </c>
      <c r="P53" s="53">
        <v>36</v>
      </c>
      <c r="Q53" s="54">
        <v>10.9</v>
      </c>
      <c r="R53" s="55">
        <v>0</v>
      </c>
      <c r="S53" s="55">
        <v>0</v>
      </c>
      <c r="T53" s="57">
        <v>14.4</v>
      </c>
      <c r="U53" s="56">
        <v>36</v>
      </c>
      <c r="V53" s="54">
        <v>10.8</v>
      </c>
      <c r="W53" s="55">
        <v>0</v>
      </c>
      <c r="X53" s="55">
        <v>0</v>
      </c>
      <c r="Y53" s="57">
        <v>12.6</v>
      </c>
      <c r="Z53" s="53">
        <v>37</v>
      </c>
      <c r="AA53" s="54">
        <v>10.8</v>
      </c>
      <c r="AB53" s="55">
        <v>0</v>
      </c>
      <c r="AC53" s="55">
        <v>0</v>
      </c>
      <c r="AD53" s="57">
        <v>18</v>
      </c>
      <c r="AE53" s="56">
        <v>37</v>
      </c>
      <c r="AF53" s="54">
        <v>10.9</v>
      </c>
      <c r="AG53" s="55">
        <v>0</v>
      </c>
      <c r="AH53" s="55">
        <v>0</v>
      </c>
      <c r="AI53" s="57">
        <v>15</v>
      </c>
      <c r="AJ53" s="56">
        <v>36</v>
      </c>
      <c r="AK53" s="54">
        <v>10.8</v>
      </c>
      <c r="AL53" s="54">
        <v>0</v>
      </c>
      <c r="AM53" s="54">
        <v>0</v>
      </c>
      <c r="AN53" s="57">
        <v>14.6</v>
      </c>
      <c r="AO53" s="53">
        <v>34</v>
      </c>
      <c r="AP53" s="54">
        <v>10.8</v>
      </c>
      <c r="AQ53" s="54">
        <v>230</v>
      </c>
      <c r="AR53" s="54">
        <v>0</v>
      </c>
      <c r="AS53" s="54">
        <v>12</v>
      </c>
      <c r="AT53" s="56">
        <v>28</v>
      </c>
      <c r="AU53" s="57">
        <v>180</v>
      </c>
      <c r="AV53" s="56">
        <v>61.429851531982401</v>
      </c>
      <c r="AW53" s="57">
        <v>369.86026624043785</v>
      </c>
      <c r="AX53" s="8"/>
      <c r="AZ53" s="1">
        <v>90</v>
      </c>
    </row>
    <row r="54" spans="3:52" ht="15" customHeight="1" x14ac:dyDescent="0.25">
      <c r="C54" s="42"/>
      <c r="D54" s="43">
        <f>D52</f>
        <v>45661</v>
      </c>
      <c r="E54" s="44">
        <f t="shared" ref="E54:E63" si="5">E53+2/24</f>
        <v>3.4166666666666683</v>
      </c>
      <c r="F54" s="45">
        <f t="shared" si="2"/>
        <v>45661.416666666759</v>
      </c>
      <c r="G54" s="52">
        <v>39</v>
      </c>
      <c r="H54" s="53">
        <v>37</v>
      </c>
      <c r="I54" s="54">
        <v>11.1</v>
      </c>
      <c r="J54" s="54">
        <v>350</v>
      </c>
      <c r="K54" s="55">
        <v>0</v>
      </c>
      <c r="L54" s="56">
        <v>39</v>
      </c>
      <c r="M54" s="54">
        <v>11.1</v>
      </c>
      <c r="N54" s="54">
        <v>350</v>
      </c>
      <c r="O54" s="57">
        <v>0</v>
      </c>
      <c r="P54" s="53">
        <v>37</v>
      </c>
      <c r="Q54" s="54">
        <v>10.9</v>
      </c>
      <c r="R54" s="55">
        <v>0</v>
      </c>
      <c r="S54" s="55">
        <v>0</v>
      </c>
      <c r="T54" s="57">
        <v>14.6</v>
      </c>
      <c r="U54" s="56">
        <v>36</v>
      </c>
      <c r="V54" s="54">
        <v>10.8</v>
      </c>
      <c r="W54" s="55">
        <v>0</v>
      </c>
      <c r="X54" s="55">
        <v>0</v>
      </c>
      <c r="Y54" s="57">
        <v>12.8</v>
      </c>
      <c r="Z54" s="53">
        <v>37</v>
      </c>
      <c r="AA54" s="54">
        <v>10.9</v>
      </c>
      <c r="AB54" s="55">
        <v>0</v>
      </c>
      <c r="AC54" s="55">
        <v>0</v>
      </c>
      <c r="AD54" s="57">
        <v>17.2</v>
      </c>
      <c r="AE54" s="56">
        <v>37</v>
      </c>
      <c r="AF54" s="54">
        <v>10.9</v>
      </c>
      <c r="AG54" s="55">
        <v>0</v>
      </c>
      <c r="AH54" s="55">
        <v>0</v>
      </c>
      <c r="AI54" s="57">
        <v>15</v>
      </c>
      <c r="AJ54" s="56">
        <v>37</v>
      </c>
      <c r="AK54" s="54">
        <v>10.9</v>
      </c>
      <c r="AL54" s="54">
        <v>0</v>
      </c>
      <c r="AM54" s="54">
        <v>0</v>
      </c>
      <c r="AN54" s="57">
        <v>14.6</v>
      </c>
      <c r="AO54" s="53">
        <v>36</v>
      </c>
      <c r="AP54" s="54">
        <v>10.9</v>
      </c>
      <c r="AQ54" s="54">
        <v>260</v>
      </c>
      <c r="AR54" s="54">
        <v>0</v>
      </c>
      <c r="AS54" s="54">
        <v>11.8</v>
      </c>
      <c r="AT54" s="56">
        <v>29</v>
      </c>
      <c r="AU54" s="57">
        <v>210</v>
      </c>
      <c r="AV54" s="56">
        <v>61.067707061767599</v>
      </c>
      <c r="AW54" s="57">
        <v>372.93776550292966</v>
      </c>
      <c r="AX54" s="8"/>
      <c r="AZ54" s="1">
        <v>90</v>
      </c>
    </row>
    <row r="55" spans="3:52" ht="15" customHeight="1" x14ac:dyDescent="0.25">
      <c r="C55" s="42"/>
      <c r="D55" s="43">
        <f>D52</f>
        <v>45661</v>
      </c>
      <c r="E55" s="44">
        <f t="shared" si="5"/>
        <v>3.5000000000000018</v>
      </c>
      <c r="F55" s="45">
        <f t="shared" si="2"/>
        <v>45661.500000000095</v>
      </c>
      <c r="G55" s="52">
        <v>36</v>
      </c>
      <c r="H55" s="53">
        <v>36</v>
      </c>
      <c r="I55" s="54">
        <v>11</v>
      </c>
      <c r="J55" s="54">
        <v>300</v>
      </c>
      <c r="K55" s="55">
        <v>0</v>
      </c>
      <c r="L55" s="56">
        <v>38</v>
      </c>
      <c r="M55" s="54">
        <v>10.9</v>
      </c>
      <c r="N55" s="54">
        <v>350</v>
      </c>
      <c r="O55" s="57">
        <v>0</v>
      </c>
      <c r="P55" s="53">
        <v>38</v>
      </c>
      <c r="Q55" s="54">
        <v>10.9</v>
      </c>
      <c r="R55" s="55">
        <v>0</v>
      </c>
      <c r="S55" s="55">
        <v>0</v>
      </c>
      <c r="T55" s="57">
        <v>15</v>
      </c>
      <c r="U55" s="56">
        <v>36</v>
      </c>
      <c r="V55" s="54">
        <v>10.8</v>
      </c>
      <c r="W55" s="55">
        <v>0</v>
      </c>
      <c r="X55" s="55">
        <v>0</v>
      </c>
      <c r="Y55" s="57">
        <v>12.8</v>
      </c>
      <c r="Z55" s="53">
        <v>36</v>
      </c>
      <c r="AA55" s="54">
        <v>10.8</v>
      </c>
      <c r="AB55" s="55">
        <v>0</v>
      </c>
      <c r="AC55" s="55">
        <v>0</v>
      </c>
      <c r="AD55" s="57">
        <v>17</v>
      </c>
      <c r="AE55" s="56">
        <v>36</v>
      </c>
      <c r="AF55" s="54">
        <v>10.8</v>
      </c>
      <c r="AG55" s="55">
        <v>0</v>
      </c>
      <c r="AH55" s="55">
        <v>0</v>
      </c>
      <c r="AI55" s="57">
        <v>15.2</v>
      </c>
      <c r="AJ55" s="56">
        <v>34</v>
      </c>
      <c r="AK55" s="54">
        <v>10.8</v>
      </c>
      <c r="AL55" s="54">
        <v>0</v>
      </c>
      <c r="AM55" s="54">
        <v>0</v>
      </c>
      <c r="AN55" s="57">
        <v>14</v>
      </c>
      <c r="AO55" s="53">
        <v>33</v>
      </c>
      <c r="AP55" s="54">
        <v>10.8</v>
      </c>
      <c r="AQ55" s="54">
        <v>200</v>
      </c>
      <c r="AR55" s="54">
        <v>0</v>
      </c>
      <c r="AS55" s="54">
        <v>12</v>
      </c>
      <c r="AT55" s="56">
        <v>26</v>
      </c>
      <c r="AU55" s="57">
        <v>160</v>
      </c>
      <c r="AV55" s="56">
        <v>60.880535125732401</v>
      </c>
      <c r="AW55" s="57">
        <v>372.10563774108886</v>
      </c>
      <c r="AX55" s="8"/>
      <c r="AZ55" s="1">
        <v>90</v>
      </c>
    </row>
    <row r="56" spans="3:52" ht="15" customHeight="1" x14ac:dyDescent="0.25">
      <c r="C56" s="42"/>
      <c r="D56" s="43">
        <f>D52</f>
        <v>45661</v>
      </c>
      <c r="E56" s="44">
        <f t="shared" si="5"/>
        <v>3.5833333333333353</v>
      </c>
      <c r="F56" s="45">
        <f t="shared" si="2"/>
        <v>45661.58333333343</v>
      </c>
      <c r="G56" s="52">
        <v>40</v>
      </c>
      <c r="H56" s="53">
        <v>39</v>
      </c>
      <c r="I56" s="54">
        <v>11</v>
      </c>
      <c r="J56" s="54">
        <v>250</v>
      </c>
      <c r="K56" s="55">
        <v>0</v>
      </c>
      <c r="L56" s="56">
        <v>38</v>
      </c>
      <c r="M56" s="54">
        <v>11.1</v>
      </c>
      <c r="N56" s="54">
        <v>350</v>
      </c>
      <c r="O56" s="57">
        <v>0</v>
      </c>
      <c r="P56" s="53">
        <v>38</v>
      </c>
      <c r="Q56" s="54">
        <v>11</v>
      </c>
      <c r="R56" s="55">
        <v>0</v>
      </c>
      <c r="S56" s="55">
        <v>0</v>
      </c>
      <c r="T56" s="57">
        <v>14.6</v>
      </c>
      <c r="U56" s="56">
        <v>37</v>
      </c>
      <c r="V56" s="54">
        <v>10.9</v>
      </c>
      <c r="W56" s="55">
        <v>0</v>
      </c>
      <c r="X56" s="55">
        <v>0</v>
      </c>
      <c r="Y56" s="57">
        <v>13</v>
      </c>
      <c r="Z56" s="53">
        <v>37</v>
      </c>
      <c r="AA56" s="54">
        <v>10.8</v>
      </c>
      <c r="AB56" s="55">
        <v>0</v>
      </c>
      <c r="AC56" s="55">
        <v>0</v>
      </c>
      <c r="AD56" s="57">
        <v>16.2</v>
      </c>
      <c r="AE56" s="56">
        <v>37</v>
      </c>
      <c r="AF56" s="54">
        <v>10.8</v>
      </c>
      <c r="AG56" s="55">
        <v>0</v>
      </c>
      <c r="AH56" s="55">
        <v>0</v>
      </c>
      <c r="AI56" s="57">
        <v>15</v>
      </c>
      <c r="AJ56" s="56">
        <v>38</v>
      </c>
      <c r="AK56" s="54">
        <v>10.8</v>
      </c>
      <c r="AL56" s="54">
        <v>0</v>
      </c>
      <c r="AM56" s="54">
        <v>0</v>
      </c>
      <c r="AN56" s="57">
        <v>14.6</v>
      </c>
      <c r="AO56" s="53">
        <v>36</v>
      </c>
      <c r="AP56" s="54">
        <v>10.8</v>
      </c>
      <c r="AQ56" s="54">
        <v>210</v>
      </c>
      <c r="AR56" s="54">
        <v>0</v>
      </c>
      <c r="AS56" s="54">
        <v>31</v>
      </c>
      <c r="AT56" s="56">
        <v>29</v>
      </c>
      <c r="AU56" s="57">
        <v>160</v>
      </c>
      <c r="AV56" s="56">
        <v>62.7685546875</v>
      </c>
      <c r="AW56" s="57">
        <v>314.10939871470134</v>
      </c>
      <c r="AX56" s="8"/>
      <c r="AZ56" s="1">
        <v>90</v>
      </c>
    </row>
    <row r="57" spans="3:52" ht="15" customHeight="1" x14ac:dyDescent="0.25">
      <c r="C57" s="42"/>
      <c r="D57" s="43">
        <f>D52</f>
        <v>45661</v>
      </c>
      <c r="E57" s="44">
        <f t="shared" si="5"/>
        <v>3.6666666666666687</v>
      </c>
      <c r="F57" s="45">
        <f t="shared" si="2"/>
        <v>45661.666666666766</v>
      </c>
      <c r="G57" s="52">
        <v>35</v>
      </c>
      <c r="H57" s="53">
        <v>39</v>
      </c>
      <c r="I57" s="54">
        <v>11.1</v>
      </c>
      <c r="J57" s="54">
        <v>300</v>
      </c>
      <c r="K57" s="55">
        <v>0</v>
      </c>
      <c r="L57" s="56">
        <v>36</v>
      </c>
      <c r="M57" s="54">
        <v>10.9</v>
      </c>
      <c r="N57" s="54">
        <v>300</v>
      </c>
      <c r="O57" s="57">
        <v>0</v>
      </c>
      <c r="P57" s="53">
        <v>37</v>
      </c>
      <c r="Q57" s="54">
        <v>11.1</v>
      </c>
      <c r="R57" s="55">
        <v>0</v>
      </c>
      <c r="S57" s="55">
        <v>0</v>
      </c>
      <c r="T57" s="57">
        <v>15.4</v>
      </c>
      <c r="U57" s="56">
        <v>37</v>
      </c>
      <c r="V57" s="54">
        <v>11</v>
      </c>
      <c r="W57" s="55">
        <v>0</v>
      </c>
      <c r="X57" s="55">
        <v>0</v>
      </c>
      <c r="Y57" s="57">
        <v>12.2</v>
      </c>
      <c r="Z57" s="53">
        <v>36</v>
      </c>
      <c r="AA57" s="54">
        <v>10.9</v>
      </c>
      <c r="AB57" s="55">
        <v>0</v>
      </c>
      <c r="AC57" s="55">
        <v>0</v>
      </c>
      <c r="AD57" s="57">
        <v>19</v>
      </c>
      <c r="AE57" s="56">
        <v>37</v>
      </c>
      <c r="AF57" s="54">
        <v>10.8</v>
      </c>
      <c r="AG57" s="55">
        <v>0</v>
      </c>
      <c r="AH57" s="55">
        <v>0</v>
      </c>
      <c r="AI57" s="57">
        <v>14.8</v>
      </c>
      <c r="AJ57" s="56">
        <v>35</v>
      </c>
      <c r="AK57" s="54">
        <v>10.8</v>
      </c>
      <c r="AL57" s="54">
        <v>0</v>
      </c>
      <c r="AM57" s="54">
        <v>0</v>
      </c>
      <c r="AN57" s="57">
        <v>14</v>
      </c>
      <c r="AO57" s="53">
        <v>36</v>
      </c>
      <c r="AP57" s="54">
        <v>10.8</v>
      </c>
      <c r="AQ57" s="54">
        <v>270</v>
      </c>
      <c r="AR57" s="54">
        <v>0</v>
      </c>
      <c r="AS57" s="54">
        <v>12.6</v>
      </c>
      <c r="AT57" s="56">
        <v>30</v>
      </c>
      <c r="AU57" s="57">
        <v>190</v>
      </c>
      <c r="AV57" s="56">
        <v>59.87548828125</v>
      </c>
      <c r="AW57" s="57">
        <v>229.8150552392006</v>
      </c>
      <c r="AX57" s="8"/>
      <c r="AZ57" s="1">
        <v>90</v>
      </c>
    </row>
    <row r="58" spans="3:52" ht="15" customHeight="1" x14ac:dyDescent="0.25">
      <c r="C58" s="42"/>
      <c r="D58" s="43">
        <f>D52</f>
        <v>45661</v>
      </c>
      <c r="E58" s="44">
        <f t="shared" si="5"/>
        <v>3.7500000000000022</v>
      </c>
      <c r="F58" s="45">
        <f t="shared" si="2"/>
        <v>45661.750000000102</v>
      </c>
      <c r="G58" s="52">
        <v>40</v>
      </c>
      <c r="H58" s="53">
        <v>39</v>
      </c>
      <c r="I58" s="54">
        <v>11.1</v>
      </c>
      <c r="J58" s="54">
        <v>300</v>
      </c>
      <c r="K58" s="55">
        <v>0</v>
      </c>
      <c r="L58" s="56">
        <v>37</v>
      </c>
      <c r="M58" s="54">
        <v>11</v>
      </c>
      <c r="N58" s="54">
        <v>300</v>
      </c>
      <c r="O58" s="57">
        <v>0</v>
      </c>
      <c r="P58" s="53">
        <v>37</v>
      </c>
      <c r="Q58" s="54">
        <v>11.1</v>
      </c>
      <c r="R58" s="55">
        <v>0</v>
      </c>
      <c r="S58" s="55">
        <v>0</v>
      </c>
      <c r="T58" s="57">
        <v>15.4</v>
      </c>
      <c r="U58" s="56">
        <v>37</v>
      </c>
      <c r="V58" s="54">
        <v>11</v>
      </c>
      <c r="W58" s="55">
        <v>0</v>
      </c>
      <c r="X58" s="55">
        <v>0</v>
      </c>
      <c r="Y58" s="57">
        <v>12.6</v>
      </c>
      <c r="Z58" s="53">
        <v>37</v>
      </c>
      <c r="AA58" s="54">
        <v>10.9</v>
      </c>
      <c r="AB58" s="55">
        <v>0</v>
      </c>
      <c r="AC58" s="55">
        <v>0</v>
      </c>
      <c r="AD58" s="57">
        <v>18.600000000000001</v>
      </c>
      <c r="AE58" s="56">
        <v>37</v>
      </c>
      <c r="AF58" s="54">
        <v>10.8</v>
      </c>
      <c r="AG58" s="55">
        <v>0</v>
      </c>
      <c r="AH58" s="55">
        <v>0</v>
      </c>
      <c r="AI58" s="57">
        <v>15</v>
      </c>
      <c r="AJ58" s="56">
        <v>36</v>
      </c>
      <c r="AK58" s="54">
        <v>10.8</v>
      </c>
      <c r="AL58" s="54">
        <v>0</v>
      </c>
      <c r="AM58" s="54">
        <v>0</v>
      </c>
      <c r="AN58" s="57">
        <v>14.2</v>
      </c>
      <c r="AO58" s="53">
        <v>36</v>
      </c>
      <c r="AP58" s="54">
        <v>10.8</v>
      </c>
      <c r="AQ58" s="54">
        <v>290</v>
      </c>
      <c r="AR58" s="54">
        <v>0</v>
      </c>
      <c r="AS58" s="54">
        <v>15</v>
      </c>
      <c r="AT58" s="56">
        <v>29</v>
      </c>
      <c r="AU58" s="57">
        <v>180</v>
      </c>
      <c r="AV58" s="56">
        <v>59.391277313232401</v>
      </c>
      <c r="AW58" s="57">
        <v>375.9155573527018</v>
      </c>
      <c r="AX58" s="8"/>
      <c r="AZ58" s="1">
        <v>90</v>
      </c>
    </row>
    <row r="59" spans="3:52" ht="15" customHeight="1" x14ac:dyDescent="0.25">
      <c r="C59" s="42"/>
      <c r="D59" s="43">
        <f>D52</f>
        <v>45661</v>
      </c>
      <c r="E59" s="44">
        <f t="shared" si="5"/>
        <v>3.8333333333333357</v>
      </c>
      <c r="F59" s="45">
        <f t="shared" si="2"/>
        <v>45661.833333333438</v>
      </c>
      <c r="G59" s="52">
        <v>36</v>
      </c>
      <c r="H59" s="53">
        <v>35</v>
      </c>
      <c r="I59" s="54">
        <v>10.7</v>
      </c>
      <c r="J59" s="54">
        <v>250</v>
      </c>
      <c r="K59" s="55">
        <v>0</v>
      </c>
      <c r="L59" s="56">
        <v>34</v>
      </c>
      <c r="M59" s="54">
        <v>10.8</v>
      </c>
      <c r="N59" s="54">
        <v>300</v>
      </c>
      <c r="O59" s="57">
        <v>0</v>
      </c>
      <c r="P59" s="53">
        <v>33</v>
      </c>
      <c r="Q59" s="54">
        <v>10.9</v>
      </c>
      <c r="R59" s="55">
        <v>0</v>
      </c>
      <c r="S59" s="55">
        <v>0</v>
      </c>
      <c r="T59" s="57">
        <v>16</v>
      </c>
      <c r="U59" s="56">
        <v>33</v>
      </c>
      <c r="V59" s="54">
        <v>10.9</v>
      </c>
      <c r="W59" s="55">
        <v>0</v>
      </c>
      <c r="X59" s="55">
        <v>0</v>
      </c>
      <c r="Y59" s="57">
        <v>14</v>
      </c>
      <c r="Z59" s="53">
        <v>35</v>
      </c>
      <c r="AA59" s="54">
        <v>10.9</v>
      </c>
      <c r="AB59" s="55">
        <v>0</v>
      </c>
      <c r="AC59" s="55">
        <v>0</v>
      </c>
      <c r="AD59" s="57">
        <v>17</v>
      </c>
      <c r="AE59" s="56">
        <v>34</v>
      </c>
      <c r="AF59" s="54">
        <v>10.7</v>
      </c>
      <c r="AG59" s="55">
        <v>0</v>
      </c>
      <c r="AH59" s="55">
        <v>0</v>
      </c>
      <c r="AI59" s="57">
        <v>15</v>
      </c>
      <c r="AJ59" s="56">
        <v>34</v>
      </c>
      <c r="AK59" s="54">
        <v>10.7</v>
      </c>
      <c r="AL59" s="54">
        <v>0</v>
      </c>
      <c r="AM59" s="54">
        <v>0</v>
      </c>
      <c r="AN59" s="57">
        <v>14</v>
      </c>
      <c r="AO59" s="53">
        <v>33</v>
      </c>
      <c r="AP59" s="54">
        <v>10.7</v>
      </c>
      <c r="AQ59" s="54">
        <v>260</v>
      </c>
      <c r="AR59" s="54">
        <v>0</v>
      </c>
      <c r="AS59" s="54">
        <v>17</v>
      </c>
      <c r="AT59" s="56">
        <v>23</v>
      </c>
      <c r="AU59" s="57">
        <v>180</v>
      </c>
      <c r="AV59" s="56">
        <v>59.379070281982401</v>
      </c>
      <c r="AW59" s="57">
        <v>377.58535830179852</v>
      </c>
      <c r="AX59" s="8"/>
      <c r="AZ59" s="1">
        <v>90</v>
      </c>
    </row>
    <row r="60" spans="3:52" ht="15" customHeight="1" x14ac:dyDescent="0.25">
      <c r="C60" s="42"/>
      <c r="D60" s="43">
        <f>D52</f>
        <v>45661</v>
      </c>
      <c r="E60" s="44">
        <f t="shared" si="5"/>
        <v>3.9166666666666692</v>
      </c>
      <c r="F60" s="45">
        <f t="shared" si="2"/>
        <v>45661.916666666773</v>
      </c>
      <c r="G60" s="52">
        <v>49</v>
      </c>
      <c r="H60" s="53">
        <v>41</v>
      </c>
      <c r="I60" s="54">
        <v>10.6</v>
      </c>
      <c r="J60" s="54">
        <v>200</v>
      </c>
      <c r="K60" s="55">
        <v>0</v>
      </c>
      <c r="L60" s="56">
        <v>41</v>
      </c>
      <c r="M60" s="54">
        <v>10.8</v>
      </c>
      <c r="N60" s="54">
        <v>250</v>
      </c>
      <c r="O60" s="57">
        <v>0</v>
      </c>
      <c r="P60" s="53">
        <v>39</v>
      </c>
      <c r="Q60" s="54">
        <v>10.9</v>
      </c>
      <c r="R60" s="55">
        <v>0</v>
      </c>
      <c r="S60" s="55">
        <v>0</v>
      </c>
      <c r="T60" s="57">
        <v>16</v>
      </c>
      <c r="U60" s="56">
        <v>39</v>
      </c>
      <c r="V60" s="54">
        <v>10.9</v>
      </c>
      <c r="W60" s="55">
        <v>0</v>
      </c>
      <c r="X60" s="55">
        <v>0</v>
      </c>
      <c r="Y60" s="57">
        <v>14.8</v>
      </c>
      <c r="Z60" s="53">
        <v>37</v>
      </c>
      <c r="AA60" s="54">
        <v>10.9</v>
      </c>
      <c r="AB60" s="55">
        <v>0</v>
      </c>
      <c r="AC60" s="55">
        <v>0</v>
      </c>
      <c r="AD60" s="57">
        <v>16</v>
      </c>
      <c r="AE60" s="56">
        <v>37</v>
      </c>
      <c r="AF60" s="54">
        <v>10.7</v>
      </c>
      <c r="AG60" s="55">
        <v>0</v>
      </c>
      <c r="AH60" s="55">
        <v>0</v>
      </c>
      <c r="AI60" s="57">
        <v>15.2</v>
      </c>
      <c r="AJ60" s="56">
        <v>36</v>
      </c>
      <c r="AK60" s="54">
        <v>10.7</v>
      </c>
      <c r="AL60" s="54">
        <v>0</v>
      </c>
      <c r="AM60" s="54">
        <v>0</v>
      </c>
      <c r="AN60" s="57">
        <v>14</v>
      </c>
      <c r="AO60" s="53">
        <v>36</v>
      </c>
      <c r="AP60" s="54">
        <v>10.7</v>
      </c>
      <c r="AQ60" s="54">
        <v>250</v>
      </c>
      <c r="AR60" s="54">
        <v>0</v>
      </c>
      <c r="AS60" s="54">
        <v>16.8</v>
      </c>
      <c r="AT60" s="56">
        <v>24</v>
      </c>
      <c r="AU60" s="57">
        <v>180</v>
      </c>
      <c r="AV60" s="56">
        <v>59.48486328125</v>
      </c>
      <c r="AW60" s="57">
        <v>377.49903513590493</v>
      </c>
      <c r="AX60" s="8"/>
      <c r="AZ60" s="1">
        <v>90</v>
      </c>
    </row>
    <row r="61" spans="3:52" ht="15" customHeight="1" x14ac:dyDescent="0.25">
      <c r="C61" s="42"/>
      <c r="D61" s="43">
        <f>D52</f>
        <v>45661</v>
      </c>
      <c r="E61" s="44">
        <f t="shared" si="5"/>
        <v>4.0000000000000027</v>
      </c>
      <c r="F61" s="45">
        <f t="shared" si="2"/>
        <v>45662.000000000109</v>
      </c>
      <c r="G61" s="52">
        <v>47</v>
      </c>
      <c r="H61" s="53">
        <v>40</v>
      </c>
      <c r="I61" s="54">
        <v>10.5</v>
      </c>
      <c r="J61" s="54">
        <v>250</v>
      </c>
      <c r="K61" s="55">
        <v>0</v>
      </c>
      <c r="L61" s="56">
        <v>40</v>
      </c>
      <c r="M61" s="54">
        <v>10.7</v>
      </c>
      <c r="N61" s="54">
        <v>250</v>
      </c>
      <c r="O61" s="57">
        <v>0</v>
      </c>
      <c r="P61" s="53">
        <v>40</v>
      </c>
      <c r="Q61" s="54">
        <v>10.7</v>
      </c>
      <c r="R61" s="55">
        <v>0</v>
      </c>
      <c r="S61" s="55">
        <v>0</v>
      </c>
      <c r="T61" s="57">
        <v>15.8</v>
      </c>
      <c r="U61" s="56">
        <v>38</v>
      </c>
      <c r="V61" s="54">
        <v>10.8</v>
      </c>
      <c r="W61" s="55">
        <v>0</v>
      </c>
      <c r="X61" s="55">
        <v>0</v>
      </c>
      <c r="Y61" s="57">
        <v>14</v>
      </c>
      <c r="Z61" s="53">
        <v>37</v>
      </c>
      <c r="AA61" s="54">
        <v>10.9</v>
      </c>
      <c r="AB61" s="55">
        <v>0</v>
      </c>
      <c r="AC61" s="55">
        <v>0</v>
      </c>
      <c r="AD61" s="57">
        <v>16.399999999999999</v>
      </c>
      <c r="AE61" s="56">
        <v>37</v>
      </c>
      <c r="AF61" s="54">
        <v>10.8</v>
      </c>
      <c r="AG61" s="55">
        <v>0</v>
      </c>
      <c r="AH61" s="55">
        <v>0</v>
      </c>
      <c r="AI61" s="57">
        <v>14</v>
      </c>
      <c r="AJ61" s="56">
        <v>37</v>
      </c>
      <c r="AK61" s="54">
        <v>10.8</v>
      </c>
      <c r="AL61" s="54">
        <v>0</v>
      </c>
      <c r="AM61" s="54">
        <v>0</v>
      </c>
      <c r="AN61" s="57">
        <v>13.8</v>
      </c>
      <c r="AO61" s="53">
        <v>35</v>
      </c>
      <c r="AP61" s="54">
        <v>10.7</v>
      </c>
      <c r="AQ61" s="54">
        <v>250</v>
      </c>
      <c r="AR61" s="54">
        <v>0</v>
      </c>
      <c r="AS61" s="54">
        <v>17</v>
      </c>
      <c r="AT61" s="56">
        <v>22</v>
      </c>
      <c r="AU61" s="57">
        <v>170</v>
      </c>
      <c r="AV61" s="56">
        <v>59.75341796875</v>
      </c>
      <c r="AW61" s="57">
        <v>376.7555221557617</v>
      </c>
      <c r="AX61" s="8"/>
      <c r="AZ61" s="1">
        <v>90</v>
      </c>
    </row>
    <row r="62" spans="3:52" ht="15" customHeight="1" x14ac:dyDescent="0.25">
      <c r="C62" s="42"/>
      <c r="D62" s="43">
        <f>D52</f>
        <v>45661</v>
      </c>
      <c r="E62" s="44">
        <f t="shared" si="5"/>
        <v>4.0833333333333357</v>
      </c>
      <c r="F62" s="45">
        <f t="shared" si="2"/>
        <v>45662.083333333445</v>
      </c>
      <c r="G62" s="52">
        <v>42</v>
      </c>
      <c r="H62" s="53">
        <v>39</v>
      </c>
      <c r="I62" s="54">
        <v>10.9</v>
      </c>
      <c r="J62" s="54">
        <v>300</v>
      </c>
      <c r="K62" s="55">
        <v>0</v>
      </c>
      <c r="L62" s="56">
        <v>40</v>
      </c>
      <c r="M62" s="54">
        <v>10.9</v>
      </c>
      <c r="N62" s="54">
        <v>300</v>
      </c>
      <c r="O62" s="57">
        <v>0</v>
      </c>
      <c r="P62" s="53">
        <v>39</v>
      </c>
      <c r="Q62" s="54">
        <v>10.8</v>
      </c>
      <c r="R62" s="55">
        <v>0</v>
      </c>
      <c r="S62" s="55">
        <v>0</v>
      </c>
      <c r="T62" s="57">
        <v>16</v>
      </c>
      <c r="U62" s="56">
        <v>37</v>
      </c>
      <c r="V62" s="54">
        <v>10.8</v>
      </c>
      <c r="W62" s="55">
        <v>0</v>
      </c>
      <c r="X62" s="55">
        <v>0</v>
      </c>
      <c r="Y62" s="57">
        <v>14</v>
      </c>
      <c r="Z62" s="53">
        <v>36</v>
      </c>
      <c r="AA62" s="54">
        <v>10.8</v>
      </c>
      <c r="AB62" s="55">
        <v>0</v>
      </c>
      <c r="AC62" s="55">
        <v>0</v>
      </c>
      <c r="AD62" s="57">
        <v>17</v>
      </c>
      <c r="AE62" s="56">
        <v>36</v>
      </c>
      <c r="AF62" s="54">
        <v>10.7</v>
      </c>
      <c r="AG62" s="55">
        <v>0</v>
      </c>
      <c r="AH62" s="55">
        <v>0</v>
      </c>
      <c r="AI62" s="57">
        <v>15</v>
      </c>
      <c r="AJ62" s="56">
        <v>37</v>
      </c>
      <c r="AK62" s="54">
        <v>10.7</v>
      </c>
      <c r="AL62" s="54">
        <v>0</v>
      </c>
      <c r="AM62" s="54">
        <v>0</v>
      </c>
      <c r="AN62" s="57">
        <v>13.8</v>
      </c>
      <c r="AO62" s="53">
        <v>38</v>
      </c>
      <c r="AP62" s="54">
        <v>10.7</v>
      </c>
      <c r="AQ62" s="54">
        <v>230</v>
      </c>
      <c r="AR62" s="54">
        <v>0</v>
      </c>
      <c r="AS62" s="54">
        <v>16</v>
      </c>
      <c r="AT62" s="56">
        <v>24</v>
      </c>
      <c r="AU62" s="57">
        <v>150</v>
      </c>
      <c r="AV62" s="56">
        <v>60.213214874267599</v>
      </c>
      <c r="AW62" s="57">
        <v>375.39388020833331</v>
      </c>
      <c r="AX62" s="8"/>
      <c r="AZ62" s="1">
        <v>90</v>
      </c>
    </row>
    <row r="63" spans="3:52" ht="15" customHeight="1" x14ac:dyDescent="0.25">
      <c r="C63" s="42"/>
      <c r="D63" s="69">
        <f>D52</f>
        <v>45661</v>
      </c>
      <c r="E63" s="70">
        <f t="shared" si="5"/>
        <v>4.1666666666666687</v>
      </c>
      <c r="F63" s="71">
        <f t="shared" si="2"/>
        <v>45662.166666666781</v>
      </c>
      <c r="G63" s="60">
        <v>42</v>
      </c>
      <c r="H63" s="61">
        <v>40</v>
      </c>
      <c r="I63" s="62">
        <v>10.8</v>
      </c>
      <c r="J63" s="62">
        <v>300</v>
      </c>
      <c r="K63" s="63">
        <v>0</v>
      </c>
      <c r="L63" s="64">
        <v>41</v>
      </c>
      <c r="M63" s="62">
        <v>10.8</v>
      </c>
      <c r="N63" s="62">
        <v>350</v>
      </c>
      <c r="O63" s="65">
        <v>0</v>
      </c>
      <c r="P63" s="61">
        <v>38</v>
      </c>
      <c r="Q63" s="62">
        <v>10.7</v>
      </c>
      <c r="R63" s="63">
        <v>0</v>
      </c>
      <c r="S63" s="63">
        <v>0</v>
      </c>
      <c r="T63" s="65">
        <v>16.399999999999999</v>
      </c>
      <c r="U63" s="64">
        <v>39</v>
      </c>
      <c r="V63" s="62">
        <v>10.7</v>
      </c>
      <c r="W63" s="63">
        <v>0</v>
      </c>
      <c r="X63" s="63">
        <v>0</v>
      </c>
      <c r="Y63" s="65">
        <v>13</v>
      </c>
      <c r="Z63" s="61">
        <v>38</v>
      </c>
      <c r="AA63" s="62">
        <v>10.7</v>
      </c>
      <c r="AB63" s="63">
        <v>0</v>
      </c>
      <c r="AC63" s="63">
        <v>0</v>
      </c>
      <c r="AD63" s="65">
        <v>16.8</v>
      </c>
      <c r="AE63" s="64">
        <v>38</v>
      </c>
      <c r="AF63" s="62">
        <v>10.8</v>
      </c>
      <c r="AG63" s="63">
        <v>0</v>
      </c>
      <c r="AH63" s="63">
        <v>0</v>
      </c>
      <c r="AI63" s="65">
        <v>14</v>
      </c>
      <c r="AJ63" s="64">
        <v>38</v>
      </c>
      <c r="AK63" s="62">
        <v>10.8</v>
      </c>
      <c r="AL63" s="62">
        <v>0</v>
      </c>
      <c r="AM63" s="62">
        <v>0</v>
      </c>
      <c r="AN63" s="65">
        <v>14</v>
      </c>
      <c r="AO63" s="61">
        <v>38</v>
      </c>
      <c r="AP63" s="62">
        <v>10.8</v>
      </c>
      <c r="AQ63" s="62">
        <v>240</v>
      </c>
      <c r="AR63" s="62">
        <v>0</v>
      </c>
      <c r="AS63" s="62">
        <v>16.8</v>
      </c>
      <c r="AT63" s="64">
        <v>23</v>
      </c>
      <c r="AU63" s="65">
        <v>150</v>
      </c>
      <c r="AV63" s="64">
        <v>60.384113311767599</v>
      </c>
      <c r="AW63" s="65">
        <v>373.28257573445637</v>
      </c>
      <c r="AX63" s="8"/>
      <c r="AZ63" s="1">
        <v>90</v>
      </c>
    </row>
    <row r="64" spans="3:52" ht="15" customHeight="1" x14ac:dyDescent="0.25">
      <c r="C64" s="42">
        <f>C52+1</f>
        <v>5</v>
      </c>
      <c r="D64" s="66">
        <f>DATE([1]Dash!$F$3,VLOOKUP([1]Dash!$E$3,[1]Abb!$C$3:$D$14,2,FALSE),C64)</f>
        <v>45662</v>
      </c>
      <c r="E64" s="67">
        <f>E63+2/24</f>
        <v>4.2500000000000018</v>
      </c>
      <c r="F64" s="68">
        <f t="shared" si="2"/>
        <v>45662.250000000116</v>
      </c>
      <c r="G64" s="46">
        <v>42</v>
      </c>
      <c r="H64" s="47">
        <v>41</v>
      </c>
      <c r="I64" s="48">
        <v>10.9</v>
      </c>
      <c r="J64" s="48">
        <v>250</v>
      </c>
      <c r="K64" s="49">
        <v>0</v>
      </c>
      <c r="L64" s="50">
        <v>40</v>
      </c>
      <c r="M64" s="48">
        <v>10.9</v>
      </c>
      <c r="N64" s="48">
        <v>350</v>
      </c>
      <c r="O64" s="51">
        <v>0</v>
      </c>
      <c r="P64" s="47">
        <v>40</v>
      </c>
      <c r="Q64" s="48">
        <v>10.8</v>
      </c>
      <c r="R64" s="49">
        <v>0</v>
      </c>
      <c r="S64" s="49">
        <v>0</v>
      </c>
      <c r="T64" s="51">
        <v>15.8</v>
      </c>
      <c r="U64" s="50">
        <v>39</v>
      </c>
      <c r="V64" s="48">
        <v>10.8</v>
      </c>
      <c r="W64" s="49">
        <v>0</v>
      </c>
      <c r="X64" s="49">
        <v>0</v>
      </c>
      <c r="Y64" s="51">
        <v>13</v>
      </c>
      <c r="Z64" s="47">
        <v>38</v>
      </c>
      <c r="AA64" s="48">
        <v>10.7</v>
      </c>
      <c r="AB64" s="49">
        <v>0</v>
      </c>
      <c r="AC64" s="49">
        <v>0</v>
      </c>
      <c r="AD64" s="51">
        <v>18</v>
      </c>
      <c r="AE64" s="50">
        <v>37</v>
      </c>
      <c r="AF64" s="48">
        <v>10.7</v>
      </c>
      <c r="AG64" s="49">
        <v>0</v>
      </c>
      <c r="AH64" s="49">
        <v>0</v>
      </c>
      <c r="AI64" s="51">
        <v>15</v>
      </c>
      <c r="AJ64" s="50">
        <v>37</v>
      </c>
      <c r="AK64" s="48">
        <v>10.7</v>
      </c>
      <c r="AL64" s="48">
        <v>0</v>
      </c>
      <c r="AM64" s="48">
        <v>0</v>
      </c>
      <c r="AN64" s="51">
        <v>15</v>
      </c>
      <c r="AO64" s="47">
        <v>38</v>
      </c>
      <c r="AP64" s="48">
        <v>10.8</v>
      </c>
      <c r="AQ64" s="48">
        <v>150</v>
      </c>
      <c r="AR64" s="48">
        <v>0</v>
      </c>
      <c r="AS64" s="48">
        <v>17</v>
      </c>
      <c r="AT64" s="50">
        <v>23</v>
      </c>
      <c r="AU64" s="51">
        <v>140</v>
      </c>
      <c r="AV64" s="50">
        <v>60.591632843017599</v>
      </c>
      <c r="AW64" s="51">
        <v>372.8309454600016</v>
      </c>
      <c r="AX64" s="8"/>
      <c r="AZ64" s="1">
        <v>90</v>
      </c>
    </row>
    <row r="65" spans="3:52" ht="15" customHeight="1" x14ac:dyDescent="0.25">
      <c r="C65" s="42"/>
      <c r="D65" s="43">
        <f>D64</f>
        <v>45662</v>
      </c>
      <c r="E65" s="44">
        <f>E64+2/24</f>
        <v>4.3333333333333348</v>
      </c>
      <c r="F65" s="45">
        <f t="shared" si="2"/>
        <v>45662.333333333452</v>
      </c>
      <c r="G65" s="52">
        <v>43</v>
      </c>
      <c r="H65" s="53">
        <v>41</v>
      </c>
      <c r="I65" s="54">
        <v>11.3</v>
      </c>
      <c r="J65" s="54">
        <v>350</v>
      </c>
      <c r="K65" s="55">
        <v>0</v>
      </c>
      <c r="L65" s="56">
        <v>39</v>
      </c>
      <c r="M65" s="54">
        <v>11.3</v>
      </c>
      <c r="N65" s="54">
        <v>300</v>
      </c>
      <c r="O65" s="57">
        <v>0</v>
      </c>
      <c r="P65" s="53">
        <v>38</v>
      </c>
      <c r="Q65" s="54">
        <v>11.2</v>
      </c>
      <c r="R65" s="55">
        <v>0</v>
      </c>
      <c r="S65" s="55">
        <v>0</v>
      </c>
      <c r="T65" s="57">
        <v>15.6</v>
      </c>
      <c r="U65" s="56">
        <v>37</v>
      </c>
      <c r="V65" s="54">
        <v>11.1</v>
      </c>
      <c r="W65" s="55">
        <v>0</v>
      </c>
      <c r="X65" s="55">
        <v>0</v>
      </c>
      <c r="Y65" s="57">
        <v>14</v>
      </c>
      <c r="Z65" s="53">
        <v>36</v>
      </c>
      <c r="AA65" s="54">
        <v>11.2</v>
      </c>
      <c r="AB65" s="55">
        <v>0</v>
      </c>
      <c r="AC65" s="55">
        <v>0</v>
      </c>
      <c r="AD65" s="57">
        <v>14.6</v>
      </c>
      <c r="AE65" s="56">
        <v>36</v>
      </c>
      <c r="AF65" s="54">
        <v>11</v>
      </c>
      <c r="AG65" s="55">
        <v>0</v>
      </c>
      <c r="AH65" s="55">
        <v>0</v>
      </c>
      <c r="AI65" s="57">
        <v>19</v>
      </c>
      <c r="AJ65" s="56">
        <v>36</v>
      </c>
      <c r="AK65" s="54">
        <v>10.9</v>
      </c>
      <c r="AL65" s="54">
        <v>0</v>
      </c>
      <c r="AM65" s="54">
        <v>0</v>
      </c>
      <c r="AN65" s="57">
        <v>11.4</v>
      </c>
      <c r="AO65" s="53">
        <v>34</v>
      </c>
      <c r="AP65" s="54">
        <v>10.8</v>
      </c>
      <c r="AQ65" s="54">
        <v>200</v>
      </c>
      <c r="AR65" s="54">
        <v>0</v>
      </c>
      <c r="AS65" s="54">
        <v>15</v>
      </c>
      <c r="AT65" s="56">
        <v>25</v>
      </c>
      <c r="AU65" s="57">
        <v>210</v>
      </c>
      <c r="AV65" s="56">
        <v>60.774738311767599</v>
      </c>
      <c r="AW65" s="57">
        <v>371.49631144205728</v>
      </c>
      <c r="AX65" s="8"/>
      <c r="AZ65" s="1">
        <v>90</v>
      </c>
    </row>
    <row r="66" spans="3:52" ht="15" customHeight="1" x14ac:dyDescent="0.25">
      <c r="C66" s="42"/>
      <c r="D66" s="43">
        <f>D64</f>
        <v>45662</v>
      </c>
      <c r="E66" s="44">
        <f t="shared" ref="E66:E75" si="6">E65+2/24</f>
        <v>4.4166666666666679</v>
      </c>
      <c r="F66" s="45">
        <f t="shared" si="2"/>
        <v>45662.416666666788</v>
      </c>
      <c r="G66" s="52">
        <v>41</v>
      </c>
      <c r="H66" s="53">
        <v>41</v>
      </c>
      <c r="I66" s="54">
        <v>10.9</v>
      </c>
      <c r="J66" s="54">
        <v>300</v>
      </c>
      <c r="K66" s="55">
        <v>0</v>
      </c>
      <c r="L66" s="56">
        <v>39</v>
      </c>
      <c r="M66" s="54">
        <v>11.1</v>
      </c>
      <c r="N66" s="54">
        <v>300</v>
      </c>
      <c r="O66" s="57">
        <v>0</v>
      </c>
      <c r="P66" s="53">
        <v>38</v>
      </c>
      <c r="Q66" s="54">
        <v>11.1</v>
      </c>
      <c r="R66" s="55">
        <v>0</v>
      </c>
      <c r="S66" s="55">
        <v>0</v>
      </c>
      <c r="T66" s="57">
        <v>15.2</v>
      </c>
      <c r="U66" s="56">
        <v>37</v>
      </c>
      <c r="V66" s="54">
        <v>11.1</v>
      </c>
      <c r="W66" s="55">
        <v>0</v>
      </c>
      <c r="X66" s="55">
        <v>0</v>
      </c>
      <c r="Y66" s="57">
        <v>14</v>
      </c>
      <c r="Z66" s="53">
        <v>36</v>
      </c>
      <c r="AA66" s="54">
        <v>11.1</v>
      </c>
      <c r="AB66" s="55">
        <v>0</v>
      </c>
      <c r="AC66" s="55">
        <v>0</v>
      </c>
      <c r="AD66" s="57">
        <v>15</v>
      </c>
      <c r="AE66" s="56">
        <v>36</v>
      </c>
      <c r="AF66" s="54">
        <v>10.9</v>
      </c>
      <c r="AG66" s="55">
        <v>0</v>
      </c>
      <c r="AH66" s="55">
        <v>0</v>
      </c>
      <c r="AI66" s="57">
        <v>18.600000000000001</v>
      </c>
      <c r="AJ66" s="56">
        <v>35</v>
      </c>
      <c r="AK66" s="54">
        <v>10.9</v>
      </c>
      <c r="AL66" s="54">
        <v>0</v>
      </c>
      <c r="AM66" s="54">
        <v>0</v>
      </c>
      <c r="AN66" s="57">
        <v>13.2</v>
      </c>
      <c r="AO66" s="53">
        <v>35</v>
      </c>
      <c r="AP66" s="54">
        <v>10.7</v>
      </c>
      <c r="AQ66" s="54">
        <v>250</v>
      </c>
      <c r="AR66" s="54">
        <v>0</v>
      </c>
      <c r="AS66" s="54">
        <v>16</v>
      </c>
      <c r="AT66" s="56">
        <v>25</v>
      </c>
      <c r="AU66" s="57">
        <v>180</v>
      </c>
      <c r="AV66" s="56">
        <v>60.603839874267599</v>
      </c>
      <c r="AW66" s="57">
        <v>372.88941930135093</v>
      </c>
      <c r="AX66" s="8"/>
      <c r="AZ66" s="1">
        <v>90</v>
      </c>
    </row>
    <row r="67" spans="3:52" ht="15" customHeight="1" x14ac:dyDescent="0.25">
      <c r="C67" s="42"/>
      <c r="D67" s="43">
        <f>D64</f>
        <v>45662</v>
      </c>
      <c r="E67" s="44">
        <f t="shared" si="6"/>
        <v>4.5000000000000009</v>
      </c>
      <c r="F67" s="45">
        <f t="shared" si="2"/>
        <v>45662.500000000124</v>
      </c>
      <c r="G67" s="52">
        <v>41</v>
      </c>
      <c r="H67" s="53">
        <v>40</v>
      </c>
      <c r="I67" s="54">
        <v>10.7</v>
      </c>
      <c r="J67" s="54">
        <v>250</v>
      </c>
      <c r="K67" s="55">
        <v>0</v>
      </c>
      <c r="L67" s="56">
        <v>43</v>
      </c>
      <c r="M67" s="54">
        <v>11.2</v>
      </c>
      <c r="N67" s="54">
        <v>300</v>
      </c>
      <c r="O67" s="57">
        <v>0</v>
      </c>
      <c r="P67" s="53">
        <v>38</v>
      </c>
      <c r="Q67" s="54">
        <v>11.4</v>
      </c>
      <c r="R67" s="55">
        <v>0</v>
      </c>
      <c r="S67" s="55">
        <v>0</v>
      </c>
      <c r="T67" s="57">
        <v>15.6</v>
      </c>
      <c r="U67" s="56">
        <v>36</v>
      </c>
      <c r="V67" s="54">
        <v>11.7</v>
      </c>
      <c r="W67" s="55">
        <v>0</v>
      </c>
      <c r="X67" s="55">
        <v>0</v>
      </c>
      <c r="Y67" s="57">
        <v>14</v>
      </c>
      <c r="Z67" s="53">
        <v>37</v>
      </c>
      <c r="AA67" s="54">
        <v>11.1</v>
      </c>
      <c r="AB67" s="55">
        <v>0</v>
      </c>
      <c r="AC67" s="55">
        <v>0</v>
      </c>
      <c r="AD67" s="57">
        <v>15</v>
      </c>
      <c r="AE67" s="56">
        <v>37</v>
      </c>
      <c r="AF67" s="54">
        <v>11</v>
      </c>
      <c r="AG67" s="55">
        <v>0</v>
      </c>
      <c r="AH67" s="55">
        <v>0</v>
      </c>
      <c r="AI67" s="57">
        <v>18.600000000000001</v>
      </c>
      <c r="AJ67" s="56">
        <v>36</v>
      </c>
      <c r="AK67" s="54">
        <v>10.9</v>
      </c>
      <c r="AL67" s="54">
        <v>0</v>
      </c>
      <c r="AM67" s="54">
        <v>0</v>
      </c>
      <c r="AN67" s="57">
        <v>12</v>
      </c>
      <c r="AO67" s="53">
        <v>35</v>
      </c>
      <c r="AP67" s="54">
        <v>10.9</v>
      </c>
      <c r="AQ67" s="54">
        <v>220</v>
      </c>
      <c r="AR67" s="54">
        <v>0</v>
      </c>
      <c r="AS67" s="54">
        <v>15.6</v>
      </c>
      <c r="AT67" s="56">
        <v>25</v>
      </c>
      <c r="AU67" s="57">
        <v>180</v>
      </c>
      <c r="AV67" s="56">
        <v>59.859210968017599</v>
      </c>
      <c r="AW67" s="57">
        <v>212.47576675415038</v>
      </c>
      <c r="AX67" s="8"/>
      <c r="AZ67" s="1">
        <v>90</v>
      </c>
    </row>
    <row r="68" spans="3:52" ht="15" customHeight="1" x14ac:dyDescent="0.25">
      <c r="C68" s="42"/>
      <c r="D68" s="43">
        <f>D64</f>
        <v>45662</v>
      </c>
      <c r="E68" s="44">
        <f t="shared" si="6"/>
        <v>4.5833333333333339</v>
      </c>
      <c r="F68" s="45">
        <f t="shared" si="2"/>
        <v>45662.583333333459</v>
      </c>
      <c r="G68" s="52">
        <v>40</v>
      </c>
      <c r="H68" s="53">
        <v>41</v>
      </c>
      <c r="I68" s="54">
        <v>10.8</v>
      </c>
      <c r="J68" s="54">
        <v>250</v>
      </c>
      <c r="K68" s="55">
        <v>0</v>
      </c>
      <c r="L68" s="56">
        <v>42</v>
      </c>
      <c r="M68" s="54">
        <v>11.2</v>
      </c>
      <c r="N68" s="54">
        <v>300</v>
      </c>
      <c r="O68" s="57">
        <v>0</v>
      </c>
      <c r="P68" s="53">
        <v>38</v>
      </c>
      <c r="Q68" s="54">
        <v>11.4</v>
      </c>
      <c r="R68" s="55">
        <v>0</v>
      </c>
      <c r="S68" s="55">
        <v>0</v>
      </c>
      <c r="T68" s="57">
        <v>15.4</v>
      </c>
      <c r="U68" s="56">
        <v>37</v>
      </c>
      <c r="V68" s="54">
        <v>11.3</v>
      </c>
      <c r="W68" s="55">
        <v>0</v>
      </c>
      <c r="X68" s="55">
        <v>0</v>
      </c>
      <c r="Y68" s="57">
        <v>13.6</v>
      </c>
      <c r="Z68" s="53">
        <v>37</v>
      </c>
      <c r="AA68" s="54">
        <v>11.1</v>
      </c>
      <c r="AB68" s="55">
        <v>0</v>
      </c>
      <c r="AC68" s="55">
        <v>0</v>
      </c>
      <c r="AD68" s="57">
        <v>14.4</v>
      </c>
      <c r="AE68" s="56">
        <v>37</v>
      </c>
      <c r="AF68" s="54">
        <v>11</v>
      </c>
      <c r="AG68" s="55">
        <v>0</v>
      </c>
      <c r="AH68" s="55">
        <v>0</v>
      </c>
      <c r="AI68" s="57">
        <v>17.8</v>
      </c>
      <c r="AJ68" s="56">
        <v>36</v>
      </c>
      <c r="AK68" s="54">
        <v>10.9</v>
      </c>
      <c r="AL68" s="54">
        <v>0</v>
      </c>
      <c r="AM68" s="54">
        <v>0</v>
      </c>
      <c r="AN68" s="57">
        <v>11.6</v>
      </c>
      <c r="AO68" s="53">
        <v>34</v>
      </c>
      <c r="AP68" s="54">
        <v>10.9</v>
      </c>
      <c r="AQ68" s="54">
        <v>230</v>
      </c>
      <c r="AR68" s="54">
        <v>0</v>
      </c>
      <c r="AS68" s="54">
        <v>15.2</v>
      </c>
      <c r="AT68" s="56">
        <v>25</v>
      </c>
      <c r="AU68" s="57">
        <v>180</v>
      </c>
      <c r="AV68" s="56">
        <v>59.8388671875</v>
      </c>
      <c r="AW68" s="57">
        <v>186.91418317339074</v>
      </c>
      <c r="AX68" s="8"/>
      <c r="AZ68" s="1">
        <v>90</v>
      </c>
    </row>
    <row r="69" spans="3:52" ht="15" customHeight="1" x14ac:dyDescent="0.25">
      <c r="C69" s="42"/>
      <c r="D69" s="43">
        <f>D64</f>
        <v>45662</v>
      </c>
      <c r="E69" s="44">
        <f t="shared" si="6"/>
        <v>4.666666666666667</v>
      </c>
      <c r="F69" s="45">
        <f t="shared" si="2"/>
        <v>45662.666666666795</v>
      </c>
      <c r="G69" s="52">
        <v>0</v>
      </c>
      <c r="H69" s="53">
        <v>40</v>
      </c>
      <c r="I69" s="54">
        <v>10.9</v>
      </c>
      <c r="J69" s="54">
        <v>300</v>
      </c>
      <c r="K69" s="55">
        <v>0</v>
      </c>
      <c r="L69" s="56">
        <v>41</v>
      </c>
      <c r="M69" s="54">
        <v>11.2</v>
      </c>
      <c r="N69" s="54">
        <v>300</v>
      </c>
      <c r="O69" s="57">
        <v>0</v>
      </c>
      <c r="P69" s="53">
        <v>39</v>
      </c>
      <c r="Q69" s="54">
        <v>11.3</v>
      </c>
      <c r="R69" s="55">
        <v>0</v>
      </c>
      <c r="S69" s="55">
        <v>0</v>
      </c>
      <c r="T69" s="57">
        <v>15.6</v>
      </c>
      <c r="U69" s="56">
        <v>37</v>
      </c>
      <c r="V69" s="54">
        <v>11.2</v>
      </c>
      <c r="W69" s="55">
        <v>0</v>
      </c>
      <c r="X69" s="55">
        <v>0</v>
      </c>
      <c r="Y69" s="57">
        <v>13.8</v>
      </c>
      <c r="Z69" s="53">
        <v>36</v>
      </c>
      <c r="AA69" s="54">
        <v>11.1</v>
      </c>
      <c r="AB69" s="55">
        <v>0</v>
      </c>
      <c r="AC69" s="55">
        <v>0</v>
      </c>
      <c r="AD69" s="57">
        <v>14.8</v>
      </c>
      <c r="AE69" s="56">
        <v>37</v>
      </c>
      <c r="AF69" s="54">
        <v>11</v>
      </c>
      <c r="AG69" s="55">
        <v>0</v>
      </c>
      <c r="AH69" s="55">
        <v>0</v>
      </c>
      <c r="AI69" s="57">
        <v>18.600000000000001</v>
      </c>
      <c r="AJ69" s="56">
        <v>36</v>
      </c>
      <c r="AK69" s="54">
        <v>10.9</v>
      </c>
      <c r="AL69" s="54">
        <v>0</v>
      </c>
      <c r="AM69" s="54">
        <v>0</v>
      </c>
      <c r="AN69" s="57">
        <v>11.6</v>
      </c>
      <c r="AO69" s="53">
        <v>35</v>
      </c>
      <c r="AP69" s="54">
        <v>10.9</v>
      </c>
      <c r="AQ69" s="54">
        <v>230</v>
      </c>
      <c r="AR69" s="54">
        <v>0</v>
      </c>
      <c r="AS69" s="54">
        <v>15</v>
      </c>
      <c r="AT69" s="56">
        <v>25</v>
      </c>
      <c r="AU69" s="57">
        <v>170</v>
      </c>
      <c r="AV69" s="56">
        <v>59.012859344482401</v>
      </c>
      <c r="AW69" s="57">
        <v>374.55632654825848</v>
      </c>
      <c r="AX69" s="8"/>
      <c r="AZ69" s="1">
        <v>90</v>
      </c>
    </row>
    <row r="70" spans="3:52" ht="15" customHeight="1" x14ac:dyDescent="0.25">
      <c r="C70" s="42"/>
      <c r="D70" s="43">
        <f>D64</f>
        <v>45662</v>
      </c>
      <c r="E70" s="44">
        <f t="shared" si="6"/>
        <v>4.75</v>
      </c>
      <c r="F70" s="45">
        <f t="shared" si="2"/>
        <v>45662.750000000131</v>
      </c>
      <c r="G70" s="52">
        <v>0</v>
      </c>
      <c r="H70" s="53">
        <v>41</v>
      </c>
      <c r="I70" s="54">
        <v>10.3</v>
      </c>
      <c r="J70" s="54">
        <v>250</v>
      </c>
      <c r="K70" s="55">
        <v>0</v>
      </c>
      <c r="L70" s="56">
        <v>40</v>
      </c>
      <c r="M70" s="54">
        <v>10.8</v>
      </c>
      <c r="N70" s="54">
        <v>250</v>
      </c>
      <c r="O70" s="57">
        <v>0</v>
      </c>
      <c r="P70" s="53">
        <v>38</v>
      </c>
      <c r="Q70" s="54">
        <v>11</v>
      </c>
      <c r="R70" s="55">
        <v>0</v>
      </c>
      <c r="S70" s="55">
        <v>0</v>
      </c>
      <c r="T70" s="57">
        <v>15.6</v>
      </c>
      <c r="U70" s="56">
        <v>37</v>
      </c>
      <c r="V70" s="54">
        <v>10.9</v>
      </c>
      <c r="W70" s="55">
        <v>0</v>
      </c>
      <c r="X70" s="55">
        <v>0</v>
      </c>
      <c r="Y70" s="57">
        <v>14</v>
      </c>
      <c r="Z70" s="53">
        <v>36</v>
      </c>
      <c r="AA70" s="54">
        <v>10.8</v>
      </c>
      <c r="AB70" s="55">
        <v>0</v>
      </c>
      <c r="AC70" s="55">
        <v>0</v>
      </c>
      <c r="AD70" s="57">
        <v>15</v>
      </c>
      <c r="AE70" s="56">
        <v>36</v>
      </c>
      <c r="AF70" s="54">
        <v>11</v>
      </c>
      <c r="AG70" s="55">
        <v>0</v>
      </c>
      <c r="AH70" s="55">
        <v>0</v>
      </c>
      <c r="AI70" s="57">
        <v>19</v>
      </c>
      <c r="AJ70" s="56">
        <v>36</v>
      </c>
      <c r="AK70" s="54">
        <v>10.8</v>
      </c>
      <c r="AL70" s="54">
        <v>0</v>
      </c>
      <c r="AM70" s="54">
        <v>0</v>
      </c>
      <c r="AN70" s="57">
        <v>13.8</v>
      </c>
      <c r="AO70" s="53">
        <v>35</v>
      </c>
      <c r="AP70" s="54">
        <v>10.8</v>
      </c>
      <c r="AQ70" s="54">
        <v>210</v>
      </c>
      <c r="AR70" s="54">
        <v>0</v>
      </c>
      <c r="AS70" s="54">
        <v>16.2</v>
      </c>
      <c r="AT70" s="56">
        <v>0</v>
      </c>
      <c r="AU70" s="57">
        <v>0</v>
      </c>
      <c r="AV70" s="56">
        <v>59.611003875732401</v>
      </c>
      <c r="AW70" s="57">
        <v>379.78395055135093</v>
      </c>
      <c r="AX70" s="8"/>
      <c r="AZ70" s="1">
        <v>90</v>
      </c>
    </row>
    <row r="71" spans="3:52" ht="15" customHeight="1" x14ac:dyDescent="0.25">
      <c r="C71" s="42"/>
      <c r="D71" s="43">
        <f>D64</f>
        <v>45662</v>
      </c>
      <c r="E71" s="44">
        <f t="shared" si="6"/>
        <v>4.833333333333333</v>
      </c>
      <c r="F71" s="45">
        <f t="shared" si="2"/>
        <v>45662.833333333467</v>
      </c>
      <c r="G71" s="52" t="s">
        <v>38</v>
      </c>
      <c r="H71" s="53">
        <v>40</v>
      </c>
      <c r="I71" s="54">
        <v>10.9</v>
      </c>
      <c r="J71" s="54">
        <v>300</v>
      </c>
      <c r="K71" s="55" t="s">
        <v>38</v>
      </c>
      <c r="L71" s="56">
        <v>41</v>
      </c>
      <c r="M71" s="54">
        <v>11.2</v>
      </c>
      <c r="N71" s="54">
        <v>300</v>
      </c>
      <c r="O71" s="57" t="s">
        <v>38</v>
      </c>
      <c r="P71" s="53">
        <v>39</v>
      </c>
      <c r="Q71" s="54">
        <v>11.3</v>
      </c>
      <c r="R71" s="55" t="s">
        <v>38</v>
      </c>
      <c r="S71" s="55" t="s">
        <v>38</v>
      </c>
      <c r="T71" s="57">
        <v>15.6</v>
      </c>
      <c r="U71" s="56">
        <v>37</v>
      </c>
      <c r="V71" s="54">
        <v>11.2</v>
      </c>
      <c r="W71" s="55" t="s">
        <v>38</v>
      </c>
      <c r="X71" s="55" t="s">
        <v>38</v>
      </c>
      <c r="Y71" s="57">
        <v>13.8</v>
      </c>
      <c r="Z71" s="53">
        <v>36</v>
      </c>
      <c r="AA71" s="54">
        <v>11.1</v>
      </c>
      <c r="AB71" s="55" t="s">
        <v>38</v>
      </c>
      <c r="AC71" s="55" t="s">
        <v>38</v>
      </c>
      <c r="AD71" s="57">
        <v>14.8</v>
      </c>
      <c r="AE71" s="56">
        <v>37</v>
      </c>
      <c r="AF71" s="54">
        <v>11</v>
      </c>
      <c r="AG71" s="55" t="s">
        <v>38</v>
      </c>
      <c r="AH71" s="55" t="s">
        <v>38</v>
      </c>
      <c r="AI71" s="57">
        <v>18.600000000000001</v>
      </c>
      <c r="AJ71" s="56">
        <v>36</v>
      </c>
      <c r="AK71" s="54">
        <v>10.9</v>
      </c>
      <c r="AL71" s="54" t="s">
        <v>38</v>
      </c>
      <c r="AM71" s="54" t="s">
        <v>38</v>
      </c>
      <c r="AN71" s="57">
        <v>11.6</v>
      </c>
      <c r="AO71" s="53">
        <v>35</v>
      </c>
      <c r="AP71" s="54">
        <v>10.9</v>
      </c>
      <c r="AQ71" s="54">
        <v>230</v>
      </c>
      <c r="AR71" s="54">
        <v>0</v>
      </c>
      <c r="AS71" s="54">
        <v>15</v>
      </c>
      <c r="AT71" s="56" t="s">
        <v>38</v>
      </c>
      <c r="AU71" s="57" t="s">
        <v>38</v>
      </c>
      <c r="AV71" s="56">
        <v>59.19189453125</v>
      </c>
      <c r="AW71" s="57">
        <v>382.77717514038085</v>
      </c>
      <c r="AX71" s="8"/>
      <c r="AZ71" s="1">
        <v>90</v>
      </c>
    </row>
    <row r="72" spans="3:52" ht="15" customHeight="1" x14ac:dyDescent="0.25">
      <c r="C72" s="42"/>
      <c r="D72" s="43">
        <f>D64</f>
        <v>45662</v>
      </c>
      <c r="E72" s="44">
        <f t="shared" si="6"/>
        <v>4.9166666666666661</v>
      </c>
      <c r="F72" s="45">
        <f t="shared" si="2"/>
        <v>45662.916666666802</v>
      </c>
      <c r="G72" s="52" t="s">
        <v>38</v>
      </c>
      <c r="H72" s="53">
        <v>41</v>
      </c>
      <c r="I72" s="54">
        <v>10.3</v>
      </c>
      <c r="J72" s="54">
        <v>250</v>
      </c>
      <c r="K72" s="55" t="s">
        <v>38</v>
      </c>
      <c r="L72" s="56">
        <v>40</v>
      </c>
      <c r="M72" s="54">
        <v>10.8</v>
      </c>
      <c r="N72" s="54">
        <v>250</v>
      </c>
      <c r="O72" s="57" t="s">
        <v>38</v>
      </c>
      <c r="P72" s="53">
        <v>38</v>
      </c>
      <c r="Q72" s="54">
        <v>11</v>
      </c>
      <c r="R72" s="55" t="s">
        <v>38</v>
      </c>
      <c r="S72" s="55" t="s">
        <v>38</v>
      </c>
      <c r="T72" s="57">
        <v>15.6</v>
      </c>
      <c r="U72" s="56">
        <v>37</v>
      </c>
      <c r="V72" s="54">
        <v>10.9</v>
      </c>
      <c r="W72" s="55" t="s">
        <v>38</v>
      </c>
      <c r="X72" s="55" t="s">
        <v>38</v>
      </c>
      <c r="Y72" s="57">
        <v>14</v>
      </c>
      <c r="Z72" s="53">
        <v>36</v>
      </c>
      <c r="AA72" s="54">
        <v>10.8</v>
      </c>
      <c r="AB72" s="55" t="s">
        <v>38</v>
      </c>
      <c r="AC72" s="55" t="s">
        <v>38</v>
      </c>
      <c r="AD72" s="57">
        <v>15</v>
      </c>
      <c r="AE72" s="56">
        <v>36</v>
      </c>
      <c r="AF72" s="54">
        <v>11</v>
      </c>
      <c r="AG72" s="55" t="s">
        <v>38</v>
      </c>
      <c r="AH72" s="55" t="s">
        <v>38</v>
      </c>
      <c r="AI72" s="57">
        <v>19</v>
      </c>
      <c r="AJ72" s="56">
        <v>36</v>
      </c>
      <c r="AK72" s="54">
        <v>10.8</v>
      </c>
      <c r="AL72" s="54" t="s">
        <v>38</v>
      </c>
      <c r="AM72" s="54" t="s">
        <v>38</v>
      </c>
      <c r="AN72" s="57">
        <v>13.8</v>
      </c>
      <c r="AO72" s="53">
        <v>35</v>
      </c>
      <c r="AP72" s="54">
        <v>10.8</v>
      </c>
      <c r="AQ72" s="54">
        <v>210</v>
      </c>
      <c r="AR72" s="54">
        <v>0</v>
      </c>
      <c r="AS72" s="54">
        <v>16.2</v>
      </c>
      <c r="AT72" s="56" t="s">
        <v>38</v>
      </c>
      <c r="AU72" s="57" t="s">
        <v>38</v>
      </c>
      <c r="AV72" s="56">
        <v>59.293621063232401</v>
      </c>
      <c r="AW72" s="57">
        <v>383.30825576782229</v>
      </c>
      <c r="AX72" s="8"/>
      <c r="AZ72" s="1">
        <v>90</v>
      </c>
    </row>
    <row r="73" spans="3:52" ht="15" customHeight="1" x14ac:dyDescent="0.25">
      <c r="C73" s="42"/>
      <c r="D73" s="43">
        <f>D64</f>
        <v>45662</v>
      </c>
      <c r="E73" s="44">
        <f t="shared" si="6"/>
        <v>4.9999999999999991</v>
      </c>
      <c r="F73" s="45">
        <f t="shared" si="2"/>
        <v>45663.000000000138</v>
      </c>
      <c r="G73" s="52">
        <v>0</v>
      </c>
      <c r="H73" s="53">
        <v>41</v>
      </c>
      <c r="I73" s="54">
        <v>10.8</v>
      </c>
      <c r="J73" s="54">
        <v>250</v>
      </c>
      <c r="K73" s="55">
        <v>0</v>
      </c>
      <c r="L73" s="56">
        <v>40</v>
      </c>
      <c r="M73" s="54">
        <v>10.8</v>
      </c>
      <c r="N73" s="54">
        <v>250</v>
      </c>
      <c r="O73" s="57">
        <v>0</v>
      </c>
      <c r="P73" s="53">
        <v>43</v>
      </c>
      <c r="Q73" s="54">
        <v>11</v>
      </c>
      <c r="R73" s="55">
        <v>0</v>
      </c>
      <c r="S73" s="55">
        <v>0</v>
      </c>
      <c r="T73" s="57">
        <v>15.8</v>
      </c>
      <c r="U73" s="56">
        <v>43</v>
      </c>
      <c r="V73" s="54">
        <v>10.7</v>
      </c>
      <c r="W73" s="55">
        <v>0</v>
      </c>
      <c r="X73" s="55">
        <v>0</v>
      </c>
      <c r="Y73" s="57">
        <v>11</v>
      </c>
      <c r="Z73" s="53">
        <v>42</v>
      </c>
      <c r="AA73" s="54">
        <v>10.8</v>
      </c>
      <c r="AB73" s="55">
        <v>0</v>
      </c>
      <c r="AC73" s="55">
        <v>0</v>
      </c>
      <c r="AD73" s="57">
        <v>19</v>
      </c>
      <c r="AE73" s="56">
        <v>40</v>
      </c>
      <c r="AF73" s="54">
        <v>10.7</v>
      </c>
      <c r="AG73" s="55">
        <v>0</v>
      </c>
      <c r="AH73" s="55">
        <v>0</v>
      </c>
      <c r="AI73" s="57">
        <v>15</v>
      </c>
      <c r="AJ73" s="56">
        <v>41</v>
      </c>
      <c r="AK73" s="54">
        <v>10.7</v>
      </c>
      <c r="AL73" s="54">
        <v>0</v>
      </c>
      <c r="AM73" s="54">
        <v>0</v>
      </c>
      <c r="AN73" s="57">
        <v>15</v>
      </c>
      <c r="AO73" s="53">
        <v>38</v>
      </c>
      <c r="AP73" s="54">
        <v>10.8</v>
      </c>
      <c r="AQ73" s="54">
        <v>170</v>
      </c>
      <c r="AR73" s="54">
        <v>0</v>
      </c>
      <c r="AS73" s="54">
        <v>16</v>
      </c>
      <c r="AT73" s="56">
        <v>27</v>
      </c>
      <c r="AU73" s="57">
        <v>130</v>
      </c>
      <c r="AV73" s="56">
        <v>59.431964874267599</v>
      </c>
      <c r="AW73" s="57">
        <v>382.04837010701499</v>
      </c>
      <c r="AX73" s="8"/>
      <c r="AZ73" s="1">
        <v>90</v>
      </c>
    </row>
    <row r="74" spans="3:52" ht="15" customHeight="1" x14ac:dyDescent="0.25">
      <c r="C74" s="42"/>
      <c r="D74" s="43">
        <f>D64</f>
        <v>45662</v>
      </c>
      <c r="E74" s="44">
        <f t="shared" si="6"/>
        <v>5.0833333333333321</v>
      </c>
      <c r="F74" s="45">
        <f t="shared" si="2"/>
        <v>45663.083333333474</v>
      </c>
      <c r="G74" s="52" t="s">
        <v>38</v>
      </c>
      <c r="H74" s="53">
        <v>40</v>
      </c>
      <c r="I74" s="54">
        <v>10.7</v>
      </c>
      <c r="J74" s="54">
        <v>250</v>
      </c>
      <c r="K74" s="55">
        <v>0</v>
      </c>
      <c r="L74" s="56">
        <v>40</v>
      </c>
      <c r="M74" s="54">
        <v>10.7</v>
      </c>
      <c r="N74" s="54">
        <v>250</v>
      </c>
      <c r="O74" s="57">
        <v>0</v>
      </c>
      <c r="P74" s="53">
        <v>39</v>
      </c>
      <c r="Q74" s="54">
        <v>10.8</v>
      </c>
      <c r="R74" s="55">
        <v>0</v>
      </c>
      <c r="S74" s="55">
        <v>0</v>
      </c>
      <c r="T74" s="57">
        <v>15.8</v>
      </c>
      <c r="U74" s="56">
        <v>40</v>
      </c>
      <c r="V74" s="54">
        <v>10.7</v>
      </c>
      <c r="W74" s="55">
        <v>0</v>
      </c>
      <c r="X74" s="55">
        <v>0</v>
      </c>
      <c r="Y74" s="57">
        <v>12</v>
      </c>
      <c r="Z74" s="53">
        <v>41</v>
      </c>
      <c r="AA74" s="54">
        <v>10.7</v>
      </c>
      <c r="AB74" s="55">
        <v>0</v>
      </c>
      <c r="AC74" s="55">
        <v>0</v>
      </c>
      <c r="AD74" s="57">
        <v>18</v>
      </c>
      <c r="AE74" s="56">
        <v>39</v>
      </c>
      <c r="AF74" s="54">
        <v>10.7</v>
      </c>
      <c r="AG74" s="55">
        <v>0</v>
      </c>
      <c r="AH74" s="55">
        <v>0</v>
      </c>
      <c r="AI74" s="57">
        <v>15</v>
      </c>
      <c r="AJ74" s="56">
        <v>39</v>
      </c>
      <c r="AK74" s="54">
        <v>10.7</v>
      </c>
      <c r="AL74" s="54">
        <v>0</v>
      </c>
      <c r="AM74" s="54">
        <v>0</v>
      </c>
      <c r="AN74" s="57">
        <v>14</v>
      </c>
      <c r="AO74" s="53">
        <v>38</v>
      </c>
      <c r="AP74" s="54">
        <v>10.8</v>
      </c>
      <c r="AQ74" s="54">
        <v>180</v>
      </c>
      <c r="AR74" s="54">
        <v>0</v>
      </c>
      <c r="AS74" s="54">
        <v>15.8</v>
      </c>
      <c r="AT74" s="56">
        <v>24</v>
      </c>
      <c r="AU74" s="57">
        <v>130</v>
      </c>
      <c r="AV74" s="56">
        <v>70.829261779785199</v>
      </c>
      <c r="AW74" s="57">
        <v>345.27717453638712</v>
      </c>
      <c r="AX74" s="8"/>
      <c r="AZ74" s="1">
        <v>90</v>
      </c>
    </row>
    <row r="75" spans="3:52" ht="15" customHeight="1" x14ac:dyDescent="0.25">
      <c r="C75" s="42"/>
      <c r="D75" s="69">
        <f>D64</f>
        <v>45662</v>
      </c>
      <c r="E75" s="70">
        <f t="shared" si="6"/>
        <v>5.1666666666666652</v>
      </c>
      <c r="F75" s="71">
        <f t="shared" si="2"/>
        <v>45663.16666666681</v>
      </c>
      <c r="G75" s="60" t="s">
        <v>38</v>
      </c>
      <c r="H75" s="61">
        <v>39</v>
      </c>
      <c r="I75" s="62">
        <v>10.5</v>
      </c>
      <c r="J75" s="62">
        <v>250</v>
      </c>
      <c r="K75" s="63">
        <v>0</v>
      </c>
      <c r="L75" s="64">
        <v>40</v>
      </c>
      <c r="M75" s="62">
        <v>10.6</v>
      </c>
      <c r="N75" s="62">
        <v>250</v>
      </c>
      <c r="O75" s="65">
        <v>0</v>
      </c>
      <c r="P75" s="61">
        <v>40</v>
      </c>
      <c r="Q75" s="62">
        <v>10.6</v>
      </c>
      <c r="R75" s="63">
        <v>0</v>
      </c>
      <c r="S75" s="63">
        <v>0</v>
      </c>
      <c r="T75" s="65">
        <v>16</v>
      </c>
      <c r="U75" s="64">
        <v>38</v>
      </c>
      <c r="V75" s="62">
        <v>10.7</v>
      </c>
      <c r="W75" s="63">
        <v>0</v>
      </c>
      <c r="X75" s="63">
        <v>0</v>
      </c>
      <c r="Y75" s="65">
        <v>11</v>
      </c>
      <c r="Z75" s="61">
        <v>39</v>
      </c>
      <c r="AA75" s="62">
        <v>10.7</v>
      </c>
      <c r="AB75" s="63">
        <v>0</v>
      </c>
      <c r="AC75" s="63">
        <v>0</v>
      </c>
      <c r="AD75" s="65">
        <v>17</v>
      </c>
      <c r="AE75" s="64">
        <v>37</v>
      </c>
      <c r="AF75" s="62">
        <v>10.7</v>
      </c>
      <c r="AG75" s="63">
        <v>0</v>
      </c>
      <c r="AH75" s="63">
        <v>0</v>
      </c>
      <c r="AI75" s="65">
        <v>14.8</v>
      </c>
      <c r="AJ75" s="64">
        <v>37</v>
      </c>
      <c r="AK75" s="62">
        <v>10.6</v>
      </c>
      <c r="AL75" s="62">
        <v>0</v>
      </c>
      <c r="AM75" s="62">
        <v>0</v>
      </c>
      <c r="AN75" s="65">
        <v>14</v>
      </c>
      <c r="AO75" s="61">
        <v>37</v>
      </c>
      <c r="AP75" s="62">
        <v>10.7</v>
      </c>
      <c r="AQ75" s="62">
        <v>170</v>
      </c>
      <c r="AR75" s="62">
        <v>0</v>
      </c>
      <c r="AS75" s="62">
        <v>15.8</v>
      </c>
      <c r="AT75" s="64" t="s">
        <v>38</v>
      </c>
      <c r="AU75" s="65" t="s">
        <v>38</v>
      </c>
      <c r="AV75" s="64">
        <v>70.751953125</v>
      </c>
      <c r="AW75" s="65">
        <v>307.12938814225294</v>
      </c>
      <c r="AX75" s="8"/>
      <c r="AZ75" s="1">
        <v>90</v>
      </c>
    </row>
    <row r="76" spans="3:52" ht="15" customHeight="1" x14ac:dyDescent="0.25">
      <c r="C76" s="42">
        <f>C64+1</f>
        <v>6</v>
      </c>
      <c r="D76" s="66">
        <f>DATE([1]Dash!$F$3,VLOOKUP([1]Dash!$E$3,[1]Abb!$C$3:$D$14,2,FALSE),C76)</f>
        <v>45663</v>
      </c>
      <c r="E76" s="67">
        <f>E75+2/24</f>
        <v>5.2499999999999982</v>
      </c>
      <c r="F76" s="68">
        <f t="shared" si="2"/>
        <v>45663.250000000146</v>
      </c>
      <c r="G76" s="46" t="s">
        <v>38</v>
      </c>
      <c r="H76" s="47">
        <v>40</v>
      </c>
      <c r="I76" s="48">
        <v>10.5</v>
      </c>
      <c r="J76" s="48">
        <v>250</v>
      </c>
      <c r="K76" s="49">
        <v>0</v>
      </c>
      <c r="L76" s="50">
        <v>40</v>
      </c>
      <c r="M76" s="48">
        <v>10.5</v>
      </c>
      <c r="N76" s="48">
        <v>250</v>
      </c>
      <c r="O76" s="51">
        <v>0</v>
      </c>
      <c r="P76" s="47">
        <v>40</v>
      </c>
      <c r="Q76" s="48">
        <v>10.6</v>
      </c>
      <c r="R76" s="48">
        <v>0</v>
      </c>
      <c r="S76" s="49">
        <v>0</v>
      </c>
      <c r="T76" s="51">
        <v>16</v>
      </c>
      <c r="U76" s="50">
        <v>39</v>
      </c>
      <c r="V76" s="48">
        <v>10.7</v>
      </c>
      <c r="W76" s="49">
        <v>0</v>
      </c>
      <c r="X76" s="49">
        <v>0</v>
      </c>
      <c r="Y76" s="51">
        <v>13</v>
      </c>
      <c r="Z76" s="47">
        <v>37</v>
      </c>
      <c r="AA76" s="48">
        <v>10.6</v>
      </c>
      <c r="AB76" s="49">
        <v>0</v>
      </c>
      <c r="AC76" s="49">
        <v>0</v>
      </c>
      <c r="AD76" s="51">
        <v>17</v>
      </c>
      <c r="AE76" s="50">
        <v>39</v>
      </c>
      <c r="AF76" s="48">
        <v>10.7</v>
      </c>
      <c r="AG76" s="49">
        <v>0</v>
      </c>
      <c r="AH76" s="49">
        <v>0</v>
      </c>
      <c r="AI76" s="51">
        <v>15</v>
      </c>
      <c r="AJ76" s="50">
        <v>38</v>
      </c>
      <c r="AK76" s="48">
        <v>10.6</v>
      </c>
      <c r="AL76" s="48">
        <v>0</v>
      </c>
      <c r="AM76" s="48">
        <v>0</v>
      </c>
      <c r="AN76" s="51">
        <v>15</v>
      </c>
      <c r="AO76" s="47">
        <v>36</v>
      </c>
      <c r="AP76" s="48">
        <v>10.6</v>
      </c>
      <c r="AQ76" s="48">
        <v>0</v>
      </c>
      <c r="AR76" s="48">
        <v>0</v>
      </c>
      <c r="AS76" s="48">
        <v>16</v>
      </c>
      <c r="AT76" s="50" t="s">
        <v>38</v>
      </c>
      <c r="AU76" s="51" t="s">
        <v>38</v>
      </c>
      <c r="AV76" s="50">
        <v>70.3369140625</v>
      </c>
      <c r="AW76" s="51">
        <v>291.79820180851965</v>
      </c>
      <c r="AX76" s="8"/>
      <c r="AZ76" s="1">
        <v>90</v>
      </c>
    </row>
    <row r="77" spans="3:52" ht="15" customHeight="1" x14ac:dyDescent="0.25">
      <c r="C77" s="42"/>
      <c r="D77" s="43">
        <f>D76</f>
        <v>45663</v>
      </c>
      <c r="E77" s="44">
        <f>E76+2/24</f>
        <v>5.3333333333333313</v>
      </c>
      <c r="F77" s="45">
        <f t="shared" si="2"/>
        <v>45663.333333333481</v>
      </c>
      <c r="G77" s="52">
        <v>38</v>
      </c>
      <c r="H77" s="53">
        <v>38</v>
      </c>
      <c r="I77" s="54">
        <v>10.6</v>
      </c>
      <c r="J77" s="54">
        <v>250</v>
      </c>
      <c r="K77" s="55">
        <v>0</v>
      </c>
      <c r="L77" s="56">
        <v>38</v>
      </c>
      <c r="M77" s="54">
        <v>10.5</v>
      </c>
      <c r="N77" s="54">
        <v>250</v>
      </c>
      <c r="O77" s="57">
        <v>0</v>
      </c>
      <c r="P77" s="53">
        <v>37</v>
      </c>
      <c r="Q77" s="54">
        <v>10.7</v>
      </c>
      <c r="R77" s="54">
        <v>0</v>
      </c>
      <c r="S77" s="55">
        <v>0</v>
      </c>
      <c r="T77" s="57">
        <v>14.6</v>
      </c>
      <c r="U77" s="56">
        <v>38</v>
      </c>
      <c r="V77" s="54">
        <v>10.8</v>
      </c>
      <c r="W77" s="55">
        <v>0</v>
      </c>
      <c r="X77" s="55">
        <v>0</v>
      </c>
      <c r="Y77" s="57">
        <v>13</v>
      </c>
      <c r="Z77" s="53">
        <v>38</v>
      </c>
      <c r="AA77" s="54">
        <v>10.9</v>
      </c>
      <c r="AB77" s="55">
        <v>0</v>
      </c>
      <c r="AC77" s="55">
        <v>0</v>
      </c>
      <c r="AD77" s="57">
        <v>15.6</v>
      </c>
      <c r="AE77" s="56">
        <v>35</v>
      </c>
      <c r="AF77" s="54">
        <v>10.8</v>
      </c>
      <c r="AG77" s="55">
        <v>0</v>
      </c>
      <c r="AH77" s="55">
        <v>0</v>
      </c>
      <c r="AI77" s="57">
        <v>15</v>
      </c>
      <c r="AJ77" s="56">
        <v>35</v>
      </c>
      <c r="AK77" s="54">
        <v>10.7</v>
      </c>
      <c r="AL77" s="54">
        <v>0</v>
      </c>
      <c r="AM77" s="54">
        <v>0</v>
      </c>
      <c r="AN77" s="57">
        <v>13</v>
      </c>
      <c r="AO77" s="53">
        <v>34</v>
      </c>
      <c r="AP77" s="54">
        <v>10.8</v>
      </c>
      <c r="AQ77" s="54">
        <v>170</v>
      </c>
      <c r="AR77" s="54">
        <v>0</v>
      </c>
      <c r="AS77" s="54">
        <v>17</v>
      </c>
      <c r="AT77" s="56">
        <v>0</v>
      </c>
      <c r="AU77" s="57">
        <v>0</v>
      </c>
      <c r="AV77" s="56">
        <v>70.638015747070298</v>
      </c>
      <c r="AW77" s="57">
        <v>306.98374784731618</v>
      </c>
      <c r="AX77" s="8"/>
      <c r="AZ77" s="1">
        <v>90</v>
      </c>
    </row>
    <row r="78" spans="3:52" ht="15" customHeight="1" x14ac:dyDescent="0.25">
      <c r="C78" s="42"/>
      <c r="D78" s="43">
        <f>D76</f>
        <v>45663</v>
      </c>
      <c r="E78" s="44">
        <f t="shared" ref="E78:E87" si="7">E77+2/24</f>
        <v>5.4166666666666643</v>
      </c>
      <c r="F78" s="45">
        <f t="shared" si="2"/>
        <v>45663.416666666817</v>
      </c>
      <c r="G78" s="52">
        <v>42</v>
      </c>
      <c r="H78" s="53">
        <v>40</v>
      </c>
      <c r="I78" s="54">
        <v>10.6</v>
      </c>
      <c r="J78" s="54">
        <v>300</v>
      </c>
      <c r="K78" s="55">
        <v>0</v>
      </c>
      <c r="L78" s="56">
        <v>40</v>
      </c>
      <c r="M78" s="54">
        <v>10.7</v>
      </c>
      <c r="N78" s="54">
        <v>250</v>
      </c>
      <c r="O78" s="57">
        <v>0</v>
      </c>
      <c r="P78" s="53">
        <v>38</v>
      </c>
      <c r="Q78" s="54">
        <v>10.7</v>
      </c>
      <c r="R78" s="54">
        <v>0</v>
      </c>
      <c r="S78" s="55">
        <v>0</v>
      </c>
      <c r="T78" s="57">
        <v>14.2</v>
      </c>
      <c r="U78" s="56">
        <v>38</v>
      </c>
      <c r="V78" s="54">
        <v>10.8</v>
      </c>
      <c r="W78" s="55">
        <v>0</v>
      </c>
      <c r="X78" s="55">
        <v>0</v>
      </c>
      <c r="Y78" s="57">
        <v>13.2</v>
      </c>
      <c r="Z78" s="53">
        <v>38</v>
      </c>
      <c r="AA78" s="54">
        <v>10.8</v>
      </c>
      <c r="AB78" s="55">
        <v>0</v>
      </c>
      <c r="AC78" s="55">
        <v>0</v>
      </c>
      <c r="AD78" s="57">
        <v>15.4</v>
      </c>
      <c r="AE78" s="56">
        <v>36</v>
      </c>
      <c r="AF78" s="54">
        <v>10.8</v>
      </c>
      <c r="AG78" s="55">
        <v>0</v>
      </c>
      <c r="AH78" s="55">
        <v>0</v>
      </c>
      <c r="AI78" s="57">
        <v>15</v>
      </c>
      <c r="AJ78" s="56">
        <v>35</v>
      </c>
      <c r="AK78" s="54">
        <v>10.7</v>
      </c>
      <c r="AL78" s="54">
        <v>0</v>
      </c>
      <c r="AM78" s="54">
        <v>0</v>
      </c>
      <c r="AN78" s="57">
        <v>13.4</v>
      </c>
      <c r="AO78" s="53">
        <v>37</v>
      </c>
      <c r="AP78" s="54">
        <v>10.8</v>
      </c>
      <c r="AQ78" s="54">
        <v>200</v>
      </c>
      <c r="AR78" s="54">
        <v>0</v>
      </c>
      <c r="AS78" s="54">
        <v>17.2</v>
      </c>
      <c r="AT78" s="56">
        <v>25</v>
      </c>
      <c r="AU78" s="57">
        <v>150</v>
      </c>
      <c r="AV78" s="56">
        <v>72.18017578125</v>
      </c>
      <c r="AW78" s="57">
        <v>303.54106348653636</v>
      </c>
      <c r="AX78" s="8"/>
      <c r="AZ78" s="1">
        <v>90</v>
      </c>
    </row>
    <row r="79" spans="3:52" ht="15" customHeight="1" x14ac:dyDescent="0.25">
      <c r="C79" s="42"/>
      <c r="D79" s="43">
        <f>D76</f>
        <v>45663</v>
      </c>
      <c r="E79" s="44">
        <f t="shared" si="7"/>
        <v>5.4999999999999973</v>
      </c>
      <c r="F79" s="45">
        <f t="shared" si="2"/>
        <v>45663.500000000153</v>
      </c>
      <c r="G79" s="52">
        <v>40</v>
      </c>
      <c r="H79" s="53">
        <v>38</v>
      </c>
      <c r="I79" s="54">
        <v>10.7</v>
      </c>
      <c r="J79" s="54">
        <v>500</v>
      </c>
      <c r="K79" s="55">
        <v>0</v>
      </c>
      <c r="L79" s="56">
        <v>38</v>
      </c>
      <c r="M79" s="54">
        <v>10.7</v>
      </c>
      <c r="N79" s="54">
        <v>650</v>
      </c>
      <c r="O79" s="57">
        <v>0</v>
      </c>
      <c r="P79" s="53">
        <v>37</v>
      </c>
      <c r="Q79" s="54">
        <v>10.9</v>
      </c>
      <c r="R79" s="54">
        <v>0</v>
      </c>
      <c r="S79" s="55">
        <v>0</v>
      </c>
      <c r="T79" s="57">
        <v>11</v>
      </c>
      <c r="U79" s="56">
        <v>37</v>
      </c>
      <c r="V79" s="54">
        <v>10.9</v>
      </c>
      <c r="W79" s="55">
        <v>0</v>
      </c>
      <c r="X79" s="55">
        <v>0</v>
      </c>
      <c r="Y79" s="57">
        <v>13</v>
      </c>
      <c r="Z79" s="53">
        <v>38</v>
      </c>
      <c r="AA79" s="54">
        <v>11</v>
      </c>
      <c r="AB79" s="55">
        <v>0</v>
      </c>
      <c r="AC79" s="55">
        <v>0</v>
      </c>
      <c r="AD79" s="57">
        <v>15.2</v>
      </c>
      <c r="AE79" s="56">
        <v>37</v>
      </c>
      <c r="AF79" s="54">
        <v>10.8</v>
      </c>
      <c r="AG79" s="55">
        <v>0</v>
      </c>
      <c r="AH79" s="55">
        <v>0</v>
      </c>
      <c r="AI79" s="57">
        <v>15.2</v>
      </c>
      <c r="AJ79" s="56">
        <v>36</v>
      </c>
      <c r="AK79" s="54">
        <v>10.7</v>
      </c>
      <c r="AL79" s="54">
        <v>0</v>
      </c>
      <c r="AM79" s="54">
        <v>0</v>
      </c>
      <c r="AN79" s="57">
        <v>13.2</v>
      </c>
      <c r="AO79" s="53">
        <v>34</v>
      </c>
      <c r="AP79" s="54">
        <v>10.8</v>
      </c>
      <c r="AQ79" s="54">
        <v>270</v>
      </c>
      <c r="AR79" s="54">
        <v>0</v>
      </c>
      <c r="AS79" s="54">
        <v>17</v>
      </c>
      <c r="AT79" s="56">
        <v>26</v>
      </c>
      <c r="AU79" s="57">
        <v>210</v>
      </c>
      <c r="AV79" s="56">
        <v>72.16796875</v>
      </c>
      <c r="AW79" s="57">
        <v>296.63520034744096</v>
      </c>
      <c r="AX79" s="8"/>
      <c r="AZ79" s="1">
        <v>90</v>
      </c>
    </row>
    <row r="80" spans="3:52" ht="15" customHeight="1" x14ac:dyDescent="0.25">
      <c r="C80" s="42"/>
      <c r="D80" s="43">
        <f>D76</f>
        <v>45663</v>
      </c>
      <c r="E80" s="44">
        <f t="shared" si="7"/>
        <v>5.5833333333333304</v>
      </c>
      <c r="F80" s="45">
        <f t="shared" si="2"/>
        <v>45663.583333333489</v>
      </c>
      <c r="G80" s="52">
        <v>40</v>
      </c>
      <c r="H80" s="53">
        <v>38</v>
      </c>
      <c r="I80" s="54">
        <v>10.1</v>
      </c>
      <c r="J80" s="54">
        <v>350</v>
      </c>
      <c r="K80" s="55">
        <v>0</v>
      </c>
      <c r="L80" s="56">
        <v>38</v>
      </c>
      <c r="M80" s="54">
        <v>10.7</v>
      </c>
      <c r="N80" s="54">
        <v>600</v>
      </c>
      <c r="O80" s="57">
        <v>0</v>
      </c>
      <c r="P80" s="53">
        <v>37</v>
      </c>
      <c r="Q80" s="54">
        <v>10.8</v>
      </c>
      <c r="R80" s="54">
        <v>0</v>
      </c>
      <c r="S80" s="55">
        <v>0</v>
      </c>
      <c r="T80" s="57">
        <v>11.2</v>
      </c>
      <c r="U80" s="56">
        <v>37</v>
      </c>
      <c r="V80" s="54">
        <v>10.9</v>
      </c>
      <c r="W80" s="55">
        <v>0</v>
      </c>
      <c r="X80" s="55">
        <v>0</v>
      </c>
      <c r="Y80" s="57">
        <v>13.4</v>
      </c>
      <c r="Z80" s="53">
        <v>38</v>
      </c>
      <c r="AA80" s="54">
        <v>10.9</v>
      </c>
      <c r="AB80" s="55">
        <v>0</v>
      </c>
      <c r="AC80" s="55">
        <v>0</v>
      </c>
      <c r="AD80" s="57">
        <v>15.6</v>
      </c>
      <c r="AE80" s="56">
        <v>37</v>
      </c>
      <c r="AF80" s="54">
        <v>10.9</v>
      </c>
      <c r="AG80" s="55">
        <v>0</v>
      </c>
      <c r="AH80" s="55">
        <v>0</v>
      </c>
      <c r="AI80" s="57">
        <v>15</v>
      </c>
      <c r="AJ80" s="56">
        <v>36</v>
      </c>
      <c r="AK80" s="54">
        <v>10.8</v>
      </c>
      <c r="AL80" s="54">
        <v>0</v>
      </c>
      <c r="AM80" s="54">
        <v>0</v>
      </c>
      <c r="AN80" s="57">
        <v>13.2</v>
      </c>
      <c r="AO80" s="53">
        <v>34</v>
      </c>
      <c r="AP80" s="54">
        <v>10.8</v>
      </c>
      <c r="AQ80" s="54">
        <v>250</v>
      </c>
      <c r="AR80" s="54">
        <v>0</v>
      </c>
      <c r="AS80" s="54">
        <v>16.2</v>
      </c>
      <c r="AT80" s="56">
        <v>26</v>
      </c>
      <c r="AU80" s="57">
        <v>210</v>
      </c>
      <c r="AV80" s="56">
        <v>69.498695373535199</v>
      </c>
      <c r="AW80" s="57">
        <v>247.79236530618121</v>
      </c>
      <c r="AX80" s="8"/>
      <c r="AZ80" s="1">
        <v>90</v>
      </c>
    </row>
    <row r="81" spans="3:52" ht="15" customHeight="1" x14ac:dyDescent="0.25">
      <c r="C81" s="42"/>
      <c r="D81" s="43">
        <f>D76</f>
        <v>45663</v>
      </c>
      <c r="E81" s="44">
        <f t="shared" si="7"/>
        <v>5.6666666666666634</v>
      </c>
      <c r="F81" s="45">
        <f t="shared" si="2"/>
        <v>45663.666666666824</v>
      </c>
      <c r="G81" s="52">
        <v>40</v>
      </c>
      <c r="H81" s="53">
        <v>40</v>
      </c>
      <c r="I81" s="54">
        <v>10.199999999999999</v>
      </c>
      <c r="J81" s="54">
        <v>350</v>
      </c>
      <c r="K81" s="55">
        <v>0</v>
      </c>
      <c r="L81" s="56">
        <v>40</v>
      </c>
      <c r="M81" s="54">
        <v>10.4</v>
      </c>
      <c r="N81" s="54">
        <v>550</v>
      </c>
      <c r="O81" s="57">
        <v>0</v>
      </c>
      <c r="P81" s="53">
        <v>35</v>
      </c>
      <c r="Q81" s="54">
        <v>10.5</v>
      </c>
      <c r="R81" s="54">
        <v>0</v>
      </c>
      <c r="S81" s="55">
        <v>0</v>
      </c>
      <c r="T81" s="57">
        <v>6</v>
      </c>
      <c r="U81" s="56">
        <v>38</v>
      </c>
      <c r="V81" s="54">
        <v>10.7</v>
      </c>
      <c r="W81" s="55">
        <v>0</v>
      </c>
      <c r="X81" s="55">
        <v>0</v>
      </c>
      <c r="Y81" s="57">
        <v>12</v>
      </c>
      <c r="Z81" s="53">
        <v>38</v>
      </c>
      <c r="AA81" s="54">
        <v>10.7</v>
      </c>
      <c r="AB81" s="55">
        <v>0</v>
      </c>
      <c r="AC81" s="55">
        <v>0</v>
      </c>
      <c r="AD81" s="57">
        <v>16</v>
      </c>
      <c r="AE81" s="56">
        <v>36</v>
      </c>
      <c r="AF81" s="54">
        <v>10.8</v>
      </c>
      <c r="AG81" s="55">
        <v>0</v>
      </c>
      <c r="AH81" s="55">
        <v>0</v>
      </c>
      <c r="AI81" s="57">
        <v>15</v>
      </c>
      <c r="AJ81" s="56">
        <v>35</v>
      </c>
      <c r="AK81" s="54">
        <v>10.7</v>
      </c>
      <c r="AL81" s="54">
        <v>0</v>
      </c>
      <c r="AM81" s="54">
        <v>0</v>
      </c>
      <c r="AN81" s="57">
        <v>14.6</v>
      </c>
      <c r="AO81" s="53">
        <v>37</v>
      </c>
      <c r="AP81" s="54">
        <v>10.7</v>
      </c>
      <c r="AQ81" s="54">
        <v>230</v>
      </c>
      <c r="AR81" s="54">
        <v>0</v>
      </c>
      <c r="AS81" s="54">
        <v>17</v>
      </c>
      <c r="AT81" s="56">
        <v>25</v>
      </c>
      <c r="AU81" s="57">
        <v>190</v>
      </c>
      <c r="AV81" s="56">
        <v>72.172035217285199</v>
      </c>
      <c r="AW81" s="57">
        <v>290.0874085551128</v>
      </c>
      <c r="AX81" s="8"/>
      <c r="AZ81" s="1">
        <v>90</v>
      </c>
    </row>
    <row r="82" spans="3:52" ht="15" customHeight="1" x14ac:dyDescent="0.25">
      <c r="C82" s="42"/>
      <c r="D82" s="43">
        <f>D76</f>
        <v>45663</v>
      </c>
      <c r="E82" s="44">
        <f t="shared" si="7"/>
        <v>5.7499999999999964</v>
      </c>
      <c r="F82" s="45">
        <f t="shared" ref="F82:F145" si="8">F81+(E82-E81)</f>
        <v>45663.75000000016</v>
      </c>
      <c r="G82" s="52">
        <v>40</v>
      </c>
      <c r="H82" s="53">
        <v>40</v>
      </c>
      <c r="I82" s="54">
        <v>10.199999999999999</v>
      </c>
      <c r="J82" s="54">
        <v>250</v>
      </c>
      <c r="K82" s="55">
        <v>0</v>
      </c>
      <c r="L82" s="56">
        <v>38</v>
      </c>
      <c r="M82" s="54">
        <v>10.4</v>
      </c>
      <c r="N82" s="54">
        <v>300</v>
      </c>
      <c r="O82" s="57">
        <v>0</v>
      </c>
      <c r="P82" s="53">
        <v>35</v>
      </c>
      <c r="Q82" s="54">
        <v>10.4</v>
      </c>
      <c r="R82" s="54">
        <v>0</v>
      </c>
      <c r="S82" s="55">
        <v>0</v>
      </c>
      <c r="T82" s="57">
        <v>3</v>
      </c>
      <c r="U82" s="56">
        <v>37</v>
      </c>
      <c r="V82" s="54">
        <v>10.7</v>
      </c>
      <c r="W82" s="55">
        <v>0</v>
      </c>
      <c r="X82" s="55">
        <v>0</v>
      </c>
      <c r="Y82" s="57">
        <v>12.8</v>
      </c>
      <c r="Z82" s="53">
        <v>38</v>
      </c>
      <c r="AA82" s="54">
        <v>10.7</v>
      </c>
      <c r="AB82" s="55">
        <v>0</v>
      </c>
      <c r="AC82" s="55">
        <v>0</v>
      </c>
      <c r="AD82" s="57">
        <v>16</v>
      </c>
      <c r="AE82" s="56">
        <v>36</v>
      </c>
      <c r="AF82" s="54">
        <v>10.8</v>
      </c>
      <c r="AG82" s="55">
        <v>0</v>
      </c>
      <c r="AH82" s="55">
        <v>0</v>
      </c>
      <c r="AI82" s="57">
        <v>15</v>
      </c>
      <c r="AJ82" s="56">
        <v>36</v>
      </c>
      <c r="AK82" s="54">
        <v>10.7</v>
      </c>
      <c r="AL82" s="54">
        <v>0</v>
      </c>
      <c r="AM82" s="54">
        <v>0</v>
      </c>
      <c r="AN82" s="57">
        <v>14.8</v>
      </c>
      <c r="AO82" s="53">
        <v>35</v>
      </c>
      <c r="AP82" s="54">
        <v>10.7</v>
      </c>
      <c r="AQ82" s="54">
        <v>220</v>
      </c>
      <c r="AR82" s="54">
        <v>0</v>
      </c>
      <c r="AS82" s="54">
        <v>17</v>
      </c>
      <c r="AT82" s="56">
        <v>25</v>
      </c>
      <c r="AU82" s="57">
        <v>210</v>
      </c>
      <c r="AV82" s="56">
        <v>71.280921936035199</v>
      </c>
      <c r="AW82" s="57">
        <v>294.83880742136387</v>
      </c>
      <c r="AX82" s="8"/>
      <c r="AZ82" s="1">
        <v>90</v>
      </c>
    </row>
    <row r="83" spans="3:52" ht="15" customHeight="1" x14ac:dyDescent="0.25">
      <c r="C83" s="42"/>
      <c r="D83" s="43">
        <f>D76</f>
        <v>45663</v>
      </c>
      <c r="E83" s="44">
        <f t="shared" si="7"/>
        <v>5.8333333333333295</v>
      </c>
      <c r="F83" s="45">
        <f t="shared" si="8"/>
        <v>45663.833333333496</v>
      </c>
      <c r="G83" s="52">
        <v>40</v>
      </c>
      <c r="H83" s="53">
        <v>43</v>
      </c>
      <c r="I83" s="54">
        <v>10.9</v>
      </c>
      <c r="J83" s="54">
        <v>250</v>
      </c>
      <c r="K83" s="55">
        <v>0</v>
      </c>
      <c r="L83" s="56">
        <v>40</v>
      </c>
      <c r="M83" s="54">
        <v>10.7</v>
      </c>
      <c r="N83" s="54">
        <v>300</v>
      </c>
      <c r="O83" s="57">
        <v>0</v>
      </c>
      <c r="P83" s="53">
        <v>40</v>
      </c>
      <c r="Q83" s="54">
        <v>10.6</v>
      </c>
      <c r="R83" s="54">
        <v>0</v>
      </c>
      <c r="S83" s="55">
        <v>0</v>
      </c>
      <c r="T83" s="57">
        <v>10</v>
      </c>
      <c r="U83" s="56">
        <v>39</v>
      </c>
      <c r="V83" s="54">
        <v>10.5</v>
      </c>
      <c r="W83" s="55">
        <v>0</v>
      </c>
      <c r="X83" s="55">
        <v>0</v>
      </c>
      <c r="Y83" s="57">
        <v>9</v>
      </c>
      <c r="Z83" s="53">
        <v>37</v>
      </c>
      <c r="AA83" s="54">
        <v>10.7</v>
      </c>
      <c r="AB83" s="55">
        <v>0</v>
      </c>
      <c r="AC83" s="55">
        <v>0</v>
      </c>
      <c r="AD83" s="57">
        <v>17</v>
      </c>
      <c r="AE83" s="56">
        <v>37</v>
      </c>
      <c r="AF83" s="54">
        <v>10.8</v>
      </c>
      <c r="AG83" s="55">
        <v>0</v>
      </c>
      <c r="AH83" s="55">
        <v>0</v>
      </c>
      <c r="AI83" s="57">
        <v>14.8</v>
      </c>
      <c r="AJ83" s="56">
        <v>37</v>
      </c>
      <c r="AK83" s="54">
        <v>10.8</v>
      </c>
      <c r="AL83" s="54">
        <v>0</v>
      </c>
      <c r="AM83" s="54">
        <v>0</v>
      </c>
      <c r="AN83" s="57">
        <v>14.8</v>
      </c>
      <c r="AO83" s="53">
        <v>36</v>
      </c>
      <c r="AP83" s="54">
        <v>10.8</v>
      </c>
      <c r="AQ83" s="54">
        <v>200</v>
      </c>
      <c r="AR83" s="54">
        <v>0</v>
      </c>
      <c r="AS83" s="54">
        <v>18</v>
      </c>
      <c r="AT83" s="56">
        <v>24</v>
      </c>
      <c r="AU83" s="57">
        <v>150</v>
      </c>
      <c r="AV83" s="56">
        <v>72.574867248535199</v>
      </c>
      <c r="AW83" s="57">
        <v>293.83451426823933</v>
      </c>
      <c r="AX83" s="8"/>
      <c r="AZ83" s="1">
        <v>90</v>
      </c>
    </row>
    <row r="84" spans="3:52" ht="15" customHeight="1" x14ac:dyDescent="0.25">
      <c r="C84" s="42"/>
      <c r="D84" s="43">
        <f>D76</f>
        <v>45663</v>
      </c>
      <c r="E84" s="44">
        <f t="shared" si="7"/>
        <v>5.9166666666666625</v>
      </c>
      <c r="F84" s="45">
        <f t="shared" si="8"/>
        <v>45663.916666666832</v>
      </c>
      <c r="G84" s="52">
        <v>41</v>
      </c>
      <c r="H84" s="53">
        <v>41</v>
      </c>
      <c r="I84" s="54">
        <v>10.9</v>
      </c>
      <c r="J84" s="54">
        <v>250</v>
      </c>
      <c r="K84" s="55">
        <v>0</v>
      </c>
      <c r="L84" s="56">
        <v>37</v>
      </c>
      <c r="M84" s="54">
        <v>10.8</v>
      </c>
      <c r="N84" s="54">
        <v>350</v>
      </c>
      <c r="O84" s="57">
        <v>0</v>
      </c>
      <c r="P84" s="53">
        <v>39</v>
      </c>
      <c r="Q84" s="54">
        <v>10.7</v>
      </c>
      <c r="R84" s="54">
        <v>0</v>
      </c>
      <c r="S84" s="55">
        <v>0</v>
      </c>
      <c r="T84" s="57">
        <v>14</v>
      </c>
      <c r="U84" s="56">
        <v>37</v>
      </c>
      <c r="V84" s="54">
        <v>10.6</v>
      </c>
      <c r="W84" s="55">
        <v>0</v>
      </c>
      <c r="X84" s="55">
        <v>0</v>
      </c>
      <c r="Y84" s="57">
        <v>5</v>
      </c>
      <c r="Z84" s="53">
        <v>37</v>
      </c>
      <c r="AA84" s="54">
        <v>10.7</v>
      </c>
      <c r="AB84" s="55">
        <v>0</v>
      </c>
      <c r="AC84" s="55">
        <v>0</v>
      </c>
      <c r="AD84" s="57">
        <v>17</v>
      </c>
      <c r="AE84" s="56">
        <v>38</v>
      </c>
      <c r="AF84" s="54">
        <v>10.7</v>
      </c>
      <c r="AG84" s="55">
        <v>0</v>
      </c>
      <c r="AH84" s="55">
        <v>0</v>
      </c>
      <c r="AI84" s="57">
        <v>14</v>
      </c>
      <c r="AJ84" s="56">
        <v>37</v>
      </c>
      <c r="AK84" s="54">
        <v>10.8</v>
      </c>
      <c r="AL84" s="54">
        <v>0</v>
      </c>
      <c r="AM84" s="54">
        <v>0</v>
      </c>
      <c r="AN84" s="57">
        <v>14</v>
      </c>
      <c r="AO84" s="53">
        <v>37</v>
      </c>
      <c r="AP84" s="54">
        <v>10.8</v>
      </c>
      <c r="AQ84" s="54">
        <v>230</v>
      </c>
      <c r="AR84" s="54">
        <v>0</v>
      </c>
      <c r="AS84" s="54">
        <v>17</v>
      </c>
      <c r="AT84" s="56">
        <v>25</v>
      </c>
      <c r="AU84" s="57">
        <v>160</v>
      </c>
      <c r="AV84" s="56">
        <v>71.036781311035199</v>
      </c>
      <c r="AW84" s="57">
        <v>290.32214423228675</v>
      </c>
      <c r="AX84" s="8"/>
      <c r="AZ84" s="1">
        <v>90</v>
      </c>
    </row>
    <row r="85" spans="3:52" ht="15" customHeight="1" x14ac:dyDescent="0.25">
      <c r="C85" s="42"/>
      <c r="D85" s="43">
        <f>D76</f>
        <v>45663</v>
      </c>
      <c r="E85" s="44">
        <f t="shared" si="7"/>
        <v>5.9999999999999956</v>
      </c>
      <c r="F85" s="45">
        <f t="shared" si="8"/>
        <v>45664.000000000167</v>
      </c>
      <c r="G85" s="52">
        <v>45</v>
      </c>
      <c r="H85" s="53">
        <v>42</v>
      </c>
      <c r="I85" s="54">
        <v>10.9</v>
      </c>
      <c r="J85" s="54">
        <v>250</v>
      </c>
      <c r="K85" s="55">
        <v>0</v>
      </c>
      <c r="L85" s="56">
        <v>42</v>
      </c>
      <c r="M85" s="54">
        <v>10.8</v>
      </c>
      <c r="N85" s="54">
        <v>350</v>
      </c>
      <c r="O85" s="57">
        <v>0</v>
      </c>
      <c r="P85" s="53">
        <v>40</v>
      </c>
      <c r="Q85" s="54">
        <v>10.8</v>
      </c>
      <c r="R85" s="54">
        <v>0</v>
      </c>
      <c r="S85" s="55">
        <v>0</v>
      </c>
      <c r="T85" s="57">
        <v>16</v>
      </c>
      <c r="U85" s="56">
        <v>39</v>
      </c>
      <c r="V85" s="54">
        <v>10.7</v>
      </c>
      <c r="W85" s="55">
        <v>0</v>
      </c>
      <c r="X85" s="55">
        <v>0</v>
      </c>
      <c r="Y85" s="57">
        <v>7</v>
      </c>
      <c r="Z85" s="53">
        <v>39</v>
      </c>
      <c r="AA85" s="54">
        <v>10.7</v>
      </c>
      <c r="AB85" s="55">
        <v>0</v>
      </c>
      <c r="AC85" s="55">
        <v>0</v>
      </c>
      <c r="AD85" s="57">
        <v>11</v>
      </c>
      <c r="AE85" s="56">
        <v>38</v>
      </c>
      <c r="AF85" s="54">
        <v>10.7</v>
      </c>
      <c r="AG85" s="55">
        <v>0</v>
      </c>
      <c r="AH85" s="55">
        <v>0</v>
      </c>
      <c r="AI85" s="57">
        <v>15</v>
      </c>
      <c r="AJ85" s="56">
        <v>37</v>
      </c>
      <c r="AK85" s="54">
        <v>10.7</v>
      </c>
      <c r="AL85" s="54">
        <v>0</v>
      </c>
      <c r="AM85" s="54">
        <v>0</v>
      </c>
      <c r="AN85" s="57">
        <v>14</v>
      </c>
      <c r="AO85" s="53">
        <v>36</v>
      </c>
      <c r="AP85" s="54">
        <v>10.7</v>
      </c>
      <c r="AQ85" s="54">
        <v>250</v>
      </c>
      <c r="AR85" s="54">
        <v>0</v>
      </c>
      <c r="AS85" s="54">
        <v>17</v>
      </c>
      <c r="AT85" s="56">
        <v>23</v>
      </c>
      <c r="AU85" s="57">
        <v>150</v>
      </c>
      <c r="AV85" s="56">
        <v>70.084632873535199</v>
      </c>
      <c r="AW85" s="57">
        <v>290.37555526097623</v>
      </c>
      <c r="AX85" s="8"/>
      <c r="AZ85" s="1">
        <v>90</v>
      </c>
    </row>
    <row r="86" spans="3:52" ht="15" customHeight="1" x14ac:dyDescent="0.25">
      <c r="C86" s="42"/>
      <c r="D86" s="43">
        <f>D76</f>
        <v>45663</v>
      </c>
      <c r="E86" s="44">
        <f t="shared" si="7"/>
        <v>6.0833333333333286</v>
      </c>
      <c r="F86" s="45">
        <f t="shared" si="8"/>
        <v>45664.083333333503</v>
      </c>
      <c r="G86" s="52">
        <v>41</v>
      </c>
      <c r="H86" s="53">
        <v>42</v>
      </c>
      <c r="I86" s="54">
        <v>10.9</v>
      </c>
      <c r="J86" s="54">
        <v>250</v>
      </c>
      <c r="K86" s="55">
        <v>0</v>
      </c>
      <c r="L86" s="56">
        <v>41</v>
      </c>
      <c r="M86" s="54">
        <v>10.9</v>
      </c>
      <c r="N86" s="54">
        <v>300</v>
      </c>
      <c r="O86" s="57">
        <v>0</v>
      </c>
      <c r="P86" s="53">
        <v>41</v>
      </c>
      <c r="Q86" s="54">
        <v>10.9</v>
      </c>
      <c r="R86" s="54">
        <v>0</v>
      </c>
      <c r="S86" s="55">
        <v>0</v>
      </c>
      <c r="T86" s="57">
        <v>17.8</v>
      </c>
      <c r="U86" s="56">
        <v>40</v>
      </c>
      <c r="V86" s="54">
        <v>10.8</v>
      </c>
      <c r="W86" s="55">
        <v>0</v>
      </c>
      <c r="X86" s="55">
        <v>0</v>
      </c>
      <c r="Y86" s="57">
        <v>11</v>
      </c>
      <c r="Z86" s="53">
        <v>39</v>
      </c>
      <c r="AA86" s="54">
        <v>10.8</v>
      </c>
      <c r="AB86" s="55">
        <v>0</v>
      </c>
      <c r="AC86" s="55">
        <v>0</v>
      </c>
      <c r="AD86" s="57">
        <v>7</v>
      </c>
      <c r="AE86" s="56">
        <v>37</v>
      </c>
      <c r="AF86" s="54">
        <v>10.7</v>
      </c>
      <c r="AG86" s="55">
        <v>0</v>
      </c>
      <c r="AH86" s="55">
        <v>0</v>
      </c>
      <c r="AI86" s="57">
        <v>14</v>
      </c>
      <c r="AJ86" s="56">
        <v>36</v>
      </c>
      <c r="AK86" s="54">
        <v>10.7</v>
      </c>
      <c r="AL86" s="54">
        <v>0</v>
      </c>
      <c r="AM86" s="54">
        <v>0</v>
      </c>
      <c r="AN86" s="57">
        <v>15</v>
      </c>
      <c r="AO86" s="53">
        <v>36</v>
      </c>
      <c r="AP86" s="54">
        <v>10.8</v>
      </c>
      <c r="AQ86" s="54">
        <v>250</v>
      </c>
      <c r="AR86" s="54">
        <v>0</v>
      </c>
      <c r="AS86" s="54">
        <v>17.2</v>
      </c>
      <c r="AT86" s="56">
        <v>24</v>
      </c>
      <c r="AU86" s="57">
        <v>170</v>
      </c>
      <c r="AV86" s="56">
        <v>73.470046997070298</v>
      </c>
      <c r="AW86" s="57">
        <v>297.73594315728792</v>
      </c>
      <c r="AX86" s="8"/>
      <c r="AZ86" s="1">
        <v>90</v>
      </c>
    </row>
    <row r="87" spans="3:52" ht="15" customHeight="1" x14ac:dyDescent="0.25">
      <c r="C87" s="42"/>
      <c r="D87" s="69">
        <f>D76</f>
        <v>45663</v>
      </c>
      <c r="E87" s="70">
        <f t="shared" si="7"/>
        <v>6.1666666666666616</v>
      </c>
      <c r="F87" s="71">
        <f t="shared" si="8"/>
        <v>45664.166666666839</v>
      </c>
      <c r="G87" s="60">
        <v>39</v>
      </c>
      <c r="H87" s="61">
        <v>41</v>
      </c>
      <c r="I87" s="62">
        <v>10.7</v>
      </c>
      <c r="J87" s="62">
        <v>300</v>
      </c>
      <c r="K87" s="63">
        <v>0</v>
      </c>
      <c r="L87" s="64">
        <v>40</v>
      </c>
      <c r="M87" s="62">
        <v>10.8</v>
      </c>
      <c r="N87" s="62">
        <v>300</v>
      </c>
      <c r="O87" s="65">
        <v>0</v>
      </c>
      <c r="P87" s="61">
        <v>40</v>
      </c>
      <c r="Q87" s="54">
        <v>10.8</v>
      </c>
      <c r="R87" s="62">
        <v>0</v>
      </c>
      <c r="S87" s="63">
        <v>0</v>
      </c>
      <c r="T87" s="57">
        <v>17</v>
      </c>
      <c r="U87" s="64">
        <v>39</v>
      </c>
      <c r="V87" s="54">
        <v>10.8</v>
      </c>
      <c r="W87" s="63">
        <v>0</v>
      </c>
      <c r="X87" s="63">
        <v>0</v>
      </c>
      <c r="Y87" s="65">
        <v>14</v>
      </c>
      <c r="Z87" s="61">
        <v>38</v>
      </c>
      <c r="AA87" s="62">
        <v>10.7</v>
      </c>
      <c r="AB87" s="63">
        <v>0</v>
      </c>
      <c r="AC87" s="63">
        <v>0</v>
      </c>
      <c r="AD87" s="65">
        <v>5</v>
      </c>
      <c r="AE87" s="64">
        <v>38</v>
      </c>
      <c r="AF87" s="62">
        <v>10.7</v>
      </c>
      <c r="AG87" s="63">
        <v>0</v>
      </c>
      <c r="AH87" s="63">
        <v>0</v>
      </c>
      <c r="AI87" s="65">
        <v>13.8</v>
      </c>
      <c r="AJ87" s="64">
        <v>38</v>
      </c>
      <c r="AK87" s="62">
        <v>10.8</v>
      </c>
      <c r="AL87" s="62">
        <v>0</v>
      </c>
      <c r="AM87" s="62">
        <v>0</v>
      </c>
      <c r="AN87" s="65">
        <v>14.8</v>
      </c>
      <c r="AO87" s="61">
        <v>37</v>
      </c>
      <c r="AP87" s="62">
        <v>10.8</v>
      </c>
      <c r="AQ87" s="62">
        <v>240</v>
      </c>
      <c r="AR87" s="62">
        <v>0</v>
      </c>
      <c r="AS87" s="62">
        <v>17</v>
      </c>
      <c r="AT87" s="64">
        <v>25</v>
      </c>
      <c r="AU87" s="65">
        <v>160</v>
      </c>
      <c r="AV87" s="64">
        <v>70.674636840820298</v>
      </c>
      <c r="AW87" s="65">
        <v>298.63594752947489</v>
      </c>
      <c r="AX87" s="8"/>
      <c r="AZ87" s="1">
        <v>90</v>
      </c>
    </row>
    <row r="88" spans="3:52" ht="15" customHeight="1" x14ac:dyDescent="0.25">
      <c r="C88" s="42">
        <f>C76+1</f>
        <v>7</v>
      </c>
      <c r="D88" s="66">
        <f>DATE([1]Dash!$F$3,VLOOKUP([1]Dash!$E$3,[1]Abb!$C$3:$D$14,2,FALSE),C88)</f>
        <v>45664</v>
      </c>
      <c r="E88" s="67">
        <f>E87+2/24</f>
        <v>6.2499999999999947</v>
      </c>
      <c r="F88" s="68">
        <f t="shared" si="8"/>
        <v>45664.250000000175</v>
      </c>
      <c r="G88" s="46">
        <v>37</v>
      </c>
      <c r="H88" s="47">
        <v>40</v>
      </c>
      <c r="I88" s="48">
        <v>10.6</v>
      </c>
      <c r="J88" s="48">
        <v>350</v>
      </c>
      <c r="K88" s="49">
        <v>0</v>
      </c>
      <c r="L88" s="50">
        <v>40</v>
      </c>
      <c r="M88" s="48">
        <v>10.7</v>
      </c>
      <c r="N88" s="48">
        <v>300</v>
      </c>
      <c r="O88" s="51">
        <v>0</v>
      </c>
      <c r="P88" s="47">
        <v>39</v>
      </c>
      <c r="Q88" s="48">
        <v>10.7</v>
      </c>
      <c r="R88" s="49">
        <v>0</v>
      </c>
      <c r="S88" s="49">
        <v>0</v>
      </c>
      <c r="T88" s="51">
        <v>17.8</v>
      </c>
      <c r="U88" s="50">
        <v>38</v>
      </c>
      <c r="V88" s="48">
        <v>10.7</v>
      </c>
      <c r="W88" s="49">
        <v>0</v>
      </c>
      <c r="X88" s="49">
        <v>0</v>
      </c>
      <c r="Y88" s="51">
        <v>15</v>
      </c>
      <c r="Z88" s="47">
        <v>38</v>
      </c>
      <c r="AA88" s="48">
        <v>10.6</v>
      </c>
      <c r="AB88" s="49">
        <v>0</v>
      </c>
      <c r="AC88" s="49">
        <v>0</v>
      </c>
      <c r="AD88" s="51">
        <v>7</v>
      </c>
      <c r="AE88" s="50">
        <v>37</v>
      </c>
      <c r="AF88" s="48">
        <v>10.7</v>
      </c>
      <c r="AG88" s="49">
        <v>0</v>
      </c>
      <c r="AH88" s="49">
        <v>0</v>
      </c>
      <c r="AI88" s="51">
        <v>10</v>
      </c>
      <c r="AJ88" s="50">
        <v>37</v>
      </c>
      <c r="AK88" s="48">
        <v>10.7</v>
      </c>
      <c r="AL88" s="48">
        <v>0</v>
      </c>
      <c r="AM88" s="48">
        <v>0</v>
      </c>
      <c r="AN88" s="51">
        <v>15</v>
      </c>
      <c r="AO88" s="47">
        <v>37</v>
      </c>
      <c r="AP88" s="48">
        <v>10.8</v>
      </c>
      <c r="AQ88" s="48">
        <v>250</v>
      </c>
      <c r="AR88" s="48">
        <v>0</v>
      </c>
      <c r="AS88" s="48">
        <v>17.2</v>
      </c>
      <c r="AT88" s="50">
        <v>24</v>
      </c>
      <c r="AU88" s="51">
        <v>170</v>
      </c>
      <c r="AV88" s="50">
        <v>70.52001953125</v>
      </c>
      <c r="AW88" s="51">
        <v>292.58463538487752</v>
      </c>
      <c r="AX88" s="8"/>
      <c r="AZ88" s="1">
        <v>90</v>
      </c>
    </row>
    <row r="89" spans="3:52" ht="15" customHeight="1" x14ac:dyDescent="0.25">
      <c r="C89" s="42"/>
      <c r="D89" s="43">
        <f>D88</f>
        <v>45664</v>
      </c>
      <c r="E89" s="44">
        <f>E88+2/24</f>
        <v>6.3333333333333277</v>
      </c>
      <c r="F89" s="45">
        <f t="shared" si="8"/>
        <v>45664.33333333351</v>
      </c>
      <c r="G89" s="52">
        <v>34</v>
      </c>
      <c r="H89" s="53">
        <v>39</v>
      </c>
      <c r="I89" s="54">
        <v>11.6</v>
      </c>
      <c r="J89" s="54">
        <v>300</v>
      </c>
      <c r="K89" s="55">
        <v>0</v>
      </c>
      <c r="L89" s="56">
        <v>41</v>
      </c>
      <c r="M89" s="54">
        <v>11.2</v>
      </c>
      <c r="N89" s="54">
        <v>300</v>
      </c>
      <c r="O89" s="57">
        <v>0</v>
      </c>
      <c r="P89" s="53">
        <v>38</v>
      </c>
      <c r="Q89" s="54">
        <v>10.9</v>
      </c>
      <c r="R89" s="55">
        <v>0</v>
      </c>
      <c r="S89" s="55">
        <v>0</v>
      </c>
      <c r="T89" s="57">
        <v>18.18</v>
      </c>
      <c r="U89" s="56">
        <v>37</v>
      </c>
      <c r="V89" s="54">
        <v>10.8</v>
      </c>
      <c r="W89" s="55">
        <v>0</v>
      </c>
      <c r="X89" s="55">
        <v>0</v>
      </c>
      <c r="Y89" s="57">
        <v>15</v>
      </c>
      <c r="Z89" s="53">
        <v>38</v>
      </c>
      <c r="AA89" s="54">
        <v>10.7</v>
      </c>
      <c r="AB89" s="55">
        <v>0</v>
      </c>
      <c r="AC89" s="55">
        <v>0</v>
      </c>
      <c r="AD89" s="57">
        <v>8.8000000000000007</v>
      </c>
      <c r="AE89" s="56">
        <v>37</v>
      </c>
      <c r="AF89" s="54">
        <v>10.7</v>
      </c>
      <c r="AG89" s="55">
        <v>0</v>
      </c>
      <c r="AH89" s="55">
        <v>0</v>
      </c>
      <c r="AI89" s="57">
        <v>6.6</v>
      </c>
      <c r="AJ89" s="56">
        <v>38</v>
      </c>
      <c r="AK89" s="54">
        <v>10.6</v>
      </c>
      <c r="AL89" s="54">
        <v>0</v>
      </c>
      <c r="AM89" s="54">
        <v>0</v>
      </c>
      <c r="AN89" s="57">
        <v>13.8</v>
      </c>
      <c r="AO89" s="53">
        <v>37</v>
      </c>
      <c r="AP89" s="54">
        <v>10.6</v>
      </c>
      <c r="AQ89" s="54">
        <v>270</v>
      </c>
      <c r="AR89" s="54">
        <v>0</v>
      </c>
      <c r="AS89" s="54">
        <v>13</v>
      </c>
      <c r="AT89" s="56">
        <v>29</v>
      </c>
      <c r="AU89" s="57">
        <v>220</v>
      </c>
      <c r="AV89" s="56">
        <v>65.9912109375</v>
      </c>
      <c r="AW89" s="57">
        <v>320.74544268747172</v>
      </c>
      <c r="AX89" s="8"/>
      <c r="AZ89" s="1">
        <v>90</v>
      </c>
    </row>
    <row r="90" spans="3:52" ht="15" customHeight="1" x14ac:dyDescent="0.25">
      <c r="C90" s="42"/>
      <c r="D90" s="43">
        <f>D88</f>
        <v>45664</v>
      </c>
      <c r="E90" s="44">
        <f t="shared" ref="E90:E99" si="9">E89+2/24</f>
        <v>6.4166666666666607</v>
      </c>
      <c r="F90" s="45">
        <f t="shared" si="8"/>
        <v>45664.416666666846</v>
      </c>
      <c r="G90" s="52">
        <v>0</v>
      </c>
      <c r="H90" s="53">
        <v>39</v>
      </c>
      <c r="I90" s="54">
        <v>11.7</v>
      </c>
      <c r="J90" s="54">
        <v>350</v>
      </c>
      <c r="K90" s="55">
        <v>0</v>
      </c>
      <c r="L90" s="56">
        <v>41</v>
      </c>
      <c r="M90" s="54">
        <v>11.2</v>
      </c>
      <c r="N90" s="54">
        <v>300</v>
      </c>
      <c r="O90" s="57">
        <v>0</v>
      </c>
      <c r="P90" s="53">
        <v>38</v>
      </c>
      <c r="Q90" s="54">
        <v>11.1</v>
      </c>
      <c r="R90" s="55">
        <v>0</v>
      </c>
      <c r="S90" s="55">
        <v>0</v>
      </c>
      <c r="T90" s="57">
        <v>18.8</v>
      </c>
      <c r="U90" s="56">
        <v>37</v>
      </c>
      <c r="V90" s="54">
        <v>10.9</v>
      </c>
      <c r="W90" s="55">
        <v>0</v>
      </c>
      <c r="X90" s="55">
        <v>0</v>
      </c>
      <c r="Y90" s="57">
        <v>14</v>
      </c>
      <c r="Z90" s="53">
        <v>38</v>
      </c>
      <c r="AA90" s="54">
        <v>10.8</v>
      </c>
      <c r="AB90" s="55">
        <v>0</v>
      </c>
      <c r="AC90" s="55">
        <v>0</v>
      </c>
      <c r="AD90" s="57">
        <v>14.4</v>
      </c>
      <c r="AE90" s="56">
        <v>38</v>
      </c>
      <c r="AF90" s="54">
        <v>10.8</v>
      </c>
      <c r="AG90" s="55">
        <v>0</v>
      </c>
      <c r="AH90" s="55">
        <v>0</v>
      </c>
      <c r="AI90" s="57">
        <v>7.6</v>
      </c>
      <c r="AJ90" s="56">
        <v>37</v>
      </c>
      <c r="AK90" s="54">
        <v>10.7</v>
      </c>
      <c r="AL90" s="54">
        <v>0</v>
      </c>
      <c r="AM90" s="54">
        <v>0</v>
      </c>
      <c r="AN90" s="57">
        <v>10.199999999999999</v>
      </c>
      <c r="AO90" s="53">
        <v>35</v>
      </c>
      <c r="AP90" s="54">
        <v>10.7</v>
      </c>
      <c r="AQ90" s="54">
        <v>230</v>
      </c>
      <c r="AR90" s="54">
        <v>0</v>
      </c>
      <c r="AS90" s="54">
        <v>17</v>
      </c>
      <c r="AT90" s="56">
        <v>27</v>
      </c>
      <c r="AU90" s="57">
        <v>180</v>
      </c>
      <c r="AV90" s="56">
        <v>70.849609375</v>
      </c>
      <c r="AW90" s="57">
        <v>315.90338009260597</v>
      </c>
      <c r="AX90" s="8"/>
      <c r="AZ90" s="1">
        <v>90</v>
      </c>
    </row>
    <row r="91" spans="3:52" ht="15" customHeight="1" x14ac:dyDescent="0.25">
      <c r="C91" s="42"/>
      <c r="D91" s="43">
        <f>D88</f>
        <v>45664</v>
      </c>
      <c r="E91" s="44">
        <f t="shared" si="9"/>
        <v>6.4999999999999938</v>
      </c>
      <c r="F91" s="45">
        <f t="shared" si="8"/>
        <v>45664.500000000182</v>
      </c>
      <c r="G91" s="52">
        <v>45</v>
      </c>
      <c r="H91" s="53">
        <v>40</v>
      </c>
      <c r="I91" s="54">
        <v>11.7</v>
      </c>
      <c r="J91" s="54">
        <v>350</v>
      </c>
      <c r="K91" s="55">
        <v>0</v>
      </c>
      <c r="L91" s="56">
        <v>40</v>
      </c>
      <c r="M91" s="54">
        <v>11.2</v>
      </c>
      <c r="N91" s="54">
        <v>300</v>
      </c>
      <c r="O91" s="57">
        <v>0</v>
      </c>
      <c r="P91" s="53">
        <v>38</v>
      </c>
      <c r="Q91" s="54">
        <v>11</v>
      </c>
      <c r="R91" s="55">
        <v>0</v>
      </c>
      <c r="S91" s="55">
        <v>0</v>
      </c>
      <c r="T91" s="57">
        <v>19.8</v>
      </c>
      <c r="U91" s="56">
        <v>37</v>
      </c>
      <c r="V91" s="54">
        <v>10.9</v>
      </c>
      <c r="W91" s="55">
        <v>0</v>
      </c>
      <c r="X91" s="55">
        <v>0</v>
      </c>
      <c r="Y91" s="57">
        <v>15</v>
      </c>
      <c r="Z91" s="53">
        <v>38</v>
      </c>
      <c r="AA91" s="54">
        <v>10.8</v>
      </c>
      <c r="AB91" s="55">
        <v>0</v>
      </c>
      <c r="AC91" s="55">
        <v>0</v>
      </c>
      <c r="AD91" s="57">
        <v>16</v>
      </c>
      <c r="AE91" s="56">
        <v>38</v>
      </c>
      <c r="AF91" s="54">
        <v>10.8</v>
      </c>
      <c r="AG91" s="55">
        <v>0</v>
      </c>
      <c r="AH91" s="55">
        <v>0</v>
      </c>
      <c r="AI91" s="57">
        <v>8</v>
      </c>
      <c r="AJ91" s="56">
        <v>37</v>
      </c>
      <c r="AK91" s="54">
        <v>10.7</v>
      </c>
      <c r="AL91" s="54">
        <v>0</v>
      </c>
      <c r="AM91" s="54">
        <v>0</v>
      </c>
      <c r="AN91" s="57">
        <v>8</v>
      </c>
      <c r="AO91" s="53">
        <v>35</v>
      </c>
      <c r="AP91" s="54">
        <v>10.7</v>
      </c>
      <c r="AQ91" s="54">
        <v>230</v>
      </c>
      <c r="AR91" s="54">
        <v>0</v>
      </c>
      <c r="AS91" s="54">
        <v>17</v>
      </c>
      <c r="AT91" s="56">
        <v>0</v>
      </c>
      <c r="AU91" s="57">
        <v>0</v>
      </c>
      <c r="AV91" s="56">
        <v>68.294265747070298</v>
      </c>
      <c r="AW91" s="57">
        <v>279.97480206377804</v>
      </c>
      <c r="AX91" s="8"/>
      <c r="AZ91" s="1">
        <v>90</v>
      </c>
    </row>
    <row r="92" spans="3:52" ht="15" customHeight="1" x14ac:dyDescent="0.25">
      <c r="C92" s="42"/>
      <c r="D92" s="43">
        <f>D88</f>
        <v>45664</v>
      </c>
      <c r="E92" s="44">
        <f t="shared" si="9"/>
        <v>6.5833333333333268</v>
      </c>
      <c r="F92" s="45">
        <f t="shared" si="8"/>
        <v>45664.583333333518</v>
      </c>
      <c r="G92" s="52">
        <v>40</v>
      </c>
      <c r="H92" s="53">
        <v>39</v>
      </c>
      <c r="I92" s="54">
        <v>11.3</v>
      </c>
      <c r="J92" s="54">
        <v>300</v>
      </c>
      <c r="K92" s="55">
        <v>0</v>
      </c>
      <c r="L92" s="56">
        <v>38</v>
      </c>
      <c r="M92" s="54">
        <v>11.2</v>
      </c>
      <c r="N92" s="54">
        <v>300</v>
      </c>
      <c r="O92" s="57">
        <v>0</v>
      </c>
      <c r="P92" s="53">
        <v>39</v>
      </c>
      <c r="Q92" s="54">
        <v>11.2</v>
      </c>
      <c r="R92" s="55">
        <v>0</v>
      </c>
      <c r="S92" s="55">
        <v>0</v>
      </c>
      <c r="T92" s="57">
        <v>19</v>
      </c>
      <c r="U92" s="56">
        <v>37</v>
      </c>
      <c r="V92" s="54">
        <v>11.1</v>
      </c>
      <c r="W92" s="55">
        <v>0</v>
      </c>
      <c r="X92" s="55">
        <v>0</v>
      </c>
      <c r="Y92" s="57">
        <v>12.6</v>
      </c>
      <c r="Z92" s="53">
        <v>38</v>
      </c>
      <c r="AA92" s="54">
        <v>10.9</v>
      </c>
      <c r="AB92" s="55">
        <v>0</v>
      </c>
      <c r="AC92" s="55">
        <v>0</v>
      </c>
      <c r="AD92" s="57">
        <v>16</v>
      </c>
      <c r="AE92" s="56">
        <v>37</v>
      </c>
      <c r="AF92" s="54">
        <v>10.8</v>
      </c>
      <c r="AG92" s="55">
        <v>0</v>
      </c>
      <c r="AH92" s="55">
        <v>0</v>
      </c>
      <c r="AI92" s="57">
        <v>10.4</v>
      </c>
      <c r="AJ92" s="56">
        <v>37</v>
      </c>
      <c r="AK92" s="54">
        <v>10.7</v>
      </c>
      <c r="AL92" s="54">
        <v>0</v>
      </c>
      <c r="AM92" s="54">
        <v>0</v>
      </c>
      <c r="AN92" s="57">
        <v>5.6</v>
      </c>
      <c r="AO92" s="53">
        <v>37</v>
      </c>
      <c r="AP92" s="54">
        <v>10.7</v>
      </c>
      <c r="AQ92" s="54">
        <v>270</v>
      </c>
      <c r="AR92" s="54">
        <v>0</v>
      </c>
      <c r="AS92" s="54">
        <v>17.399999999999999</v>
      </c>
      <c r="AT92" s="56">
        <v>28</v>
      </c>
      <c r="AU92" s="57">
        <v>200</v>
      </c>
      <c r="AV92" s="56">
        <v>67.936195373535199</v>
      </c>
      <c r="AW92" s="57">
        <v>320.17192319234215</v>
      </c>
      <c r="AX92" s="8"/>
      <c r="AZ92" s="1">
        <v>90</v>
      </c>
    </row>
    <row r="93" spans="3:52" ht="15" customHeight="1" x14ac:dyDescent="0.25">
      <c r="C93" s="42"/>
      <c r="D93" s="43">
        <f>D88</f>
        <v>45664</v>
      </c>
      <c r="E93" s="44">
        <f t="shared" si="9"/>
        <v>6.6666666666666599</v>
      </c>
      <c r="F93" s="45">
        <f t="shared" si="8"/>
        <v>45664.666666666853</v>
      </c>
      <c r="G93" s="52">
        <v>38</v>
      </c>
      <c r="H93" s="53">
        <v>37</v>
      </c>
      <c r="I93" s="54">
        <v>11.3</v>
      </c>
      <c r="J93" s="54">
        <v>200</v>
      </c>
      <c r="K93" s="55">
        <v>0</v>
      </c>
      <c r="L93" s="56">
        <v>37</v>
      </c>
      <c r="M93" s="54">
        <v>11.3</v>
      </c>
      <c r="N93" s="54">
        <v>250</v>
      </c>
      <c r="O93" s="57">
        <v>0</v>
      </c>
      <c r="P93" s="53">
        <v>38</v>
      </c>
      <c r="Q93" s="54">
        <v>11.2</v>
      </c>
      <c r="R93" s="55">
        <v>0</v>
      </c>
      <c r="S93" s="55">
        <v>0</v>
      </c>
      <c r="T93" s="57">
        <v>19</v>
      </c>
      <c r="U93" s="56">
        <v>36</v>
      </c>
      <c r="V93" s="54">
        <v>11.1</v>
      </c>
      <c r="W93" s="55">
        <v>0</v>
      </c>
      <c r="X93" s="55">
        <v>0</v>
      </c>
      <c r="Y93" s="57">
        <v>15</v>
      </c>
      <c r="Z93" s="53">
        <v>38</v>
      </c>
      <c r="AA93" s="54">
        <v>10.9</v>
      </c>
      <c r="AB93" s="55">
        <v>0</v>
      </c>
      <c r="AC93" s="55">
        <v>0</v>
      </c>
      <c r="AD93" s="57">
        <v>15</v>
      </c>
      <c r="AE93" s="56">
        <v>38</v>
      </c>
      <c r="AF93" s="54">
        <v>10.7</v>
      </c>
      <c r="AG93" s="55">
        <v>0</v>
      </c>
      <c r="AH93" s="55">
        <v>0</v>
      </c>
      <c r="AI93" s="57">
        <v>14</v>
      </c>
      <c r="AJ93" s="56">
        <v>36</v>
      </c>
      <c r="AK93" s="54">
        <v>10.6</v>
      </c>
      <c r="AL93" s="54">
        <v>0</v>
      </c>
      <c r="AM93" s="54">
        <v>0</v>
      </c>
      <c r="AN93" s="57">
        <v>7</v>
      </c>
      <c r="AO93" s="53">
        <v>36</v>
      </c>
      <c r="AP93" s="54">
        <v>10.7</v>
      </c>
      <c r="AQ93" s="54">
        <v>260</v>
      </c>
      <c r="AR93" s="54">
        <v>0</v>
      </c>
      <c r="AS93" s="54">
        <v>12</v>
      </c>
      <c r="AT93" s="56">
        <v>26</v>
      </c>
      <c r="AU93" s="57">
        <v>200</v>
      </c>
      <c r="AV93" s="56">
        <v>76.932777404785199</v>
      </c>
      <c r="AW93" s="57">
        <v>265.56737060546874</v>
      </c>
      <c r="AX93" s="8"/>
      <c r="AZ93" s="1">
        <v>90</v>
      </c>
    </row>
    <row r="94" spans="3:52" ht="15" customHeight="1" x14ac:dyDescent="0.25">
      <c r="C94" s="42"/>
      <c r="D94" s="43">
        <f>D88</f>
        <v>45664</v>
      </c>
      <c r="E94" s="44">
        <f t="shared" si="9"/>
        <v>6.7499999999999929</v>
      </c>
      <c r="F94" s="45">
        <f t="shared" si="8"/>
        <v>45664.750000000189</v>
      </c>
      <c r="G94" s="52">
        <v>38</v>
      </c>
      <c r="H94" s="53">
        <v>38</v>
      </c>
      <c r="I94" s="54">
        <v>11.3</v>
      </c>
      <c r="J94" s="54">
        <v>250</v>
      </c>
      <c r="K94" s="55">
        <v>0</v>
      </c>
      <c r="L94" s="56">
        <v>37</v>
      </c>
      <c r="M94" s="54">
        <v>11.3</v>
      </c>
      <c r="N94" s="54">
        <v>250</v>
      </c>
      <c r="O94" s="57">
        <v>0</v>
      </c>
      <c r="P94" s="53">
        <v>38</v>
      </c>
      <c r="Q94" s="54">
        <v>11.2</v>
      </c>
      <c r="R94" s="55">
        <v>0</v>
      </c>
      <c r="S94" s="55">
        <v>0</v>
      </c>
      <c r="T94" s="57">
        <v>19</v>
      </c>
      <c r="U94" s="56">
        <v>37</v>
      </c>
      <c r="V94" s="54">
        <v>11.1</v>
      </c>
      <c r="W94" s="55">
        <v>0</v>
      </c>
      <c r="X94" s="55">
        <v>0</v>
      </c>
      <c r="Y94" s="57">
        <v>15</v>
      </c>
      <c r="Z94" s="53">
        <v>38</v>
      </c>
      <c r="AA94" s="54">
        <v>10.8</v>
      </c>
      <c r="AB94" s="55">
        <v>0</v>
      </c>
      <c r="AC94" s="55">
        <v>0</v>
      </c>
      <c r="AD94" s="57">
        <v>15.4</v>
      </c>
      <c r="AE94" s="56">
        <v>37</v>
      </c>
      <c r="AF94" s="54">
        <v>10.7</v>
      </c>
      <c r="AG94" s="55">
        <v>0</v>
      </c>
      <c r="AH94" s="55">
        <v>0</v>
      </c>
      <c r="AI94" s="57">
        <v>16</v>
      </c>
      <c r="AJ94" s="56">
        <v>36</v>
      </c>
      <c r="AK94" s="54">
        <v>10.6</v>
      </c>
      <c r="AL94" s="54">
        <v>0</v>
      </c>
      <c r="AM94" s="54">
        <v>0</v>
      </c>
      <c r="AN94" s="57">
        <v>8</v>
      </c>
      <c r="AO94" s="53">
        <v>35</v>
      </c>
      <c r="AP94" s="54">
        <v>10.7</v>
      </c>
      <c r="AQ94" s="54">
        <v>250</v>
      </c>
      <c r="AR94" s="54">
        <v>0</v>
      </c>
      <c r="AS94" s="54">
        <v>8</v>
      </c>
      <c r="AT94" s="56">
        <v>25</v>
      </c>
      <c r="AU94" s="57">
        <v>200</v>
      </c>
      <c r="AV94" s="56">
        <v>68.965652465820298</v>
      </c>
      <c r="AW94" s="57">
        <v>268.79918967646859</v>
      </c>
      <c r="AX94" s="8"/>
      <c r="AZ94" s="1">
        <v>90</v>
      </c>
    </row>
    <row r="95" spans="3:52" ht="15" customHeight="1" x14ac:dyDescent="0.25">
      <c r="C95" s="42"/>
      <c r="D95" s="43">
        <f>D88</f>
        <v>45664</v>
      </c>
      <c r="E95" s="44">
        <f t="shared" si="9"/>
        <v>6.8333333333333259</v>
      </c>
      <c r="F95" s="45">
        <f t="shared" si="8"/>
        <v>45664.833333333525</v>
      </c>
      <c r="G95" s="52">
        <v>39</v>
      </c>
      <c r="H95" s="53">
        <v>35</v>
      </c>
      <c r="I95" s="54">
        <v>11</v>
      </c>
      <c r="J95" s="54">
        <v>250</v>
      </c>
      <c r="K95" s="55">
        <v>0</v>
      </c>
      <c r="L95" s="56">
        <v>39</v>
      </c>
      <c r="M95" s="54">
        <v>10.9</v>
      </c>
      <c r="N95" s="54">
        <v>300</v>
      </c>
      <c r="O95" s="57">
        <v>0</v>
      </c>
      <c r="P95" s="53">
        <v>37</v>
      </c>
      <c r="Q95" s="54">
        <v>10.9</v>
      </c>
      <c r="R95" s="55">
        <v>0</v>
      </c>
      <c r="S95" s="55">
        <v>0</v>
      </c>
      <c r="T95" s="57">
        <v>17</v>
      </c>
      <c r="U95" s="56">
        <v>37</v>
      </c>
      <c r="V95" s="54">
        <v>10.8</v>
      </c>
      <c r="W95" s="55">
        <v>0</v>
      </c>
      <c r="X95" s="55">
        <v>0</v>
      </c>
      <c r="Y95" s="57">
        <v>14</v>
      </c>
      <c r="Z95" s="53">
        <v>36</v>
      </c>
      <c r="AA95" s="54">
        <v>10.8</v>
      </c>
      <c r="AB95" s="55">
        <v>0</v>
      </c>
      <c r="AC95" s="55">
        <v>0</v>
      </c>
      <c r="AD95" s="57">
        <v>15</v>
      </c>
      <c r="AE95" s="56">
        <v>36</v>
      </c>
      <c r="AF95" s="54">
        <v>10.8</v>
      </c>
      <c r="AG95" s="55">
        <v>0</v>
      </c>
      <c r="AH95" s="55">
        <v>0</v>
      </c>
      <c r="AI95" s="57">
        <v>15</v>
      </c>
      <c r="AJ95" s="56">
        <v>36</v>
      </c>
      <c r="AK95" s="54">
        <v>10.8</v>
      </c>
      <c r="AL95" s="54">
        <v>0</v>
      </c>
      <c r="AM95" s="54">
        <v>0</v>
      </c>
      <c r="AN95" s="57">
        <v>11</v>
      </c>
      <c r="AO95" s="53">
        <v>36</v>
      </c>
      <c r="AP95" s="54">
        <v>10.8</v>
      </c>
      <c r="AQ95" s="54">
        <v>230</v>
      </c>
      <c r="AR95" s="54">
        <v>0</v>
      </c>
      <c r="AS95" s="54">
        <v>7</v>
      </c>
      <c r="AT95" s="56">
        <v>29</v>
      </c>
      <c r="AU95" s="57">
        <v>200</v>
      </c>
      <c r="AV95" s="56">
        <v>68.143714904785199</v>
      </c>
      <c r="AW95" s="57">
        <v>325.93882661697768</v>
      </c>
      <c r="AX95" s="8"/>
      <c r="AZ95" s="1">
        <v>90</v>
      </c>
    </row>
    <row r="96" spans="3:52" ht="15" customHeight="1" x14ac:dyDescent="0.25">
      <c r="C96" s="42"/>
      <c r="D96" s="43">
        <f>D88</f>
        <v>45664</v>
      </c>
      <c r="E96" s="44">
        <f t="shared" si="9"/>
        <v>6.916666666666659</v>
      </c>
      <c r="F96" s="45">
        <f t="shared" si="8"/>
        <v>45664.916666666861</v>
      </c>
      <c r="G96" s="52">
        <v>40</v>
      </c>
      <c r="H96" s="53">
        <v>38</v>
      </c>
      <c r="I96" s="54">
        <v>10.9</v>
      </c>
      <c r="J96" s="54">
        <v>300</v>
      </c>
      <c r="K96" s="55">
        <v>0</v>
      </c>
      <c r="L96" s="56">
        <v>39</v>
      </c>
      <c r="M96" s="54">
        <v>10.9</v>
      </c>
      <c r="N96" s="54">
        <v>300</v>
      </c>
      <c r="O96" s="57">
        <v>0</v>
      </c>
      <c r="P96" s="53">
        <v>39</v>
      </c>
      <c r="Q96" s="54">
        <v>10.8</v>
      </c>
      <c r="R96" s="55">
        <v>0</v>
      </c>
      <c r="S96" s="55">
        <v>0</v>
      </c>
      <c r="T96" s="57">
        <v>17.2</v>
      </c>
      <c r="U96" s="56">
        <v>38</v>
      </c>
      <c r="V96" s="54">
        <v>10.8</v>
      </c>
      <c r="W96" s="55">
        <v>0</v>
      </c>
      <c r="X96" s="55">
        <v>0</v>
      </c>
      <c r="Y96" s="57">
        <v>14.8</v>
      </c>
      <c r="Z96" s="53">
        <v>38</v>
      </c>
      <c r="AA96" s="54">
        <v>10.8</v>
      </c>
      <c r="AB96" s="55">
        <v>0</v>
      </c>
      <c r="AC96" s="55">
        <v>0</v>
      </c>
      <c r="AD96" s="57">
        <v>15</v>
      </c>
      <c r="AE96" s="56">
        <v>37</v>
      </c>
      <c r="AF96" s="54">
        <v>10.8</v>
      </c>
      <c r="AG96" s="55">
        <v>0</v>
      </c>
      <c r="AH96" s="55">
        <v>0</v>
      </c>
      <c r="AI96" s="57">
        <v>14.8</v>
      </c>
      <c r="AJ96" s="56">
        <v>37</v>
      </c>
      <c r="AK96" s="54">
        <v>10.8</v>
      </c>
      <c r="AL96" s="54">
        <v>0</v>
      </c>
      <c r="AM96" s="54">
        <v>0</v>
      </c>
      <c r="AN96" s="57">
        <v>12</v>
      </c>
      <c r="AO96" s="53">
        <v>36</v>
      </c>
      <c r="AP96" s="54">
        <v>10.8</v>
      </c>
      <c r="AQ96" s="54">
        <v>250</v>
      </c>
      <c r="AR96" s="54">
        <v>0</v>
      </c>
      <c r="AS96" s="54">
        <v>10</v>
      </c>
      <c r="AT96" s="56">
        <v>27</v>
      </c>
      <c r="AU96" s="57">
        <v>200</v>
      </c>
      <c r="AV96" s="56">
        <v>67.96875</v>
      </c>
      <c r="AW96" s="57">
        <v>325.28706100781761</v>
      </c>
      <c r="AX96" s="8"/>
      <c r="AZ96" s="1">
        <v>90</v>
      </c>
    </row>
    <row r="97" spans="3:52" ht="15" customHeight="1" x14ac:dyDescent="0.25">
      <c r="C97" s="42"/>
      <c r="D97" s="43">
        <f>D88</f>
        <v>45664</v>
      </c>
      <c r="E97" s="44">
        <f t="shared" si="9"/>
        <v>6.999999999999992</v>
      </c>
      <c r="F97" s="45">
        <f t="shared" si="8"/>
        <v>45665.000000000196</v>
      </c>
      <c r="G97" s="52">
        <v>43</v>
      </c>
      <c r="H97" s="53">
        <v>41</v>
      </c>
      <c r="I97" s="54">
        <v>10.9</v>
      </c>
      <c r="J97" s="54">
        <v>200</v>
      </c>
      <c r="K97" s="55">
        <v>0</v>
      </c>
      <c r="L97" s="56">
        <v>35</v>
      </c>
      <c r="M97" s="54">
        <v>10.9</v>
      </c>
      <c r="N97" s="54">
        <v>300</v>
      </c>
      <c r="O97" s="57">
        <v>0</v>
      </c>
      <c r="P97" s="53">
        <v>37</v>
      </c>
      <c r="Q97" s="54">
        <v>10.9</v>
      </c>
      <c r="R97" s="55">
        <v>0</v>
      </c>
      <c r="S97" s="55">
        <v>0</v>
      </c>
      <c r="T97" s="57">
        <v>17</v>
      </c>
      <c r="U97" s="56">
        <v>37</v>
      </c>
      <c r="V97" s="54">
        <v>10.8</v>
      </c>
      <c r="W97" s="55">
        <v>0</v>
      </c>
      <c r="X97" s="55">
        <v>0</v>
      </c>
      <c r="Y97" s="57">
        <v>15</v>
      </c>
      <c r="Z97" s="53">
        <v>37</v>
      </c>
      <c r="AA97" s="54">
        <v>10.8</v>
      </c>
      <c r="AB97" s="55">
        <v>0</v>
      </c>
      <c r="AC97" s="55">
        <v>0</v>
      </c>
      <c r="AD97" s="57">
        <v>15.8</v>
      </c>
      <c r="AE97" s="56">
        <v>36</v>
      </c>
      <c r="AF97" s="54">
        <v>10.7</v>
      </c>
      <c r="AG97" s="55">
        <v>0</v>
      </c>
      <c r="AH97" s="55">
        <v>0</v>
      </c>
      <c r="AI97" s="57">
        <v>14.8</v>
      </c>
      <c r="AJ97" s="56">
        <v>36</v>
      </c>
      <c r="AK97" s="54">
        <v>10.7</v>
      </c>
      <c r="AL97" s="54">
        <v>0</v>
      </c>
      <c r="AM97" s="54">
        <v>0</v>
      </c>
      <c r="AN97" s="57">
        <v>13</v>
      </c>
      <c r="AO97" s="53">
        <v>36</v>
      </c>
      <c r="AP97" s="54">
        <v>10.8</v>
      </c>
      <c r="AQ97" s="54">
        <v>210</v>
      </c>
      <c r="AR97" s="54">
        <v>0</v>
      </c>
      <c r="AS97" s="54">
        <v>11</v>
      </c>
      <c r="AT97" s="56">
        <v>25</v>
      </c>
      <c r="AU97" s="57">
        <v>190</v>
      </c>
      <c r="AV97" s="56">
        <v>64.762374877929702</v>
      </c>
      <c r="AW97" s="57">
        <v>331.88042462666829</v>
      </c>
      <c r="AX97" s="8"/>
      <c r="AZ97" s="1">
        <v>90</v>
      </c>
    </row>
    <row r="98" spans="3:52" ht="15" customHeight="1" x14ac:dyDescent="0.25">
      <c r="C98" s="42"/>
      <c r="D98" s="43">
        <f>D88</f>
        <v>45664</v>
      </c>
      <c r="E98" s="44">
        <f t="shared" si="9"/>
        <v>7.083333333333325</v>
      </c>
      <c r="F98" s="45">
        <f t="shared" si="8"/>
        <v>45665.083333333532</v>
      </c>
      <c r="G98" s="52">
        <v>41</v>
      </c>
      <c r="H98" s="53">
        <v>40</v>
      </c>
      <c r="I98" s="54">
        <v>10.9</v>
      </c>
      <c r="J98" s="54">
        <v>250</v>
      </c>
      <c r="K98" s="55">
        <v>0</v>
      </c>
      <c r="L98" s="56">
        <v>37</v>
      </c>
      <c r="M98" s="54">
        <v>10.8</v>
      </c>
      <c r="N98" s="54">
        <v>300</v>
      </c>
      <c r="O98" s="57">
        <v>0</v>
      </c>
      <c r="P98" s="53">
        <v>38</v>
      </c>
      <c r="Q98" s="54">
        <v>10.8</v>
      </c>
      <c r="R98" s="55">
        <v>0</v>
      </c>
      <c r="S98" s="55">
        <v>0</v>
      </c>
      <c r="T98" s="57">
        <v>17.8</v>
      </c>
      <c r="U98" s="56">
        <v>37</v>
      </c>
      <c r="V98" s="54">
        <v>10.7</v>
      </c>
      <c r="W98" s="55">
        <v>0</v>
      </c>
      <c r="X98" s="55">
        <v>0</v>
      </c>
      <c r="Y98" s="57">
        <v>15</v>
      </c>
      <c r="Z98" s="53">
        <v>36</v>
      </c>
      <c r="AA98" s="54">
        <v>10.7</v>
      </c>
      <c r="AB98" s="55">
        <v>0</v>
      </c>
      <c r="AC98" s="55">
        <v>0</v>
      </c>
      <c r="AD98" s="57">
        <v>15</v>
      </c>
      <c r="AE98" s="56">
        <v>37</v>
      </c>
      <c r="AF98" s="54">
        <v>10.7</v>
      </c>
      <c r="AG98" s="55">
        <v>0</v>
      </c>
      <c r="AH98" s="55">
        <v>0</v>
      </c>
      <c r="AI98" s="57">
        <v>14</v>
      </c>
      <c r="AJ98" s="56">
        <v>37</v>
      </c>
      <c r="AK98" s="54">
        <v>10.7</v>
      </c>
      <c r="AL98" s="54">
        <v>0</v>
      </c>
      <c r="AM98" s="54">
        <v>0</v>
      </c>
      <c r="AN98" s="57">
        <v>13</v>
      </c>
      <c r="AO98" s="53">
        <v>37</v>
      </c>
      <c r="AP98" s="54">
        <v>10.7</v>
      </c>
      <c r="AQ98" s="54">
        <v>210</v>
      </c>
      <c r="AR98" s="54">
        <v>0</v>
      </c>
      <c r="AS98" s="54">
        <v>11.2</v>
      </c>
      <c r="AT98" s="56">
        <v>25</v>
      </c>
      <c r="AU98" s="57">
        <v>190</v>
      </c>
      <c r="AV98" s="56">
        <v>65.189620971679702</v>
      </c>
      <c r="AW98" s="57">
        <v>326.34042269388834</v>
      </c>
      <c r="AX98" s="8"/>
      <c r="AZ98" s="1">
        <v>90</v>
      </c>
    </row>
    <row r="99" spans="3:52" ht="15" customHeight="1" x14ac:dyDescent="0.25">
      <c r="C99" s="42"/>
      <c r="D99" s="69">
        <f>D88</f>
        <v>45664</v>
      </c>
      <c r="E99" s="70">
        <f t="shared" si="9"/>
        <v>7.1666666666666581</v>
      </c>
      <c r="F99" s="71">
        <f t="shared" si="8"/>
        <v>45665.166666666868</v>
      </c>
      <c r="G99" s="60">
        <v>42</v>
      </c>
      <c r="H99" s="61">
        <v>39</v>
      </c>
      <c r="I99" s="62">
        <v>10.8</v>
      </c>
      <c r="J99" s="62">
        <v>250</v>
      </c>
      <c r="K99" s="63">
        <v>0</v>
      </c>
      <c r="L99" s="64">
        <v>38</v>
      </c>
      <c r="M99" s="62">
        <v>10.8</v>
      </c>
      <c r="N99" s="62">
        <v>300</v>
      </c>
      <c r="O99" s="65">
        <v>0</v>
      </c>
      <c r="P99" s="61">
        <v>38</v>
      </c>
      <c r="Q99" s="62">
        <v>10.7</v>
      </c>
      <c r="R99" s="63">
        <v>0</v>
      </c>
      <c r="S99" s="63">
        <v>0</v>
      </c>
      <c r="T99" s="65">
        <v>17</v>
      </c>
      <c r="U99" s="64">
        <v>38</v>
      </c>
      <c r="V99" s="62">
        <v>10.6</v>
      </c>
      <c r="W99" s="63">
        <v>0</v>
      </c>
      <c r="X99" s="63">
        <v>0</v>
      </c>
      <c r="Y99" s="65">
        <v>14</v>
      </c>
      <c r="Z99" s="61">
        <v>37</v>
      </c>
      <c r="AA99" s="62">
        <v>10.6</v>
      </c>
      <c r="AB99" s="63">
        <v>0</v>
      </c>
      <c r="AC99" s="63">
        <v>0</v>
      </c>
      <c r="AD99" s="65">
        <v>15</v>
      </c>
      <c r="AE99" s="64">
        <v>37</v>
      </c>
      <c r="AF99" s="62">
        <v>10.6</v>
      </c>
      <c r="AG99" s="63">
        <v>0</v>
      </c>
      <c r="AH99" s="63">
        <v>0</v>
      </c>
      <c r="AI99" s="65">
        <v>16</v>
      </c>
      <c r="AJ99" s="64">
        <v>37</v>
      </c>
      <c r="AK99" s="62">
        <v>10.7</v>
      </c>
      <c r="AL99" s="62">
        <v>0</v>
      </c>
      <c r="AM99" s="62">
        <v>0</v>
      </c>
      <c r="AN99" s="65">
        <v>13</v>
      </c>
      <c r="AO99" s="61">
        <v>38</v>
      </c>
      <c r="AP99" s="62">
        <v>10.7</v>
      </c>
      <c r="AQ99" s="62">
        <v>200</v>
      </c>
      <c r="AR99" s="62">
        <v>0</v>
      </c>
      <c r="AS99" s="62">
        <v>12</v>
      </c>
      <c r="AT99" s="64">
        <v>24</v>
      </c>
      <c r="AU99" s="65">
        <v>170</v>
      </c>
      <c r="AV99" s="64">
        <v>64.63623046875</v>
      </c>
      <c r="AW99" s="65">
        <v>333.88117243448892</v>
      </c>
      <c r="AX99" s="8"/>
      <c r="AZ99" s="1">
        <v>90</v>
      </c>
    </row>
    <row r="100" spans="3:52" ht="15" customHeight="1" x14ac:dyDescent="0.25">
      <c r="C100" s="42">
        <f>C88+1</f>
        <v>8</v>
      </c>
      <c r="D100" s="66">
        <f>DATE([1]Dash!$F$3,VLOOKUP([1]Dash!$E$3,[1]Abb!$C$3:$D$14,2,FALSE),C100)</f>
        <v>45665</v>
      </c>
      <c r="E100" s="67">
        <f>E99+2/24</f>
        <v>7.2499999999999911</v>
      </c>
      <c r="F100" s="68">
        <f t="shared" si="8"/>
        <v>45665.250000000204</v>
      </c>
      <c r="G100" s="46">
        <v>42</v>
      </c>
      <c r="H100" s="47">
        <v>40</v>
      </c>
      <c r="I100" s="48">
        <v>10.6</v>
      </c>
      <c r="J100" s="48">
        <v>300</v>
      </c>
      <c r="K100" s="49">
        <v>0</v>
      </c>
      <c r="L100" s="50">
        <v>39</v>
      </c>
      <c r="M100" s="48">
        <v>10.7</v>
      </c>
      <c r="N100" s="48">
        <v>350</v>
      </c>
      <c r="O100" s="51">
        <v>0</v>
      </c>
      <c r="P100" s="47">
        <v>39</v>
      </c>
      <c r="Q100" s="48">
        <v>10.7</v>
      </c>
      <c r="R100" s="49">
        <v>0</v>
      </c>
      <c r="S100" s="49">
        <v>0</v>
      </c>
      <c r="T100" s="51">
        <v>17.2</v>
      </c>
      <c r="U100" s="50">
        <v>39</v>
      </c>
      <c r="V100" s="48">
        <v>10.7</v>
      </c>
      <c r="W100" s="49">
        <v>0</v>
      </c>
      <c r="X100" s="49">
        <v>0</v>
      </c>
      <c r="Y100" s="51">
        <v>14.8</v>
      </c>
      <c r="Z100" s="47">
        <v>38</v>
      </c>
      <c r="AA100" s="48">
        <v>10.7</v>
      </c>
      <c r="AB100" s="49">
        <v>0</v>
      </c>
      <c r="AC100" s="49">
        <v>0</v>
      </c>
      <c r="AD100" s="51">
        <v>15</v>
      </c>
      <c r="AE100" s="50">
        <v>38</v>
      </c>
      <c r="AF100" s="48">
        <v>10.6</v>
      </c>
      <c r="AG100" s="49">
        <v>0</v>
      </c>
      <c r="AH100" s="49">
        <v>0</v>
      </c>
      <c r="AI100" s="51">
        <v>15</v>
      </c>
      <c r="AJ100" s="50">
        <v>37</v>
      </c>
      <c r="AK100" s="48">
        <v>10.6</v>
      </c>
      <c r="AL100" s="48">
        <v>0</v>
      </c>
      <c r="AM100" s="48">
        <v>0</v>
      </c>
      <c r="AN100" s="51">
        <v>13.2</v>
      </c>
      <c r="AO100" s="47">
        <v>37</v>
      </c>
      <c r="AP100" s="48">
        <v>10.7</v>
      </c>
      <c r="AQ100" s="48">
        <v>210</v>
      </c>
      <c r="AR100" s="48">
        <v>0</v>
      </c>
      <c r="AS100" s="48">
        <v>12</v>
      </c>
      <c r="AT100" s="50">
        <v>27</v>
      </c>
      <c r="AU100" s="51">
        <v>170</v>
      </c>
      <c r="AV100" s="50">
        <v>64.510086059570298</v>
      </c>
      <c r="AW100" s="51">
        <v>333.24194650650026</v>
      </c>
      <c r="AX100" s="8"/>
      <c r="AZ100" s="1">
        <v>90</v>
      </c>
    </row>
    <row r="101" spans="3:52" ht="15" customHeight="1" x14ac:dyDescent="0.25">
      <c r="C101" s="42"/>
      <c r="D101" s="43">
        <f>D100</f>
        <v>45665</v>
      </c>
      <c r="E101" s="44">
        <f>E100+2/24</f>
        <v>7.3333333333333242</v>
      </c>
      <c r="F101" s="45">
        <f t="shared" si="8"/>
        <v>45665.333333333539</v>
      </c>
      <c r="G101" s="52">
        <v>40</v>
      </c>
      <c r="H101" s="53">
        <v>40</v>
      </c>
      <c r="I101" s="54">
        <v>11.1</v>
      </c>
      <c r="J101" s="54">
        <v>350</v>
      </c>
      <c r="K101" s="55">
        <v>0</v>
      </c>
      <c r="L101" s="56">
        <v>40</v>
      </c>
      <c r="M101" s="54">
        <v>10.8</v>
      </c>
      <c r="N101" s="54">
        <v>250</v>
      </c>
      <c r="O101" s="57">
        <v>0</v>
      </c>
      <c r="P101" s="53">
        <v>38</v>
      </c>
      <c r="Q101" s="54">
        <v>10.9</v>
      </c>
      <c r="R101" s="55">
        <v>0</v>
      </c>
      <c r="S101" s="55">
        <v>0</v>
      </c>
      <c r="T101" s="57">
        <v>17</v>
      </c>
      <c r="U101" s="56">
        <v>38</v>
      </c>
      <c r="V101" s="54">
        <v>11</v>
      </c>
      <c r="W101" s="55">
        <v>0</v>
      </c>
      <c r="X101" s="55">
        <v>0</v>
      </c>
      <c r="Y101" s="57">
        <v>15</v>
      </c>
      <c r="Z101" s="53">
        <v>37</v>
      </c>
      <c r="AA101" s="54">
        <v>11</v>
      </c>
      <c r="AB101" s="55">
        <v>0</v>
      </c>
      <c r="AC101" s="55">
        <v>0</v>
      </c>
      <c r="AD101" s="57">
        <v>15</v>
      </c>
      <c r="AE101" s="56">
        <v>38</v>
      </c>
      <c r="AF101" s="54">
        <v>10.9</v>
      </c>
      <c r="AG101" s="55">
        <v>0</v>
      </c>
      <c r="AH101" s="55">
        <v>0</v>
      </c>
      <c r="AI101" s="57">
        <v>15.6</v>
      </c>
      <c r="AJ101" s="56">
        <v>35</v>
      </c>
      <c r="AK101" s="54">
        <v>10.9</v>
      </c>
      <c r="AL101" s="54">
        <v>0</v>
      </c>
      <c r="AM101" s="54">
        <v>0</v>
      </c>
      <c r="AN101" s="57">
        <v>12</v>
      </c>
      <c r="AO101" s="53">
        <v>36</v>
      </c>
      <c r="AP101" s="54">
        <v>10.9</v>
      </c>
      <c r="AQ101" s="54">
        <v>270</v>
      </c>
      <c r="AR101" s="54">
        <v>0</v>
      </c>
      <c r="AS101" s="54">
        <v>12</v>
      </c>
      <c r="AT101" s="56">
        <v>30</v>
      </c>
      <c r="AU101" s="57">
        <v>170</v>
      </c>
      <c r="AV101" s="56">
        <v>64.994308471679702</v>
      </c>
      <c r="AW101" s="57">
        <v>333.0607398668925</v>
      </c>
      <c r="AX101" s="8"/>
      <c r="AZ101" s="1">
        <v>90</v>
      </c>
    </row>
    <row r="102" spans="3:52" ht="15" customHeight="1" x14ac:dyDescent="0.25">
      <c r="C102" s="42"/>
      <c r="D102" s="43">
        <f>D100</f>
        <v>45665</v>
      </c>
      <c r="E102" s="44">
        <f t="shared" ref="E102:E111" si="10">E101+2/24</f>
        <v>7.4166666666666572</v>
      </c>
      <c r="F102" s="45">
        <f t="shared" si="8"/>
        <v>45665.416666666875</v>
      </c>
      <c r="G102" s="52">
        <v>40</v>
      </c>
      <c r="H102" s="53">
        <v>40</v>
      </c>
      <c r="I102" s="54">
        <v>11.1</v>
      </c>
      <c r="J102" s="54">
        <v>350</v>
      </c>
      <c r="K102" s="55">
        <v>0</v>
      </c>
      <c r="L102" s="56">
        <v>40</v>
      </c>
      <c r="M102" s="54">
        <v>10.8</v>
      </c>
      <c r="N102" s="54">
        <v>250</v>
      </c>
      <c r="O102" s="57">
        <v>0</v>
      </c>
      <c r="P102" s="53">
        <v>38</v>
      </c>
      <c r="Q102" s="54">
        <v>10.9</v>
      </c>
      <c r="R102" s="55">
        <v>0</v>
      </c>
      <c r="S102" s="55">
        <v>0</v>
      </c>
      <c r="T102" s="57">
        <v>17</v>
      </c>
      <c r="U102" s="56">
        <v>38</v>
      </c>
      <c r="V102" s="54">
        <v>11</v>
      </c>
      <c r="W102" s="55">
        <v>0</v>
      </c>
      <c r="X102" s="55">
        <v>0</v>
      </c>
      <c r="Y102" s="57">
        <v>15</v>
      </c>
      <c r="Z102" s="53">
        <v>37</v>
      </c>
      <c r="AA102" s="54">
        <v>11</v>
      </c>
      <c r="AB102" s="55">
        <v>0</v>
      </c>
      <c r="AC102" s="55">
        <v>0</v>
      </c>
      <c r="AD102" s="57">
        <v>15</v>
      </c>
      <c r="AE102" s="56">
        <v>37</v>
      </c>
      <c r="AF102" s="54">
        <v>10.9</v>
      </c>
      <c r="AG102" s="55">
        <v>0</v>
      </c>
      <c r="AH102" s="55">
        <v>0</v>
      </c>
      <c r="AI102" s="57">
        <v>15.6</v>
      </c>
      <c r="AJ102" s="56">
        <v>36</v>
      </c>
      <c r="AK102" s="54">
        <v>10.9</v>
      </c>
      <c r="AL102" s="54">
        <v>0</v>
      </c>
      <c r="AM102" s="54">
        <v>0</v>
      </c>
      <c r="AN102" s="57">
        <v>12</v>
      </c>
      <c r="AO102" s="53">
        <v>36</v>
      </c>
      <c r="AP102" s="54">
        <v>10.9</v>
      </c>
      <c r="AQ102" s="54">
        <v>270</v>
      </c>
      <c r="AR102" s="54">
        <v>0</v>
      </c>
      <c r="AS102" s="54">
        <v>11.8</v>
      </c>
      <c r="AT102" s="56">
        <v>30</v>
      </c>
      <c r="AU102" s="57">
        <v>170</v>
      </c>
      <c r="AV102" s="56">
        <v>65.58837890625</v>
      </c>
      <c r="AW102" s="57">
        <v>333.26244246164958</v>
      </c>
      <c r="AX102" s="8"/>
      <c r="AZ102" s="1">
        <v>90</v>
      </c>
    </row>
    <row r="103" spans="3:52" ht="15" customHeight="1" x14ac:dyDescent="0.25">
      <c r="C103" s="42"/>
      <c r="D103" s="43">
        <f>D100</f>
        <v>45665</v>
      </c>
      <c r="E103" s="44">
        <f t="shared" si="10"/>
        <v>7.4999999999999902</v>
      </c>
      <c r="F103" s="45">
        <f t="shared" si="8"/>
        <v>45665.500000000211</v>
      </c>
      <c r="G103" s="52">
        <v>38</v>
      </c>
      <c r="H103" s="53">
        <v>40</v>
      </c>
      <c r="I103" s="54">
        <v>11.2</v>
      </c>
      <c r="J103" s="54">
        <v>350</v>
      </c>
      <c r="K103" s="55">
        <v>0</v>
      </c>
      <c r="L103" s="56">
        <v>39</v>
      </c>
      <c r="M103" s="54">
        <v>10.8</v>
      </c>
      <c r="N103" s="54">
        <v>250</v>
      </c>
      <c r="O103" s="57">
        <v>0</v>
      </c>
      <c r="P103" s="53">
        <v>38</v>
      </c>
      <c r="Q103" s="54">
        <v>10.8</v>
      </c>
      <c r="R103" s="55">
        <v>0</v>
      </c>
      <c r="S103" s="55">
        <v>0</v>
      </c>
      <c r="T103" s="57">
        <v>17.2</v>
      </c>
      <c r="U103" s="56">
        <v>38</v>
      </c>
      <c r="V103" s="54">
        <v>10.9</v>
      </c>
      <c r="W103" s="55">
        <v>0</v>
      </c>
      <c r="X103" s="55">
        <v>0</v>
      </c>
      <c r="Y103" s="57">
        <v>15</v>
      </c>
      <c r="Z103" s="53">
        <v>37</v>
      </c>
      <c r="AA103" s="54">
        <v>11</v>
      </c>
      <c r="AB103" s="55">
        <v>0</v>
      </c>
      <c r="AC103" s="55">
        <v>0</v>
      </c>
      <c r="AD103" s="57">
        <v>15</v>
      </c>
      <c r="AE103" s="56">
        <v>36</v>
      </c>
      <c r="AF103" s="54">
        <v>10.9</v>
      </c>
      <c r="AG103" s="55">
        <v>0</v>
      </c>
      <c r="AH103" s="55">
        <v>0</v>
      </c>
      <c r="AI103" s="57">
        <v>15.4</v>
      </c>
      <c r="AJ103" s="56">
        <v>35</v>
      </c>
      <c r="AK103" s="54">
        <v>10.9</v>
      </c>
      <c r="AL103" s="54">
        <v>0</v>
      </c>
      <c r="AM103" s="54">
        <v>0</v>
      </c>
      <c r="AN103" s="57">
        <v>12.2</v>
      </c>
      <c r="AO103" s="53">
        <v>34</v>
      </c>
      <c r="AP103" s="54">
        <v>10.9</v>
      </c>
      <c r="AQ103" s="54">
        <v>250</v>
      </c>
      <c r="AR103" s="54">
        <v>0</v>
      </c>
      <c r="AS103" s="54">
        <v>11.8</v>
      </c>
      <c r="AT103" s="56">
        <v>28</v>
      </c>
      <c r="AU103" s="57">
        <v>150</v>
      </c>
      <c r="AV103" s="56">
        <v>64.74609375</v>
      </c>
      <c r="AW103" s="57">
        <v>334.59418373107911</v>
      </c>
      <c r="AX103" s="8"/>
      <c r="AZ103" s="1">
        <v>90</v>
      </c>
    </row>
    <row r="104" spans="3:52" ht="15" customHeight="1" x14ac:dyDescent="0.25">
      <c r="C104" s="42"/>
      <c r="D104" s="43">
        <f>D100</f>
        <v>45665</v>
      </c>
      <c r="E104" s="44">
        <f t="shared" si="10"/>
        <v>7.5833333333333233</v>
      </c>
      <c r="F104" s="45">
        <f t="shared" si="8"/>
        <v>45665.583333333547</v>
      </c>
      <c r="G104" s="52">
        <v>38</v>
      </c>
      <c r="H104" s="53">
        <v>39</v>
      </c>
      <c r="I104" s="54">
        <v>11.1</v>
      </c>
      <c r="J104" s="54">
        <v>350</v>
      </c>
      <c r="K104" s="55">
        <v>0</v>
      </c>
      <c r="L104" s="56">
        <v>39</v>
      </c>
      <c r="M104" s="54">
        <v>10.9</v>
      </c>
      <c r="N104" s="54">
        <v>250</v>
      </c>
      <c r="O104" s="57">
        <v>0</v>
      </c>
      <c r="P104" s="53">
        <v>38</v>
      </c>
      <c r="Q104" s="54">
        <v>10.8</v>
      </c>
      <c r="R104" s="55">
        <v>0</v>
      </c>
      <c r="S104" s="55">
        <v>0</v>
      </c>
      <c r="T104" s="57">
        <v>17.600000000000001</v>
      </c>
      <c r="U104" s="56">
        <v>37</v>
      </c>
      <c r="V104" s="54">
        <v>11</v>
      </c>
      <c r="W104" s="55">
        <v>0</v>
      </c>
      <c r="X104" s="55">
        <v>0</v>
      </c>
      <c r="Y104" s="57">
        <v>14.2</v>
      </c>
      <c r="Z104" s="53">
        <v>38</v>
      </c>
      <c r="AA104" s="54">
        <v>11</v>
      </c>
      <c r="AB104" s="55">
        <v>0</v>
      </c>
      <c r="AC104" s="55">
        <v>0</v>
      </c>
      <c r="AD104" s="57">
        <v>15.2</v>
      </c>
      <c r="AE104" s="56">
        <v>36</v>
      </c>
      <c r="AF104" s="54">
        <v>10.9</v>
      </c>
      <c r="AG104" s="55">
        <v>0</v>
      </c>
      <c r="AH104" s="55">
        <v>0</v>
      </c>
      <c r="AI104" s="57">
        <v>15</v>
      </c>
      <c r="AJ104" s="56">
        <v>36</v>
      </c>
      <c r="AK104" s="54">
        <v>10.9</v>
      </c>
      <c r="AL104" s="54">
        <v>0</v>
      </c>
      <c r="AM104" s="54">
        <v>0</v>
      </c>
      <c r="AN104" s="57">
        <v>12</v>
      </c>
      <c r="AO104" s="53">
        <v>34</v>
      </c>
      <c r="AP104" s="54">
        <v>10.9</v>
      </c>
      <c r="AQ104" s="54">
        <v>250</v>
      </c>
      <c r="AR104" s="54">
        <v>0</v>
      </c>
      <c r="AS104" s="54">
        <v>12</v>
      </c>
      <c r="AT104" s="56">
        <v>28</v>
      </c>
      <c r="AU104" s="57">
        <v>150</v>
      </c>
      <c r="AV104" s="56">
        <v>64.7216796875</v>
      </c>
      <c r="AW104" s="57">
        <v>337.28660316467284</v>
      </c>
      <c r="AX104" s="8"/>
      <c r="AZ104" s="1">
        <v>90</v>
      </c>
    </row>
    <row r="105" spans="3:52" ht="15" customHeight="1" x14ac:dyDescent="0.25">
      <c r="C105" s="42"/>
      <c r="D105" s="43">
        <f>D100</f>
        <v>45665</v>
      </c>
      <c r="E105" s="44">
        <f t="shared" si="10"/>
        <v>7.6666666666666563</v>
      </c>
      <c r="F105" s="45">
        <f t="shared" si="8"/>
        <v>45665.666666666883</v>
      </c>
      <c r="G105" s="52">
        <v>38</v>
      </c>
      <c r="H105" s="53">
        <v>39</v>
      </c>
      <c r="I105" s="54">
        <v>11.2</v>
      </c>
      <c r="J105" s="54">
        <v>350</v>
      </c>
      <c r="K105" s="55">
        <v>0</v>
      </c>
      <c r="L105" s="56">
        <v>38</v>
      </c>
      <c r="M105" s="54">
        <v>10.9</v>
      </c>
      <c r="N105" s="54">
        <v>300</v>
      </c>
      <c r="O105" s="57">
        <v>0</v>
      </c>
      <c r="P105" s="53">
        <v>38</v>
      </c>
      <c r="Q105" s="54">
        <v>10.8</v>
      </c>
      <c r="R105" s="55">
        <v>0</v>
      </c>
      <c r="S105" s="55">
        <v>0</v>
      </c>
      <c r="T105" s="57">
        <v>17.2</v>
      </c>
      <c r="U105" s="56">
        <v>36</v>
      </c>
      <c r="V105" s="54">
        <v>10.8</v>
      </c>
      <c r="W105" s="55">
        <v>0</v>
      </c>
      <c r="X105" s="55">
        <v>0</v>
      </c>
      <c r="Y105" s="57">
        <v>14</v>
      </c>
      <c r="Z105" s="53">
        <v>38</v>
      </c>
      <c r="AA105" s="54">
        <v>10.8</v>
      </c>
      <c r="AB105" s="55">
        <v>0</v>
      </c>
      <c r="AC105" s="55">
        <v>0</v>
      </c>
      <c r="AD105" s="57">
        <v>15</v>
      </c>
      <c r="AE105" s="56">
        <v>37</v>
      </c>
      <c r="AF105" s="54">
        <v>10.8</v>
      </c>
      <c r="AG105" s="55">
        <v>0</v>
      </c>
      <c r="AH105" s="55">
        <v>0</v>
      </c>
      <c r="AI105" s="57">
        <v>15.2</v>
      </c>
      <c r="AJ105" s="56">
        <v>35</v>
      </c>
      <c r="AK105" s="54">
        <v>10.8</v>
      </c>
      <c r="AL105" s="54">
        <v>0</v>
      </c>
      <c r="AM105" s="54">
        <v>0</v>
      </c>
      <c r="AN105" s="57">
        <v>13</v>
      </c>
      <c r="AO105" s="53">
        <v>35</v>
      </c>
      <c r="AP105" s="54">
        <v>10.9</v>
      </c>
      <c r="AQ105" s="54">
        <v>250</v>
      </c>
      <c r="AR105" s="54">
        <v>0</v>
      </c>
      <c r="AS105" s="54">
        <v>15.6</v>
      </c>
      <c r="AT105" s="56">
        <v>29</v>
      </c>
      <c r="AU105" s="57">
        <v>160</v>
      </c>
      <c r="AV105" s="56">
        <v>64.444992065429702</v>
      </c>
      <c r="AW105" s="57">
        <v>338.62618141174318</v>
      </c>
      <c r="AX105" s="8"/>
      <c r="AZ105" s="1">
        <v>90</v>
      </c>
    </row>
    <row r="106" spans="3:52" ht="15" customHeight="1" x14ac:dyDescent="0.25">
      <c r="C106" s="42"/>
      <c r="D106" s="43">
        <f>D100</f>
        <v>45665</v>
      </c>
      <c r="E106" s="44">
        <f t="shared" si="10"/>
        <v>7.7499999999999893</v>
      </c>
      <c r="F106" s="45">
        <f t="shared" si="8"/>
        <v>45665.750000000218</v>
      </c>
      <c r="G106" s="52">
        <v>39</v>
      </c>
      <c r="H106" s="53">
        <v>40</v>
      </c>
      <c r="I106" s="54">
        <v>11.3</v>
      </c>
      <c r="J106" s="54">
        <v>350</v>
      </c>
      <c r="K106" s="55">
        <v>0</v>
      </c>
      <c r="L106" s="56">
        <v>39</v>
      </c>
      <c r="M106" s="54">
        <v>11</v>
      </c>
      <c r="N106" s="54">
        <v>300</v>
      </c>
      <c r="O106" s="57">
        <v>0</v>
      </c>
      <c r="P106" s="53">
        <v>38</v>
      </c>
      <c r="Q106" s="54">
        <v>10.9</v>
      </c>
      <c r="R106" s="55">
        <v>0</v>
      </c>
      <c r="S106" s="55">
        <v>0</v>
      </c>
      <c r="T106" s="57">
        <v>17.2</v>
      </c>
      <c r="U106" s="56">
        <v>37</v>
      </c>
      <c r="V106" s="54">
        <v>10.8</v>
      </c>
      <c r="W106" s="55">
        <v>0</v>
      </c>
      <c r="X106" s="55">
        <v>0</v>
      </c>
      <c r="Y106" s="57">
        <v>13.8</v>
      </c>
      <c r="Z106" s="53">
        <v>38</v>
      </c>
      <c r="AA106" s="54">
        <v>10.8</v>
      </c>
      <c r="AB106" s="55">
        <v>0</v>
      </c>
      <c r="AC106" s="55">
        <v>0</v>
      </c>
      <c r="AD106" s="57">
        <v>15</v>
      </c>
      <c r="AE106" s="56">
        <v>38</v>
      </c>
      <c r="AF106" s="54">
        <v>10.8</v>
      </c>
      <c r="AG106" s="55">
        <v>0</v>
      </c>
      <c r="AH106" s="55">
        <v>0</v>
      </c>
      <c r="AI106" s="57">
        <v>15.2</v>
      </c>
      <c r="AJ106" s="56">
        <v>34</v>
      </c>
      <c r="AK106" s="54">
        <v>10.8</v>
      </c>
      <c r="AL106" s="54">
        <v>0</v>
      </c>
      <c r="AM106" s="54">
        <v>0</v>
      </c>
      <c r="AN106" s="57">
        <v>13</v>
      </c>
      <c r="AO106" s="53">
        <v>33</v>
      </c>
      <c r="AP106" s="54">
        <v>10.9</v>
      </c>
      <c r="AQ106" s="54">
        <v>250</v>
      </c>
      <c r="AR106" s="54">
        <v>0</v>
      </c>
      <c r="AS106" s="54">
        <v>19</v>
      </c>
      <c r="AT106" s="56">
        <v>27</v>
      </c>
      <c r="AU106" s="57">
        <v>170</v>
      </c>
      <c r="AV106" s="56">
        <v>64.375808715820298</v>
      </c>
      <c r="AW106" s="57">
        <v>341.20804402033485</v>
      </c>
      <c r="AX106" s="8"/>
      <c r="AZ106" s="1">
        <v>90</v>
      </c>
    </row>
    <row r="107" spans="3:52" ht="15" customHeight="1" x14ac:dyDescent="0.25">
      <c r="C107" s="42"/>
      <c r="D107" s="43">
        <f>D100</f>
        <v>45665</v>
      </c>
      <c r="E107" s="44">
        <f t="shared" si="10"/>
        <v>7.8333333333333224</v>
      </c>
      <c r="F107" s="45">
        <f t="shared" si="8"/>
        <v>45665.833333333554</v>
      </c>
      <c r="G107" s="52">
        <v>36</v>
      </c>
      <c r="H107" s="53">
        <v>42</v>
      </c>
      <c r="I107" s="54">
        <v>11</v>
      </c>
      <c r="J107" s="54">
        <v>300</v>
      </c>
      <c r="K107" s="55">
        <v>0</v>
      </c>
      <c r="L107" s="56">
        <v>41</v>
      </c>
      <c r="M107" s="54">
        <v>10.9</v>
      </c>
      <c r="N107" s="54">
        <v>300</v>
      </c>
      <c r="O107" s="57">
        <v>0</v>
      </c>
      <c r="P107" s="53">
        <v>40</v>
      </c>
      <c r="Q107" s="54">
        <v>10.9</v>
      </c>
      <c r="R107" s="55">
        <v>0</v>
      </c>
      <c r="S107" s="55">
        <v>0</v>
      </c>
      <c r="T107" s="57">
        <v>18</v>
      </c>
      <c r="U107" s="56">
        <v>39</v>
      </c>
      <c r="V107" s="54">
        <v>10.8</v>
      </c>
      <c r="W107" s="55">
        <v>0</v>
      </c>
      <c r="X107" s="55">
        <v>0</v>
      </c>
      <c r="Y107" s="57">
        <v>13</v>
      </c>
      <c r="Z107" s="53">
        <v>39</v>
      </c>
      <c r="AA107" s="54">
        <v>10.8</v>
      </c>
      <c r="AB107" s="55">
        <v>0</v>
      </c>
      <c r="AC107" s="55">
        <v>0</v>
      </c>
      <c r="AD107" s="57">
        <v>15.4</v>
      </c>
      <c r="AE107" s="56">
        <v>39</v>
      </c>
      <c r="AF107" s="54">
        <v>10.8</v>
      </c>
      <c r="AG107" s="55">
        <v>0</v>
      </c>
      <c r="AH107" s="55">
        <v>0</v>
      </c>
      <c r="AI107" s="57">
        <v>15</v>
      </c>
      <c r="AJ107" s="56">
        <v>39</v>
      </c>
      <c r="AK107" s="54">
        <v>10.8</v>
      </c>
      <c r="AL107" s="54">
        <v>0</v>
      </c>
      <c r="AM107" s="54">
        <v>0</v>
      </c>
      <c r="AN107" s="57">
        <v>13</v>
      </c>
      <c r="AO107" s="53">
        <v>35</v>
      </c>
      <c r="AP107" s="54">
        <v>10.9</v>
      </c>
      <c r="AQ107" s="54">
        <v>190</v>
      </c>
      <c r="AR107" s="54">
        <v>0</v>
      </c>
      <c r="AS107" s="54">
        <v>19</v>
      </c>
      <c r="AT107" s="56">
        <v>24</v>
      </c>
      <c r="AU107" s="57">
        <v>160</v>
      </c>
      <c r="AV107" s="56">
        <v>64.58740234375</v>
      </c>
      <c r="AW107" s="57">
        <v>343.12982225418091</v>
      </c>
      <c r="AX107" s="8"/>
      <c r="AZ107" s="1">
        <v>90</v>
      </c>
    </row>
    <row r="108" spans="3:52" ht="15" customHeight="1" x14ac:dyDescent="0.25">
      <c r="C108" s="42"/>
      <c r="D108" s="43">
        <f>D100</f>
        <v>45665</v>
      </c>
      <c r="E108" s="44">
        <f t="shared" si="10"/>
        <v>7.9166666666666554</v>
      </c>
      <c r="F108" s="45">
        <f t="shared" si="8"/>
        <v>45665.91666666689</v>
      </c>
      <c r="G108" s="52">
        <v>40</v>
      </c>
      <c r="H108" s="53">
        <v>43</v>
      </c>
      <c r="I108" s="54">
        <v>10.9</v>
      </c>
      <c r="J108" s="54">
        <v>300</v>
      </c>
      <c r="K108" s="55">
        <v>0</v>
      </c>
      <c r="L108" s="56">
        <v>41</v>
      </c>
      <c r="M108" s="54">
        <v>10.8</v>
      </c>
      <c r="N108" s="54">
        <v>300</v>
      </c>
      <c r="O108" s="57">
        <v>0</v>
      </c>
      <c r="P108" s="53">
        <v>40</v>
      </c>
      <c r="Q108" s="54">
        <v>10.8</v>
      </c>
      <c r="R108" s="55">
        <v>0</v>
      </c>
      <c r="S108" s="55">
        <v>0</v>
      </c>
      <c r="T108" s="57">
        <v>17.600000000000001</v>
      </c>
      <c r="U108" s="56">
        <v>38</v>
      </c>
      <c r="V108" s="54">
        <v>10.8</v>
      </c>
      <c r="W108" s="55">
        <v>0</v>
      </c>
      <c r="X108" s="55">
        <v>0</v>
      </c>
      <c r="Y108" s="57">
        <v>13.2</v>
      </c>
      <c r="Z108" s="53">
        <v>38</v>
      </c>
      <c r="AA108" s="54">
        <v>10.7</v>
      </c>
      <c r="AB108" s="55">
        <v>0</v>
      </c>
      <c r="AC108" s="55">
        <v>0</v>
      </c>
      <c r="AD108" s="57">
        <v>15</v>
      </c>
      <c r="AE108" s="56">
        <v>38</v>
      </c>
      <c r="AF108" s="54">
        <v>10.7</v>
      </c>
      <c r="AG108" s="55">
        <v>0</v>
      </c>
      <c r="AH108" s="55">
        <v>0</v>
      </c>
      <c r="AI108" s="57">
        <v>15</v>
      </c>
      <c r="AJ108" s="56">
        <v>39</v>
      </c>
      <c r="AK108" s="54">
        <v>10.7</v>
      </c>
      <c r="AL108" s="54">
        <v>0</v>
      </c>
      <c r="AM108" s="54">
        <v>0</v>
      </c>
      <c r="AN108" s="57">
        <v>13.2</v>
      </c>
      <c r="AO108" s="53">
        <v>36</v>
      </c>
      <c r="AP108" s="54">
        <v>10.8</v>
      </c>
      <c r="AQ108" s="54">
        <v>180</v>
      </c>
      <c r="AR108" s="54">
        <v>0</v>
      </c>
      <c r="AS108" s="54">
        <v>18.399999999999999</v>
      </c>
      <c r="AT108" s="56">
        <v>25</v>
      </c>
      <c r="AU108" s="57">
        <v>160</v>
      </c>
      <c r="AV108" s="56">
        <v>62.654621124267599</v>
      </c>
      <c r="AW108" s="57">
        <v>341.02321980794272</v>
      </c>
      <c r="AX108" s="8"/>
      <c r="AZ108" s="1">
        <v>90</v>
      </c>
    </row>
    <row r="109" spans="3:52" ht="15" customHeight="1" x14ac:dyDescent="0.25">
      <c r="C109" s="42"/>
      <c r="D109" s="43">
        <f>D100</f>
        <v>45665</v>
      </c>
      <c r="E109" s="44">
        <f t="shared" si="10"/>
        <v>7.9999999999999885</v>
      </c>
      <c r="F109" s="45">
        <f t="shared" si="8"/>
        <v>45666.000000000226</v>
      </c>
      <c r="G109" s="52">
        <v>42</v>
      </c>
      <c r="H109" s="53">
        <v>42</v>
      </c>
      <c r="I109" s="54">
        <v>10.9</v>
      </c>
      <c r="J109" s="54">
        <v>300</v>
      </c>
      <c r="K109" s="55">
        <v>0</v>
      </c>
      <c r="L109" s="56">
        <v>42</v>
      </c>
      <c r="M109" s="54">
        <v>10.9</v>
      </c>
      <c r="N109" s="54">
        <v>300</v>
      </c>
      <c r="O109" s="57">
        <v>0</v>
      </c>
      <c r="P109" s="53">
        <v>41</v>
      </c>
      <c r="Q109" s="54">
        <v>10.8</v>
      </c>
      <c r="R109" s="55">
        <v>0</v>
      </c>
      <c r="S109" s="55">
        <v>0</v>
      </c>
      <c r="T109" s="57">
        <v>18</v>
      </c>
      <c r="U109" s="56">
        <v>39</v>
      </c>
      <c r="V109" s="54">
        <v>10.8</v>
      </c>
      <c r="W109" s="55">
        <v>0</v>
      </c>
      <c r="X109" s="55">
        <v>0</v>
      </c>
      <c r="Y109" s="57">
        <v>13.4</v>
      </c>
      <c r="Z109" s="53">
        <v>39</v>
      </c>
      <c r="AA109" s="54">
        <v>10.8</v>
      </c>
      <c r="AB109" s="55">
        <v>0</v>
      </c>
      <c r="AC109" s="55">
        <v>0</v>
      </c>
      <c r="AD109" s="57">
        <v>16.399999999999999</v>
      </c>
      <c r="AE109" s="56">
        <v>39</v>
      </c>
      <c r="AF109" s="54">
        <v>10.8</v>
      </c>
      <c r="AG109" s="55">
        <v>0</v>
      </c>
      <c r="AH109" s="55">
        <v>0</v>
      </c>
      <c r="AI109" s="57">
        <v>15.4</v>
      </c>
      <c r="AJ109" s="56">
        <v>38</v>
      </c>
      <c r="AK109" s="54">
        <v>10.8</v>
      </c>
      <c r="AL109" s="54">
        <v>0</v>
      </c>
      <c r="AM109" s="54">
        <v>0</v>
      </c>
      <c r="AN109" s="57">
        <v>13.2</v>
      </c>
      <c r="AO109" s="53">
        <v>38</v>
      </c>
      <c r="AP109" s="54">
        <v>10.8</v>
      </c>
      <c r="AQ109" s="54">
        <v>200</v>
      </c>
      <c r="AR109" s="54">
        <v>0</v>
      </c>
      <c r="AS109" s="54">
        <v>19</v>
      </c>
      <c r="AT109" s="56">
        <v>23</v>
      </c>
      <c r="AU109" s="57">
        <v>170</v>
      </c>
      <c r="AV109" s="56">
        <v>64.73388671875</v>
      </c>
      <c r="AW109" s="57">
        <v>342.2820211092631</v>
      </c>
      <c r="AX109" s="8"/>
      <c r="AZ109" s="1">
        <v>90</v>
      </c>
    </row>
    <row r="110" spans="3:52" ht="15" customHeight="1" x14ac:dyDescent="0.25">
      <c r="C110" s="42"/>
      <c r="D110" s="43">
        <f>D100</f>
        <v>45665</v>
      </c>
      <c r="E110" s="44">
        <f t="shared" si="10"/>
        <v>8.0833333333333215</v>
      </c>
      <c r="F110" s="45">
        <f t="shared" si="8"/>
        <v>45666.083333333561</v>
      </c>
      <c r="G110" s="52">
        <v>39</v>
      </c>
      <c r="H110" s="53">
        <v>42</v>
      </c>
      <c r="I110" s="54">
        <v>10.9</v>
      </c>
      <c r="J110" s="54">
        <v>350</v>
      </c>
      <c r="K110" s="55">
        <v>0</v>
      </c>
      <c r="L110" s="56">
        <v>40</v>
      </c>
      <c r="M110" s="54">
        <v>10.9</v>
      </c>
      <c r="N110" s="54">
        <v>300</v>
      </c>
      <c r="O110" s="57">
        <v>0</v>
      </c>
      <c r="P110" s="53">
        <v>39</v>
      </c>
      <c r="Q110" s="54">
        <v>10.7</v>
      </c>
      <c r="R110" s="55">
        <v>0</v>
      </c>
      <c r="S110" s="55">
        <v>0</v>
      </c>
      <c r="T110" s="57">
        <v>17.8</v>
      </c>
      <c r="U110" s="56">
        <v>38</v>
      </c>
      <c r="V110" s="54">
        <v>10.7</v>
      </c>
      <c r="W110" s="55">
        <v>0</v>
      </c>
      <c r="X110" s="55">
        <v>0</v>
      </c>
      <c r="Y110" s="57">
        <v>13</v>
      </c>
      <c r="Z110" s="53">
        <v>38</v>
      </c>
      <c r="AA110" s="54">
        <v>10.7</v>
      </c>
      <c r="AB110" s="55">
        <v>0</v>
      </c>
      <c r="AC110" s="55">
        <v>0</v>
      </c>
      <c r="AD110" s="57">
        <v>15</v>
      </c>
      <c r="AE110" s="56">
        <v>37</v>
      </c>
      <c r="AF110" s="54">
        <v>10.8</v>
      </c>
      <c r="AG110" s="55">
        <v>0</v>
      </c>
      <c r="AH110" s="55">
        <v>0</v>
      </c>
      <c r="AI110" s="57">
        <v>15</v>
      </c>
      <c r="AJ110" s="56">
        <v>37</v>
      </c>
      <c r="AK110" s="54">
        <v>10.8</v>
      </c>
      <c r="AL110" s="54">
        <v>0</v>
      </c>
      <c r="AM110" s="54">
        <v>0</v>
      </c>
      <c r="AN110" s="57">
        <v>13</v>
      </c>
      <c r="AO110" s="53">
        <v>37</v>
      </c>
      <c r="AP110" s="54">
        <v>10.8</v>
      </c>
      <c r="AQ110" s="54">
        <v>210</v>
      </c>
      <c r="AR110" s="54">
        <v>0</v>
      </c>
      <c r="AS110" s="54">
        <v>18.8</v>
      </c>
      <c r="AT110" s="56">
        <v>24</v>
      </c>
      <c r="AU110" s="57">
        <v>170</v>
      </c>
      <c r="AV110" s="56">
        <v>64.217117309570298</v>
      </c>
      <c r="AW110" s="57">
        <v>339.41080719629923</v>
      </c>
      <c r="AX110" s="8"/>
      <c r="AZ110" s="1">
        <v>90</v>
      </c>
    </row>
    <row r="111" spans="3:52" ht="15" customHeight="1" x14ac:dyDescent="0.25">
      <c r="C111" s="42"/>
      <c r="D111" s="69">
        <f>D100</f>
        <v>45665</v>
      </c>
      <c r="E111" s="70">
        <f t="shared" si="10"/>
        <v>8.1666666666666554</v>
      </c>
      <c r="F111" s="71">
        <f t="shared" si="8"/>
        <v>45666.166666666897</v>
      </c>
      <c r="G111" s="60">
        <v>39</v>
      </c>
      <c r="H111" s="61">
        <v>41</v>
      </c>
      <c r="I111" s="62">
        <v>10.8</v>
      </c>
      <c r="J111" s="62">
        <v>350</v>
      </c>
      <c r="K111" s="63">
        <v>0</v>
      </c>
      <c r="L111" s="64">
        <v>39</v>
      </c>
      <c r="M111" s="62">
        <v>10.9</v>
      </c>
      <c r="N111" s="62">
        <v>350</v>
      </c>
      <c r="O111" s="65">
        <v>0</v>
      </c>
      <c r="P111" s="61">
        <v>39</v>
      </c>
      <c r="Q111" s="62">
        <v>10.8</v>
      </c>
      <c r="R111" s="63">
        <v>0</v>
      </c>
      <c r="S111" s="63">
        <v>0</v>
      </c>
      <c r="T111" s="65">
        <v>17.600000000000001</v>
      </c>
      <c r="U111" s="64">
        <v>38</v>
      </c>
      <c r="V111" s="62">
        <v>10.7</v>
      </c>
      <c r="W111" s="63">
        <v>0</v>
      </c>
      <c r="X111" s="63">
        <v>0</v>
      </c>
      <c r="Y111" s="65">
        <v>13.8</v>
      </c>
      <c r="Z111" s="61">
        <v>37</v>
      </c>
      <c r="AA111" s="62">
        <v>10.7</v>
      </c>
      <c r="AB111" s="63">
        <v>0</v>
      </c>
      <c r="AC111" s="63">
        <v>0</v>
      </c>
      <c r="AD111" s="65">
        <v>15.8</v>
      </c>
      <c r="AE111" s="64">
        <v>37</v>
      </c>
      <c r="AF111" s="62">
        <v>10.8</v>
      </c>
      <c r="AG111" s="63">
        <v>0</v>
      </c>
      <c r="AH111" s="63">
        <v>0</v>
      </c>
      <c r="AI111" s="65">
        <v>15</v>
      </c>
      <c r="AJ111" s="64">
        <v>36</v>
      </c>
      <c r="AK111" s="62">
        <v>10.8</v>
      </c>
      <c r="AL111" s="62">
        <v>0</v>
      </c>
      <c r="AM111" s="62">
        <v>0</v>
      </c>
      <c r="AN111" s="65">
        <v>13.2</v>
      </c>
      <c r="AO111" s="61">
        <v>36</v>
      </c>
      <c r="AP111" s="62">
        <v>10.8</v>
      </c>
      <c r="AQ111" s="62">
        <v>220</v>
      </c>
      <c r="AR111" s="62">
        <v>0</v>
      </c>
      <c r="AS111" s="62">
        <v>19</v>
      </c>
      <c r="AT111" s="64">
        <v>27</v>
      </c>
      <c r="AU111" s="65">
        <v>190</v>
      </c>
      <c r="AV111" s="64">
        <v>64.070632934570298</v>
      </c>
      <c r="AW111" s="65">
        <v>338.06158367792767</v>
      </c>
      <c r="AX111" s="8"/>
      <c r="AZ111" s="1">
        <v>90</v>
      </c>
    </row>
    <row r="112" spans="3:52" ht="15" customHeight="1" x14ac:dyDescent="0.25">
      <c r="C112" s="42">
        <f>C100+1</f>
        <v>9</v>
      </c>
      <c r="D112" s="66">
        <f>DATE([1]Dash!$F$3,VLOOKUP([1]Dash!$E$3,[1]Abb!$C$3:$D$14,2,FALSE),C112)</f>
        <v>45666</v>
      </c>
      <c r="E112" s="67">
        <f>E111+2/24</f>
        <v>8.2499999999999893</v>
      </c>
      <c r="F112" s="68">
        <f t="shared" si="8"/>
        <v>45666.250000000233</v>
      </c>
      <c r="G112" s="46">
        <v>38</v>
      </c>
      <c r="H112" s="47">
        <v>41</v>
      </c>
      <c r="I112" s="48">
        <v>10.9</v>
      </c>
      <c r="J112" s="48">
        <v>350</v>
      </c>
      <c r="K112" s="49">
        <v>0</v>
      </c>
      <c r="L112" s="50">
        <v>41</v>
      </c>
      <c r="M112" s="48">
        <v>10.8</v>
      </c>
      <c r="N112" s="48">
        <v>350</v>
      </c>
      <c r="O112" s="51">
        <v>0</v>
      </c>
      <c r="P112" s="47">
        <v>40</v>
      </c>
      <c r="Q112" s="48">
        <v>10.8</v>
      </c>
      <c r="R112" s="49">
        <v>0</v>
      </c>
      <c r="S112" s="49">
        <v>0</v>
      </c>
      <c r="T112" s="51">
        <v>18</v>
      </c>
      <c r="U112" s="50">
        <v>39</v>
      </c>
      <c r="V112" s="48">
        <v>10.8</v>
      </c>
      <c r="W112" s="49">
        <v>0</v>
      </c>
      <c r="X112" s="49">
        <v>0</v>
      </c>
      <c r="Y112" s="51">
        <v>13.4</v>
      </c>
      <c r="Z112" s="47">
        <v>38</v>
      </c>
      <c r="AA112" s="48">
        <v>10.8</v>
      </c>
      <c r="AB112" s="49">
        <v>0</v>
      </c>
      <c r="AC112" s="49">
        <v>0</v>
      </c>
      <c r="AD112" s="51">
        <v>15</v>
      </c>
      <c r="AE112" s="50">
        <v>37</v>
      </c>
      <c r="AF112" s="48">
        <v>10.7</v>
      </c>
      <c r="AG112" s="49">
        <v>0</v>
      </c>
      <c r="AH112" s="49">
        <v>0</v>
      </c>
      <c r="AI112" s="51">
        <v>15.4</v>
      </c>
      <c r="AJ112" s="50">
        <v>38</v>
      </c>
      <c r="AK112" s="48">
        <v>10.8</v>
      </c>
      <c r="AL112" s="48">
        <v>0</v>
      </c>
      <c r="AM112" s="48">
        <v>0</v>
      </c>
      <c r="AN112" s="51">
        <v>13</v>
      </c>
      <c r="AO112" s="47">
        <v>40</v>
      </c>
      <c r="AP112" s="48">
        <v>10.8</v>
      </c>
      <c r="AQ112" s="48">
        <v>210</v>
      </c>
      <c r="AR112" s="48">
        <v>0</v>
      </c>
      <c r="AS112" s="51">
        <v>19</v>
      </c>
      <c r="AT112" s="50">
        <v>25</v>
      </c>
      <c r="AU112" s="51">
        <v>190</v>
      </c>
      <c r="AV112" s="50">
        <v>64.912918090820298</v>
      </c>
      <c r="AW112" s="51">
        <v>333.99076455434164</v>
      </c>
      <c r="AX112" s="8"/>
      <c r="AZ112" s="1">
        <v>90</v>
      </c>
    </row>
    <row r="113" spans="3:52" ht="15" customHeight="1" x14ac:dyDescent="0.25">
      <c r="C113" s="42"/>
      <c r="D113" s="43">
        <f>D112</f>
        <v>45666</v>
      </c>
      <c r="E113" s="44">
        <f>E112+2/24</f>
        <v>8.3333333333333233</v>
      </c>
      <c r="F113" s="45">
        <f t="shared" si="8"/>
        <v>45666.333333333569</v>
      </c>
      <c r="G113" s="52">
        <v>37</v>
      </c>
      <c r="H113" s="53">
        <v>39</v>
      </c>
      <c r="I113" s="54">
        <v>11</v>
      </c>
      <c r="J113" s="54">
        <v>350</v>
      </c>
      <c r="K113" s="55">
        <v>0</v>
      </c>
      <c r="L113" s="56">
        <v>40</v>
      </c>
      <c r="M113" s="54">
        <v>11</v>
      </c>
      <c r="N113" s="54">
        <v>350</v>
      </c>
      <c r="O113" s="57">
        <v>0</v>
      </c>
      <c r="P113" s="53">
        <v>39</v>
      </c>
      <c r="Q113" s="54">
        <v>11</v>
      </c>
      <c r="R113" s="55">
        <v>0</v>
      </c>
      <c r="S113" s="55">
        <v>0</v>
      </c>
      <c r="T113" s="57">
        <v>19</v>
      </c>
      <c r="U113" s="56">
        <v>39</v>
      </c>
      <c r="V113" s="54">
        <v>11</v>
      </c>
      <c r="W113" s="55">
        <v>0</v>
      </c>
      <c r="X113" s="55">
        <v>0</v>
      </c>
      <c r="Y113" s="57">
        <v>13.6</v>
      </c>
      <c r="Z113" s="53">
        <v>37</v>
      </c>
      <c r="AA113" s="54">
        <v>11</v>
      </c>
      <c r="AB113" s="55">
        <v>0</v>
      </c>
      <c r="AC113" s="55">
        <v>0</v>
      </c>
      <c r="AD113" s="57">
        <v>18.2</v>
      </c>
      <c r="AE113" s="56">
        <v>37</v>
      </c>
      <c r="AF113" s="54">
        <v>10.9</v>
      </c>
      <c r="AG113" s="55">
        <v>0</v>
      </c>
      <c r="AH113" s="55">
        <v>0</v>
      </c>
      <c r="AI113" s="57">
        <v>16</v>
      </c>
      <c r="AJ113" s="56">
        <v>38</v>
      </c>
      <c r="AK113" s="54">
        <v>10.9</v>
      </c>
      <c r="AL113" s="54">
        <v>0</v>
      </c>
      <c r="AM113" s="54">
        <v>0</v>
      </c>
      <c r="AN113" s="57">
        <v>14</v>
      </c>
      <c r="AO113" s="53">
        <v>38</v>
      </c>
      <c r="AP113" s="54">
        <v>10.9</v>
      </c>
      <c r="AQ113" s="54">
        <v>220</v>
      </c>
      <c r="AR113" s="54">
        <v>0</v>
      </c>
      <c r="AS113" s="57">
        <v>18</v>
      </c>
      <c r="AT113" s="56">
        <v>30</v>
      </c>
      <c r="AU113" s="57">
        <v>190</v>
      </c>
      <c r="AV113" s="56">
        <v>65.010574340820298</v>
      </c>
      <c r="AW113" s="57">
        <v>332.92317673365272</v>
      </c>
      <c r="AX113" s="8"/>
      <c r="AZ113" s="1">
        <v>90</v>
      </c>
    </row>
    <row r="114" spans="3:52" ht="15" customHeight="1" x14ac:dyDescent="0.25">
      <c r="C114" s="42"/>
      <c r="D114" s="43">
        <f>D112</f>
        <v>45666</v>
      </c>
      <c r="E114" s="44">
        <f t="shared" ref="E114:E123" si="11">E113+2/24</f>
        <v>8.4166666666666572</v>
      </c>
      <c r="F114" s="45">
        <f t="shared" si="8"/>
        <v>45666.416666666904</v>
      </c>
      <c r="G114" s="52">
        <v>39</v>
      </c>
      <c r="H114" s="53">
        <v>37</v>
      </c>
      <c r="I114" s="54">
        <v>11</v>
      </c>
      <c r="J114" s="54">
        <v>350</v>
      </c>
      <c r="K114" s="55">
        <v>0</v>
      </c>
      <c r="L114" s="56">
        <v>40</v>
      </c>
      <c r="M114" s="54">
        <v>11</v>
      </c>
      <c r="N114" s="54">
        <v>350</v>
      </c>
      <c r="O114" s="57">
        <v>0</v>
      </c>
      <c r="P114" s="53">
        <v>38</v>
      </c>
      <c r="Q114" s="54">
        <v>11</v>
      </c>
      <c r="R114" s="55">
        <v>0</v>
      </c>
      <c r="S114" s="55">
        <v>0</v>
      </c>
      <c r="T114" s="57">
        <v>18.8</v>
      </c>
      <c r="U114" s="56">
        <v>37</v>
      </c>
      <c r="V114" s="54">
        <v>11</v>
      </c>
      <c r="W114" s="55">
        <v>0</v>
      </c>
      <c r="X114" s="55">
        <v>0</v>
      </c>
      <c r="Y114" s="57">
        <v>13.8</v>
      </c>
      <c r="Z114" s="53">
        <v>36</v>
      </c>
      <c r="AA114" s="54">
        <v>11</v>
      </c>
      <c r="AB114" s="55">
        <v>0</v>
      </c>
      <c r="AC114" s="55">
        <v>0</v>
      </c>
      <c r="AD114" s="57">
        <v>18.2</v>
      </c>
      <c r="AE114" s="56">
        <v>39</v>
      </c>
      <c r="AF114" s="54">
        <v>10.9</v>
      </c>
      <c r="AG114" s="55">
        <v>0</v>
      </c>
      <c r="AH114" s="55">
        <v>0</v>
      </c>
      <c r="AI114" s="57">
        <v>15.8</v>
      </c>
      <c r="AJ114" s="56">
        <v>36</v>
      </c>
      <c r="AK114" s="54">
        <v>10.9</v>
      </c>
      <c r="AL114" s="54">
        <v>0</v>
      </c>
      <c r="AM114" s="54">
        <v>0</v>
      </c>
      <c r="AN114" s="57">
        <v>14.6</v>
      </c>
      <c r="AO114" s="53">
        <v>38</v>
      </c>
      <c r="AP114" s="54">
        <v>10.9</v>
      </c>
      <c r="AQ114" s="54">
        <v>210</v>
      </c>
      <c r="AR114" s="54">
        <v>0</v>
      </c>
      <c r="AS114" s="57">
        <v>18.2</v>
      </c>
      <c r="AT114" s="56">
        <v>30</v>
      </c>
      <c r="AU114" s="57">
        <v>170</v>
      </c>
      <c r="AV114" s="56">
        <v>65.620925903320298</v>
      </c>
      <c r="AW114" s="57">
        <v>332.31083628336586</v>
      </c>
      <c r="AX114" s="8"/>
      <c r="AZ114" s="1">
        <v>90</v>
      </c>
    </row>
    <row r="115" spans="3:52" ht="15" customHeight="1" x14ac:dyDescent="0.25">
      <c r="C115" s="42"/>
      <c r="D115" s="43">
        <f>D112</f>
        <v>45666</v>
      </c>
      <c r="E115" s="44">
        <f t="shared" si="11"/>
        <v>8.4999999999999911</v>
      </c>
      <c r="F115" s="45">
        <f t="shared" si="8"/>
        <v>45666.50000000024</v>
      </c>
      <c r="G115" s="52">
        <v>38</v>
      </c>
      <c r="H115" s="53">
        <v>35</v>
      </c>
      <c r="I115" s="54">
        <v>11</v>
      </c>
      <c r="J115" s="54">
        <v>350</v>
      </c>
      <c r="K115" s="55">
        <v>0</v>
      </c>
      <c r="L115" s="56">
        <v>37</v>
      </c>
      <c r="M115" s="54">
        <v>11</v>
      </c>
      <c r="N115" s="54">
        <v>300</v>
      </c>
      <c r="O115" s="57">
        <v>0</v>
      </c>
      <c r="P115" s="53">
        <v>37</v>
      </c>
      <c r="Q115" s="54">
        <v>11</v>
      </c>
      <c r="R115" s="55">
        <v>0</v>
      </c>
      <c r="S115" s="55">
        <v>0</v>
      </c>
      <c r="T115" s="57">
        <v>18.399999999999999</v>
      </c>
      <c r="U115" s="56">
        <v>37</v>
      </c>
      <c r="V115" s="54">
        <v>11</v>
      </c>
      <c r="W115" s="55">
        <v>0</v>
      </c>
      <c r="X115" s="55">
        <v>0</v>
      </c>
      <c r="Y115" s="57">
        <v>14</v>
      </c>
      <c r="Z115" s="53">
        <v>36</v>
      </c>
      <c r="AA115" s="54">
        <v>11</v>
      </c>
      <c r="AB115" s="55">
        <v>0</v>
      </c>
      <c r="AC115" s="55">
        <v>0</v>
      </c>
      <c r="AD115" s="57">
        <v>18</v>
      </c>
      <c r="AE115" s="56">
        <v>38</v>
      </c>
      <c r="AF115" s="54">
        <v>10.9</v>
      </c>
      <c r="AG115" s="55">
        <v>0</v>
      </c>
      <c r="AH115" s="55">
        <v>0</v>
      </c>
      <c r="AI115" s="57">
        <v>16.399999999999999</v>
      </c>
      <c r="AJ115" s="56">
        <v>36</v>
      </c>
      <c r="AK115" s="54">
        <v>10.9</v>
      </c>
      <c r="AL115" s="54">
        <v>0</v>
      </c>
      <c r="AM115" s="54">
        <v>0</v>
      </c>
      <c r="AN115" s="57">
        <v>14.2</v>
      </c>
      <c r="AO115" s="53">
        <v>37</v>
      </c>
      <c r="AP115" s="54">
        <v>10.9</v>
      </c>
      <c r="AQ115" s="54">
        <v>200</v>
      </c>
      <c r="AR115" s="54">
        <v>0</v>
      </c>
      <c r="AS115" s="57">
        <v>18.2</v>
      </c>
      <c r="AT115" s="56">
        <v>29</v>
      </c>
      <c r="AU115" s="57">
        <v>170</v>
      </c>
      <c r="AV115" s="56">
        <v>65.047195434570298</v>
      </c>
      <c r="AW115" s="57">
        <v>331.70717544555663</v>
      </c>
      <c r="AX115" s="8"/>
      <c r="AZ115" s="1">
        <v>90</v>
      </c>
    </row>
    <row r="116" spans="3:52" ht="15" customHeight="1" x14ac:dyDescent="0.25">
      <c r="C116" s="42"/>
      <c r="D116" s="43">
        <f>D112</f>
        <v>45666</v>
      </c>
      <c r="E116" s="44">
        <f t="shared" si="11"/>
        <v>8.583333333333325</v>
      </c>
      <c r="F116" s="45">
        <f t="shared" si="8"/>
        <v>45666.583333333576</v>
      </c>
      <c r="G116" s="52" t="s">
        <v>38</v>
      </c>
      <c r="H116" s="53">
        <v>39</v>
      </c>
      <c r="I116" s="54">
        <v>11</v>
      </c>
      <c r="J116" s="54">
        <v>300</v>
      </c>
      <c r="K116" s="55">
        <v>0</v>
      </c>
      <c r="L116" s="56">
        <v>39</v>
      </c>
      <c r="M116" s="54">
        <v>11</v>
      </c>
      <c r="N116" s="54">
        <v>300</v>
      </c>
      <c r="O116" s="57">
        <v>0</v>
      </c>
      <c r="P116" s="53">
        <v>37</v>
      </c>
      <c r="Q116" s="54">
        <v>11</v>
      </c>
      <c r="R116" s="55">
        <v>0</v>
      </c>
      <c r="S116" s="55">
        <v>0</v>
      </c>
      <c r="T116" s="57">
        <v>18.600000000000001</v>
      </c>
      <c r="U116" s="56">
        <v>36</v>
      </c>
      <c r="V116" s="54">
        <v>11</v>
      </c>
      <c r="W116" s="55">
        <v>0</v>
      </c>
      <c r="X116" s="55">
        <v>0</v>
      </c>
      <c r="Y116" s="57">
        <v>14</v>
      </c>
      <c r="Z116" s="53">
        <v>39</v>
      </c>
      <c r="AA116" s="54">
        <v>11</v>
      </c>
      <c r="AB116" s="55">
        <v>0</v>
      </c>
      <c r="AC116" s="55">
        <v>0</v>
      </c>
      <c r="AD116" s="57">
        <v>18.399999999999999</v>
      </c>
      <c r="AE116" s="56">
        <v>37</v>
      </c>
      <c r="AF116" s="54">
        <v>10.8</v>
      </c>
      <c r="AG116" s="55">
        <v>0</v>
      </c>
      <c r="AH116" s="55">
        <v>0</v>
      </c>
      <c r="AI116" s="57">
        <v>15.8</v>
      </c>
      <c r="AJ116" s="56">
        <v>38</v>
      </c>
      <c r="AK116" s="54">
        <v>10.8</v>
      </c>
      <c r="AL116" s="54">
        <v>0</v>
      </c>
      <c r="AM116" s="54">
        <v>0</v>
      </c>
      <c r="AN116" s="57">
        <v>14</v>
      </c>
      <c r="AO116" s="53">
        <v>35</v>
      </c>
      <c r="AP116" s="54">
        <v>10.8</v>
      </c>
      <c r="AQ116" s="54">
        <v>200</v>
      </c>
      <c r="AR116" s="54">
        <v>0</v>
      </c>
      <c r="AS116" s="57">
        <v>18.399999999999999</v>
      </c>
      <c r="AT116" s="56">
        <v>30</v>
      </c>
      <c r="AU116" s="57">
        <v>160</v>
      </c>
      <c r="AV116" s="56">
        <v>64.888504028320298</v>
      </c>
      <c r="AW116" s="57">
        <v>334.99252440134683</v>
      </c>
      <c r="AX116" s="8"/>
      <c r="AZ116" s="1">
        <v>90</v>
      </c>
    </row>
    <row r="117" spans="3:52" ht="15" customHeight="1" x14ac:dyDescent="0.25">
      <c r="C117" s="42"/>
      <c r="D117" s="43">
        <f>D112</f>
        <v>45666</v>
      </c>
      <c r="E117" s="44">
        <f t="shared" si="11"/>
        <v>8.666666666666659</v>
      </c>
      <c r="F117" s="45">
        <f t="shared" si="8"/>
        <v>45666.666666666912</v>
      </c>
      <c r="G117" s="52" t="s">
        <v>38</v>
      </c>
      <c r="H117" s="53">
        <v>38</v>
      </c>
      <c r="I117" s="54">
        <v>11</v>
      </c>
      <c r="J117" s="54">
        <v>300</v>
      </c>
      <c r="K117" s="55">
        <v>0</v>
      </c>
      <c r="L117" s="56">
        <v>38</v>
      </c>
      <c r="M117" s="54">
        <v>11</v>
      </c>
      <c r="N117" s="54">
        <v>300</v>
      </c>
      <c r="O117" s="57">
        <v>0</v>
      </c>
      <c r="P117" s="53">
        <v>37</v>
      </c>
      <c r="Q117" s="54">
        <v>11</v>
      </c>
      <c r="R117" s="55">
        <v>0</v>
      </c>
      <c r="S117" s="55">
        <v>0</v>
      </c>
      <c r="T117" s="57">
        <v>19</v>
      </c>
      <c r="U117" s="56">
        <v>35</v>
      </c>
      <c r="V117" s="54">
        <v>11</v>
      </c>
      <c r="W117" s="55">
        <v>0</v>
      </c>
      <c r="X117" s="55">
        <v>0</v>
      </c>
      <c r="Y117" s="57">
        <v>14.2</v>
      </c>
      <c r="Z117" s="53">
        <v>38</v>
      </c>
      <c r="AA117" s="54">
        <v>11</v>
      </c>
      <c r="AB117" s="55">
        <v>0</v>
      </c>
      <c r="AC117" s="55">
        <v>0</v>
      </c>
      <c r="AD117" s="57">
        <v>18.2</v>
      </c>
      <c r="AE117" s="56">
        <v>35</v>
      </c>
      <c r="AF117" s="54">
        <v>10.8</v>
      </c>
      <c r="AG117" s="55">
        <v>0</v>
      </c>
      <c r="AH117" s="55">
        <v>0</v>
      </c>
      <c r="AI117" s="57">
        <v>15.8</v>
      </c>
      <c r="AJ117" s="56">
        <v>37</v>
      </c>
      <c r="AK117" s="54">
        <v>10.8</v>
      </c>
      <c r="AL117" s="54">
        <v>0</v>
      </c>
      <c r="AM117" s="54">
        <v>0</v>
      </c>
      <c r="AN117" s="57">
        <v>14.2</v>
      </c>
      <c r="AO117" s="53">
        <v>36</v>
      </c>
      <c r="AP117" s="54">
        <v>10.8</v>
      </c>
      <c r="AQ117" s="54">
        <v>200</v>
      </c>
      <c r="AR117" s="54">
        <v>0</v>
      </c>
      <c r="AS117" s="57">
        <v>18.2</v>
      </c>
      <c r="AT117" s="56">
        <v>30</v>
      </c>
      <c r="AU117" s="57">
        <v>160</v>
      </c>
      <c r="AV117" s="56">
        <v>64.78271484375</v>
      </c>
      <c r="AW117" s="57">
        <v>333.84186900456746</v>
      </c>
      <c r="AX117" s="8"/>
      <c r="AZ117" s="1">
        <v>90</v>
      </c>
    </row>
    <row r="118" spans="3:52" ht="15" customHeight="1" x14ac:dyDescent="0.25">
      <c r="C118" s="42"/>
      <c r="D118" s="43">
        <f>D112</f>
        <v>45666</v>
      </c>
      <c r="E118" s="44">
        <f t="shared" si="11"/>
        <v>8.7499999999999929</v>
      </c>
      <c r="F118" s="45">
        <f t="shared" si="8"/>
        <v>45666.750000000247</v>
      </c>
      <c r="G118" s="52">
        <v>39</v>
      </c>
      <c r="H118" s="53">
        <v>40</v>
      </c>
      <c r="I118" s="54">
        <v>11</v>
      </c>
      <c r="J118" s="54">
        <v>300</v>
      </c>
      <c r="K118" s="55">
        <v>0</v>
      </c>
      <c r="L118" s="56">
        <v>40</v>
      </c>
      <c r="M118" s="54">
        <v>11</v>
      </c>
      <c r="N118" s="54">
        <v>250</v>
      </c>
      <c r="O118" s="57">
        <v>0</v>
      </c>
      <c r="P118" s="53">
        <v>39</v>
      </c>
      <c r="Q118" s="54">
        <v>11</v>
      </c>
      <c r="R118" s="55">
        <v>0</v>
      </c>
      <c r="S118" s="55">
        <v>0</v>
      </c>
      <c r="T118" s="57">
        <v>19</v>
      </c>
      <c r="U118" s="56">
        <v>38</v>
      </c>
      <c r="V118" s="54">
        <v>11</v>
      </c>
      <c r="W118" s="55">
        <v>0</v>
      </c>
      <c r="X118" s="55">
        <v>0</v>
      </c>
      <c r="Y118" s="57">
        <v>14</v>
      </c>
      <c r="Z118" s="53">
        <v>35</v>
      </c>
      <c r="AA118" s="54">
        <v>10.9</v>
      </c>
      <c r="AB118" s="55">
        <v>0</v>
      </c>
      <c r="AC118" s="55">
        <v>0</v>
      </c>
      <c r="AD118" s="57">
        <v>18</v>
      </c>
      <c r="AE118" s="56">
        <v>35</v>
      </c>
      <c r="AF118" s="54">
        <v>10.8</v>
      </c>
      <c r="AG118" s="55">
        <v>0</v>
      </c>
      <c r="AH118" s="55">
        <v>0</v>
      </c>
      <c r="AI118" s="57">
        <v>16.600000000000001</v>
      </c>
      <c r="AJ118" s="56">
        <v>38</v>
      </c>
      <c r="AK118" s="54">
        <v>10.8</v>
      </c>
      <c r="AL118" s="54">
        <v>0</v>
      </c>
      <c r="AM118" s="54">
        <v>0</v>
      </c>
      <c r="AN118" s="57">
        <v>14.2</v>
      </c>
      <c r="AO118" s="53">
        <v>38</v>
      </c>
      <c r="AP118" s="54">
        <v>10.8</v>
      </c>
      <c r="AQ118" s="54">
        <v>180</v>
      </c>
      <c r="AR118" s="54">
        <v>0</v>
      </c>
      <c r="AS118" s="57">
        <v>19</v>
      </c>
      <c r="AT118" s="56">
        <v>33</v>
      </c>
      <c r="AU118" s="57">
        <v>150</v>
      </c>
      <c r="AV118" s="56">
        <v>63.883464813232401</v>
      </c>
      <c r="AW118" s="57">
        <v>337.38872000376381</v>
      </c>
      <c r="AX118" s="8"/>
      <c r="AZ118" s="1">
        <v>90</v>
      </c>
    </row>
    <row r="119" spans="3:52" ht="15" customHeight="1" x14ac:dyDescent="0.25">
      <c r="C119" s="42"/>
      <c r="D119" s="43">
        <f>D112</f>
        <v>45666</v>
      </c>
      <c r="E119" s="44">
        <f t="shared" si="11"/>
        <v>8.8333333333333268</v>
      </c>
      <c r="F119" s="45">
        <f t="shared" si="8"/>
        <v>45666.833333333583</v>
      </c>
      <c r="G119" s="52">
        <v>38</v>
      </c>
      <c r="H119" s="53">
        <v>40</v>
      </c>
      <c r="I119" s="54">
        <v>11.2</v>
      </c>
      <c r="J119" s="54">
        <v>350</v>
      </c>
      <c r="K119" s="55">
        <v>0</v>
      </c>
      <c r="L119" s="56">
        <v>38</v>
      </c>
      <c r="M119" s="54">
        <v>11.3</v>
      </c>
      <c r="N119" s="54">
        <v>300</v>
      </c>
      <c r="O119" s="57">
        <v>0</v>
      </c>
      <c r="P119" s="53">
        <v>38</v>
      </c>
      <c r="Q119" s="54">
        <v>11</v>
      </c>
      <c r="R119" s="55">
        <v>0</v>
      </c>
      <c r="S119" s="55">
        <v>0</v>
      </c>
      <c r="T119" s="57">
        <v>19</v>
      </c>
      <c r="U119" s="56">
        <v>39</v>
      </c>
      <c r="V119" s="54">
        <v>11</v>
      </c>
      <c r="W119" s="55">
        <v>0</v>
      </c>
      <c r="X119" s="55">
        <v>0</v>
      </c>
      <c r="Y119" s="57">
        <v>13</v>
      </c>
      <c r="Z119" s="53">
        <v>39</v>
      </c>
      <c r="AA119" s="54">
        <v>10.9</v>
      </c>
      <c r="AB119" s="55">
        <v>0</v>
      </c>
      <c r="AC119" s="55">
        <v>0</v>
      </c>
      <c r="AD119" s="57">
        <v>18</v>
      </c>
      <c r="AE119" s="56">
        <v>40</v>
      </c>
      <c r="AF119" s="54">
        <v>10.8</v>
      </c>
      <c r="AG119" s="55">
        <v>0</v>
      </c>
      <c r="AH119" s="55">
        <v>0</v>
      </c>
      <c r="AI119" s="57">
        <v>16</v>
      </c>
      <c r="AJ119" s="56">
        <v>40</v>
      </c>
      <c r="AK119" s="54">
        <v>10.7</v>
      </c>
      <c r="AL119" s="54">
        <v>0</v>
      </c>
      <c r="AM119" s="54">
        <v>0</v>
      </c>
      <c r="AN119" s="57">
        <v>12.4</v>
      </c>
      <c r="AO119" s="53">
        <v>38</v>
      </c>
      <c r="AP119" s="54">
        <v>10.7</v>
      </c>
      <c r="AQ119" s="54">
        <v>260</v>
      </c>
      <c r="AR119" s="54">
        <v>0</v>
      </c>
      <c r="AS119" s="57">
        <v>18</v>
      </c>
      <c r="AT119" s="56">
        <v>27</v>
      </c>
      <c r="AU119" s="57">
        <v>200</v>
      </c>
      <c r="AV119" s="56">
        <v>63.720703125</v>
      </c>
      <c r="AW119" s="57">
        <v>336.73430264790852</v>
      </c>
      <c r="AX119" s="8"/>
      <c r="AZ119" s="1">
        <v>90</v>
      </c>
    </row>
    <row r="120" spans="3:52" ht="15" customHeight="1" x14ac:dyDescent="0.25">
      <c r="C120" s="42"/>
      <c r="D120" s="43">
        <f>D112</f>
        <v>45666</v>
      </c>
      <c r="E120" s="44">
        <f t="shared" si="11"/>
        <v>8.9166666666666607</v>
      </c>
      <c r="F120" s="45">
        <f t="shared" si="8"/>
        <v>45666.916666666919</v>
      </c>
      <c r="G120" s="52">
        <v>38</v>
      </c>
      <c r="H120" s="53">
        <v>39</v>
      </c>
      <c r="I120" s="54">
        <v>11</v>
      </c>
      <c r="J120" s="54">
        <v>350</v>
      </c>
      <c r="K120" s="55">
        <v>0</v>
      </c>
      <c r="L120" s="56">
        <v>38</v>
      </c>
      <c r="M120" s="54">
        <v>11</v>
      </c>
      <c r="N120" s="54">
        <v>300</v>
      </c>
      <c r="O120" s="57">
        <v>0</v>
      </c>
      <c r="P120" s="53">
        <v>39</v>
      </c>
      <c r="Q120" s="54">
        <v>10.9</v>
      </c>
      <c r="R120" s="55">
        <v>0</v>
      </c>
      <c r="S120" s="55">
        <v>0</v>
      </c>
      <c r="T120" s="57">
        <v>18.8</v>
      </c>
      <c r="U120" s="56">
        <v>38</v>
      </c>
      <c r="V120" s="54">
        <v>10.9</v>
      </c>
      <c r="W120" s="55">
        <v>0</v>
      </c>
      <c r="X120" s="55">
        <v>0</v>
      </c>
      <c r="Y120" s="57">
        <v>13.2</v>
      </c>
      <c r="Z120" s="53">
        <v>38</v>
      </c>
      <c r="AA120" s="54">
        <v>10.9</v>
      </c>
      <c r="AB120" s="55">
        <v>0</v>
      </c>
      <c r="AC120" s="55">
        <v>0</v>
      </c>
      <c r="AD120" s="57">
        <v>17</v>
      </c>
      <c r="AE120" s="56">
        <v>39</v>
      </c>
      <c r="AF120" s="54">
        <v>10.8</v>
      </c>
      <c r="AG120" s="55">
        <v>0</v>
      </c>
      <c r="AH120" s="55">
        <v>0</v>
      </c>
      <c r="AI120" s="57">
        <v>16</v>
      </c>
      <c r="AJ120" s="56">
        <v>39</v>
      </c>
      <c r="AK120" s="54">
        <v>10.7</v>
      </c>
      <c r="AL120" s="54">
        <v>0</v>
      </c>
      <c r="AM120" s="54">
        <v>0</v>
      </c>
      <c r="AN120" s="57">
        <v>13</v>
      </c>
      <c r="AO120" s="53">
        <v>38</v>
      </c>
      <c r="AP120" s="54">
        <v>10.7</v>
      </c>
      <c r="AQ120" s="54">
        <v>250</v>
      </c>
      <c r="AR120" s="54">
        <v>0</v>
      </c>
      <c r="AS120" s="57">
        <v>18</v>
      </c>
      <c r="AT120" s="56">
        <v>25</v>
      </c>
      <c r="AU120" s="57">
        <v>190</v>
      </c>
      <c r="AV120" s="56">
        <v>64.241531372070298</v>
      </c>
      <c r="AW120" s="57">
        <v>337.06681652069091</v>
      </c>
      <c r="AX120" s="8"/>
      <c r="AZ120" s="1">
        <v>90</v>
      </c>
    </row>
    <row r="121" spans="3:52" ht="15" customHeight="1" x14ac:dyDescent="0.25">
      <c r="C121" s="42"/>
      <c r="D121" s="43">
        <f>D112</f>
        <v>45666</v>
      </c>
      <c r="E121" s="44">
        <f t="shared" si="11"/>
        <v>8.9999999999999947</v>
      </c>
      <c r="F121" s="45">
        <f t="shared" si="8"/>
        <v>45667.000000000255</v>
      </c>
      <c r="G121" s="52">
        <v>39</v>
      </c>
      <c r="H121" s="53">
        <v>38</v>
      </c>
      <c r="I121" s="54">
        <v>11</v>
      </c>
      <c r="J121" s="54">
        <v>350</v>
      </c>
      <c r="K121" s="55">
        <v>0</v>
      </c>
      <c r="L121" s="56">
        <v>40</v>
      </c>
      <c r="M121" s="54">
        <v>11</v>
      </c>
      <c r="N121" s="54">
        <v>350</v>
      </c>
      <c r="O121" s="57">
        <v>0</v>
      </c>
      <c r="P121" s="53">
        <v>40</v>
      </c>
      <c r="Q121" s="54">
        <v>10.9</v>
      </c>
      <c r="R121" s="55">
        <v>0</v>
      </c>
      <c r="S121" s="55">
        <v>0</v>
      </c>
      <c r="T121" s="57">
        <v>19</v>
      </c>
      <c r="U121" s="56">
        <v>39</v>
      </c>
      <c r="V121" s="54">
        <v>10.9</v>
      </c>
      <c r="W121" s="55">
        <v>0</v>
      </c>
      <c r="X121" s="55">
        <v>0</v>
      </c>
      <c r="Y121" s="57">
        <v>13</v>
      </c>
      <c r="Z121" s="53">
        <v>39</v>
      </c>
      <c r="AA121" s="54">
        <v>10.9</v>
      </c>
      <c r="AB121" s="55">
        <v>0</v>
      </c>
      <c r="AC121" s="55">
        <v>0</v>
      </c>
      <c r="AD121" s="57">
        <v>18</v>
      </c>
      <c r="AE121" s="56">
        <v>39</v>
      </c>
      <c r="AF121" s="54">
        <v>10.8</v>
      </c>
      <c r="AG121" s="55">
        <v>0</v>
      </c>
      <c r="AH121" s="55">
        <v>0</v>
      </c>
      <c r="AI121" s="57">
        <v>15</v>
      </c>
      <c r="AJ121" s="56">
        <v>39</v>
      </c>
      <c r="AK121" s="54">
        <v>10.8</v>
      </c>
      <c r="AL121" s="54">
        <v>0</v>
      </c>
      <c r="AM121" s="54">
        <v>0</v>
      </c>
      <c r="AN121" s="57">
        <v>12.8</v>
      </c>
      <c r="AO121" s="53">
        <v>39</v>
      </c>
      <c r="AP121" s="54">
        <v>10.8</v>
      </c>
      <c r="AQ121" s="54">
        <v>220</v>
      </c>
      <c r="AR121" s="54">
        <v>0</v>
      </c>
      <c r="AS121" s="57">
        <v>17.8</v>
      </c>
      <c r="AT121" s="56">
        <v>27</v>
      </c>
      <c r="AU121" s="57">
        <v>170</v>
      </c>
      <c r="AV121" s="56">
        <v>63.724773406982401</v>
      </c>
      <c r="AW121" s="57">
        <v>338.21819556554158</v>
      </c>
      <c r="AX121" s="8"/>
      <c r="AZ121" s="1">
        <v>90</v>
      </c>
    </row>
    <row r="122" spans="3:52" ht="15" customHeight="1" x14ac:dyDescent="0.25">
      <c r="C122" s="42"/>
      <c r="D122" s="43">
        <f>D112</f>
        <v>45666</v>
      </c>
      <c r="E122" s="44">
        <f t="shared" si="11"/>
        <v>9.0833333333333286</v>
      </c>
      <c r="F122" s="45">
        <f t="shared" si="8"/>
        <v>45667.08333333359</v>
      </c>
      <c r="G122" s="52">
        <v>38</v>
      </c>
      <c r="H122" s="53">
        <v>40</v>
      </c>
      <c r="I122" s="54">
        <v>10.9</v>
      </c>
      <c r="J122" s="54">
        <v>300</v>
      </c>
      <c r="K122" s="55">
        <v>0</v>
      </c>
      <c r="L122" s="56">
        <v>40</v>
      </c>
      <c r="M122" s="54">
        <v>10.9</v>
      </c>
      <c r="N122" s="54">
        <v>350</v>
      </c>
      <c r="O122" s="57">
        <v>0</v>
      </c>
      <c r="P122" s="53">
        <v>40</v>
      </c>
      <c r="Q122" s="54">
        <v>10.9</v>
      </c>
      <c r="R122" s="55">
        <v>0</v>
      </c>
      <c r="S122" s="55">
        <v>0</v>
      </c>
      <c r="T122" s="57">
        <v>18</v>
      </c>
      <c r="U122" s="56">
        <v>39</v>
      </c>
      <c r="V122" s="54">
        <v>10.9</v>
      </c>
      <c r="W122" s="55">
        <v>0</v>
      </c>
      <c r="X122" s="55">
        <v>0</v>
      </c>
      <c r="Y122" s="57">
        <v>13.8</v>
      </c>
      <c r="Z122" s="53">
        <v>39</v>
      </c>
      <c r="AA122" s="54">
        <v>10.8</v>
      </c>
      <c r="AB122" s="55">
        <v>0</v>
      </c>
      <c r="AC122" s="55">
        <v>0</v>
      </c>
      <c r="AD122" s="57">
        <v>17.8</v>
      </c>
      <c r="AE122" s="56">
        <v>38</v>
      </c>
      <c r="AF122" s="54">
        <v>10.8</v>
      </c>
      <c r="AG122" s="55">
        <v>0</v>
      </c>
      <c r="AH122" s="55">
        <v>0</v>
      </c>
      <c r="AI122" s="57">
        <v>15</v>
      </c>
      <c r="AJ122" s="56">
        <v>38</v>
      </c>
      <c r="AK122" s="54">
        <v>10.8</v>
      </c>
      <c r="AL122" s="54">
        <v>0</v>
      </c>
      <c r="AM122" s="54">
        <v>0</v>
      </c>
      <c r="AN122" s="57">
        <v>13</v>
      </c>
      <c r="AO122" s="53">
        <v>38</v>
      </c>
      <c r="AP122" s="54">
        <v>10.8</v>
      </c>
      <c r="AQ122" s="54">
        <v>230</v>
      </c>
      <c r="AR122" s="54">
        <v>0</v>
      </c>
      <c r="AS122" s="57">
        <v>18</v>
      </c>
      <c r="AT122" s="56">
        <v>25</v>
      </c>
      <c r="AU122" s="57">
        <v>170</v>
      </c>
      <c r="AV122" s="56">
        <v>64.127609252929702</v>
      </c>
      <c r="AW122" s="57">
        <v>337.7332901318868</v>
      </c>
      <c r="AX122" s="8"/>
      <c r="AZ122" s="1">
        <v>90</v>
      </c>
    </row>
    <row r="123" spans="3:52" ht="15" customHeight="1" x14ac:dyDescent="0.25">
      <c r="C123" s="42"/>
      <c r="D123" s="69">
        <f>D112</f>
        <v>45666</v>
      </c>
      <c r="E123" s="70">
        <f t="shared" si="11"/>
        <v>9.1666666666666625</v>
      </c>
      <c r="F123" s="71">
        <f t="shared" si="8"/>
        <v>45667.166666666926</v>
      </c>
      <c r="G123" s="60">
        <v>40</v>
      </c>
      <c r="H123" s="61">
        <v>41</v>
      </c>
      <c r="I123" s="62">
        <v>10.9</v>
      </c>
      <c r="J123" s="62">
        <v>300</v>
      </c>
      <c r="K123" s="63">
        <v>0</v>
      </c>
      <c r="L123" s="64">
        <v>40</v>
      </c>
      <c r="M123" s="62">
        <v>10.9</v>
      </c>
      <c r="N123" s="62">
        <v>350</v>
      </c>
      <c r="O123" s="65">
        <v>0</v>
      </c>
      <c r="P123" s="61">
        <v>40</v>
      </c>
      <c r="Q123" s="62">
        <v>10.8</v>
      </c>
      <c r="R123" s="63">
        <v>0</v>
      </c>
      <c r="S123" s="63">
        <v>0</v>
      </c>
      <c r="T123" s="65">
        <v>18.399999999999999</v>
      </c>
      <c r="U123" s="64">
        <v>38</v>
      </c>
      <c r="V123" s="62">
        <v>10.8</v>
      </c>
      <c r="W123" s="63">
        <v>0</v>
      </c>
      <c r="X123" s="63">
        <v>0</v>
      </c>
      <c r="Y123" s="65">
        <v>13.8</v>
      </c>
      <c r="Z123" s="61">
        <v>38</v>
      </c>
      <c r="AA123" s="62">
        <v>10.8</v>
      </c>
      <c r="AB123" s="63">
        <v>0</v>
      </c>
      <c r="AC123" s="63">
        <v>0</v>
      </c>
      <c r="AD123" s="65">
        <v>18</v>
      </c>
      <c r="AE123" s="64">
        <v>37</v>
      </c>
      <c r="AF123" s="62">
        <v>10.7</v>
      </c>
      <c r="AG123" s="63">
        <v>0</v>
      </c>
      <c r="AH123" s="63">
        <v>0</v>
      </c>
      <c r="AI123" s="65">
        <v>15.8</v>
      </c>
      <c r="AJ123" s="64">
        <v>37</v>
      </c>
      <c r="AK123" s="62">
        <v>10.7</v>
      </c>
      <c r="AL123" s="62">
        <v>0</v>
      </c>
      <c r="AM123" s="62">
        <v>0</v>
      </c>
      <c r="AN123" s="65">
        <v>12</v>
      </c>
      <c r="AO123" s="61">
        <v>37</v>
      </c>
      <c r="AP123" s="62">
        <v>10.8</v>
      </c>
      <c r="AQ123" s="62">
        <v>230</v>
      </c>
      <c r="AR123" s="62">
        <v>0</v>
      </c>
      <c r="AS123" s="65">
        <v>18</v>
      </c>
      <c r="AT123" s="64">
        <v>24</v>
      </c>
      <c r="AU123" s="65">
        <v>180</v>
      </c>
      <c r="AV123" s="64">
        <v>64.546707153320298</v>
      </c>
      <c r="AW123" s="65">
        <v>340.5027484258016</v>
      </c>
      <c r="AX123" s="8"/>
      <c r="AZ123" s="1">
        <v>90</v>
      </c>
    </row>
    <row r="124" spans="3:52" ht="15" customHeight="1" x14ac:dyDescent="0.25">
      <c r="C124" s="42">
        <f>C112+1</f>
        <v>10</v>
      </c>
      <c r="D124" s="66">
        <f>DATE([1]Dash!$F$3,VLOOKUP([1]Dash!$E$3,[1]Abb!$C$3:$D$14,2,FALSE),C124)</f>
        <v>45667</v>
      </c>
      <c r="E124" s="67">
        <f>E123+2/24</f>
        <v>9.2499999999999964</v>
      </c>
      <c r="F124" s="68">
        <f t="shared" si="8"/>
        <v>45667.250000000262</v>
      </c>
      <c r="G124" s="46">
        <v>39</v>
      </c>
      <c r="H124" s="47">
        <v>40</v>
      </c>
      <c r="I124" s="48">
        <v>10.9</v>
      </c>
      <c r="J124" s="48">
        <v>300</v>
      </c>
      <c r="K124" s="49">
        <v>0</v>
      </c>
      <c r="L124" s="50">
        <v>39</v>
      </c>
      <c r="M124" s="48">
        <v>10.8</v>
      </c>
      <c r="N124" s="48">
        <v>300</v>
      </c>
      <c r="O124" s="51">
        <v>0</v>
      </c>
      <c r="P124" s="47">
        <v>40</v>
      </c>
      <c r="Q124" s="48">
        <v>10.8</v>
      </c>
      <c r="R124" s="49">
        <v>0</v>
      </c>
      <c r="S124" s="49">
        <v>0</v>
      </c>
      <c r="T124" s="51">
        <v>18</v>
      </c>
      <c r="U124" s="50">
        <v>39</v>
      </c>
      <c r="V124" s="48">
        <v>10.7</v>
      </c>
      <c r="W124" s="49">
        <v>0</v>
      </c>
      <c r="X124" s="49">
        <v>0</v>
      </c>
      <c r="Y124" s="51">
        <v>13</v>
      </c>
      <c r="Z124" s="47">
        <v>37</v>
      </c>
      <c r="AA124" s="48">
        <v>10.7</v>
      </c>
      <c r="AB124" s="49">
        <v>0</v>
      </c>
      <c r="AC124" s="49">
        <v>0</v>
      </c>
      <c r="AD124" s="51">
        <v>17</v>
      </c>
      <c r="AE124" s="50">
        <v>37</v>
      </c>
      <c r="AF124" s="48">
        <v>10.7</v>
      </c>
      <c r="AG124" s="49">
        <v>0</v>
      </c>
      <c r="AH124" s="49">
        <v>0</v>
      </c>
      <c r="AI124" s="51">
        <v>16</v>
      </c>
      <c r="AJ124" s="50">
        <v>38</v>
      </c>
      <c r="AK124" s="48">
        <v>10.7</v>
      </c>
      <c r="AL124" s="48">
        <v>0</v>
      </c>
      <c r="AM124" s="48">
        <v>0</v>
      </c>
      <c r="AN124" s="51">
        <v>13</v>
      </c>
      <c r="AO124" s="47">
        <v>37</v>
      </c>
      <c r="AP124" s="48">
        <v>10.7</v>
      </c>
      <c r="AQ124" s="48">
        <v>220</v>
      </c>
      <c r="AR124" s="48">
        <v>0</v>
      </c>
      <c r="AS124" s="51">
        <v>18</v>
      </c>
      <c r="AT124" s="50">
        <v>25</v>
      </c>
      <c r="AU124" s="51">
        <v>180</v>
      </c>
      <c r="AV124" s="50">
        <v>64.388015747070298</v>
      </c>
      <c r="AW124" s="51">
        <v>335.45150849024452</v>
      </c>
      <c r="AX124" s="8"/>
      <c r="AZ124" s="1">
        <v>90</v>
      </c>
    </row>
    <row r="125" spans="3:52" ht="15" customHeight="1" x14ac:dyDescent="0.25">
      <c r="C125" s="42"/>
      <c r="D125" s="43">
        <f>D124</f>
        <v>45667</v>
      </c>
      <c r="E125" s="44">
        <f>E124+2/24</f>
        <v>9.3333333333333304</v>
      </c>
      <c r="F125" s="45">
        <f t="shared" si="8"/>
        <v>45667.333333333598</v>
      </c>
      <c r="G125" s="52">
        <v>39</v>
      </c>
      <c r="H125" s="53">
        <v>38</v>
      </c>
      <c r="I125" s="54">
        <v>10.8</v>
      </c>
      <c r="J125" s="54">
        <v>300</v>
      </c>
      <c r="K125" s="55">
        <v>0</v>
      </c>
      <c r="L125" s="56">
        <v>40</v>
      </c>
      <c r="M125" s="54">
        <v>11.2</v>
      </c>
      <c r="N125" s="54">
        <v>300</v>
      </c>
      <c r="O125" s="57">
        <v>0</v>
      </c>
      <c r="P125" s="53">
        <v>37</v>
      </c>
      <c r="Q125" s="54">
        <v>11.3</v>
      </c>
      <c r="R125" s="55">
        <v>0</v>
      </c>
      <c r="S125" s="55">
        <v>0</v>
      </c>
      <c r="T125" s="57">
        <v>17</v>
      </c>
      <c r="U125" s="56">
        <v>36</v>
      </c>
      <c r="V125" s="54">
        <v>11.3</v>
      </c>
      <c r="W125" s="55">
        <v>0</v>
      </c>
      <c r="X125" s="55">
        <v>0</v>
      </c>
      <c r="Y125" s="57">
        <v>12.4</v>
      </c>
      <c r="Z125" s="53">
        <v>34</v>
      </c>
      <c r="AA125" s="54">
        <v>11.1</v>
      </c>
      <c r="AB125" s="55">
        <v>0</v>
      </c>
      <c r="AC125" s="55">
        <v>0</v>
      </c>
      <c r="AD125" s="57">
        <v>17.600000000000001</v>
      </c>
      <c r="AE125" s="56">
        <v>38</v>
      </c>
      <c r="AF125" s="54">
        <v>11.1</v>
      </c>
      <c r="AG125" s="55">
        <v>0</v>
      </c>
      <c r="AH125" s="55">
        <v>0</v>
      </c>
      <c r="AI125" s="57">
        <v>15</v>
      </c>
      <c r="AJ125" s="56">
        <v>38</v>
      </c>
      <c r="AK125" s="54">
        <v>11</v>
      </c>
      <c r="AL125" s="54">
        <v>0</v>
      </c>
      <c r="AM125" s="54">
        <v>0</v>
      </c>
      <c r="AN125" s="57">
        <v>12</v>
      </c>
      <c r="AO125" s="53">
        <v>35</v>
      </c>
      <c r="AP125" s="54">
        <v>10.9</v>
      </c>
      <c r="AQ125" s="54">
        <v>210</v>
      </c>
      <c r="AR125" s="54">
        <v>0</v>
      </c>
      <c r="AS125" s="57">
        <v>16.399999999999999</v>
      </c>
      <c r="AT125" s="56">
        <v>30</v>
      </c>
      <c r="AU125" s="57">
        <v>190</v>
      </c>
      <c r="AV125" s="56">
        <v>64.599609375</v>
      </c>
      <c r="AW125" s="57">
        <v>340.61704381306964</v>
      </c>
      <c r="AX125" s="8"/>
      <c r="AZ125" s="1">
        <v>90</v>
      </c>
    </row>
    <row r="126" spans="3:52" ht="15" customHeight="1" x14ac:dyDescent="0.25">
      <c r="C126" s="42"/>
      <c r="D126" s="43">
        <f>D124</f>
        <v>45667</v>
      </c>
      <c r="E126" s="44">
        <f t="shared" ref="E126:E135" si="12">E125+2/24</f>
        <v>9.4166666666666643</v>
      </c>
      <c r="F126" s="45">
        <f t="shared" si="8"/>
        <v>45667.416666666933</v>
      </c>
      <c r="G126" s="52">
        <v>40</v>
      </c>
      <c r="H126" s="53">
        <v>40</v>
      </c>
      <c r="I126" s="54">
        <v>10.9</v>
      </c>
      <c r="J126" s="54">
        <v>300</v>
      </c>
      <c r="K126" s="55">
        <v>0</v>
      </c>
      <c r="L126" s="56">
        <v>40</v>
      </c>
      <c r="M126" s="54">
        <v>11.2</v>
      </c>
      <c r="N126" s="54">
        <v>300</v>
      </c>
      <c r="O126" s="57">
        <v>0</v>
      </c>
      <c r="P126" s="53">
        <v>38</v>
      </c>
      <c r="Q126" s="54">
        <v>11.3</v>
      </c>
      <c r="R126" s="55">
        <v>0</v>
      </c>
      <c r="S126" s="55">
        <v>0</v>
      </c>
      <c r="T126" s="57">
        <v>17</v>
      </c>
      <c r="U126" s="56">
        <v>37</v>
      </c>
      <c r="V126" s="54">
        <v>11.3</v>
      </c>
      <c r="W126" s="55">
        <v>0</v>
      </c>
      <c r="X126" s="55">
        <v>0</v>
      </c>
      <c r="Y126" s="57">
        <v>12.4</v>
      </c>
      <c r="Z126" s="53">
        <v>35</v>
      </c>
      <c r="AA126" s="54">
        <v>11.1</v>
      </c>
      <c r="AB126" s="55">
        <v>0</v>
      </c>
      <c r="AC126" s="55">
        <v>0</v>
      </c>
      <c r="AD126" s="57">
        <v>17.600000000000001</v>
      </c>
      <c r="AE126" s="56">
        <v>38</v>
      </c>
      <c r="AF126" s="54">
        <v>11.1</v>
      </c>
      <c r="AG126" s="55">
        <v>0</v>
      </c>
      <c r="AH126" s="55">
        <v>0</v>
      </c>
      <c r="AI126" s="57">
        <v>15</v>
      </c>
      <c r="AJ126" s="56">
        <v>38</v>
      </c>
      <c r="AK126" s="54">
        <v>11</v>
      </c>
      <c r="AL126" s="54">
        <v>0</v>
      </c>
      <c r="AM126" s="54">
        <v>0</v>
      </c>
      <c r="AN126" s="57">
        <v>12.2</v>
      </c>
      <c r="AO126" s="53">
        <v>36</v>
      </c>
      <c r="AP126" s="54">
        <v>10.9</v>
      </c>
      <c r="AQ126" s="54">
        <v>200</v>
      </c>
      <c r="AR126" s="54">
        <v>0</v>
      </c>
      <c r="AS126" s="57">
        <v>16.8</v>
      </c>
      <c r="AT126" s="56">
        <v>29</v>
      </c>
      <c r="AU126" s="57">
        <v>180</v>
      </c>
      <c r="AV126" s="56">
        <v>65.140792846679702</v>
      </c>
      <c r="AW126" s="57">
        <v>337.92474438349404</v>
      </c>
      <c r="AX126" s="8"/>
      <c r="AZ126" s="1">
        <v>90</v>
      </c>
    </row>
    <row r="127" spans="3:52" ht="15" customHeight="1" x14ac:dyDescent="0.25">
      <c r="C127" s="42"/>
      <c r="D127" s="43">
        <f>D124</f>
        <v>45667</v>
      </c>
      <c r="E127" s="44">
        <f t="shared" si="12"/>
        <v>9.4999999999999982</v>
      </c>
      <c r="F127" s="45">
        <f t="shared" si="8"/>
        <v>45667.500000000269</v>
      </c>
      <c r="G127" s="52">
        <v>38</v>
      </c>
      <c r="H127" s="53">
        <v>37</v>
      </c>
      <c r="I127" s="54">
        <v>10.9</v>
      </c>
      <c r="J127" s="54">
        <v>300</v>
      </c>
      <c r="K127" s="55">
        <v>0</v>
      </c>
      <c r="L127" s="56">
        <v>39</v>
      </c>
      <c r="M127" s="54">
        <v>11.2</v>
      </c>
      <c r="N127" s="54">
        <v>300</v>
      </c>
      <c r="O127" s="57">
        <v>0</v>
      </c>
      <c r="P127" s="53">
        <v>38</v>
      </c>
      <c r="Q127" s="54">
        <v>11.3</v>
      </c>
      <c r="R127" s="55">
        <v>0</v>
      </c>
      <c r="S127" s="55">
        <v>0</v>
      </c>
      <c r="T127" s="57">
        <v>17.2</v>
      </c>
      <c r="U127" s="56">
        <v>38</v>
      </c>
      <c r="V127" s="54">
        <v>11.3</v>
      </c>
      <c r="W127" s="55">
        <v>0</v>
      </c>
      <c r="X127" s="55">
        <v>0</v>
      </c>
      <c r="Y127" s="57">
        <v>12.4</v>
      </c>
      <c r="Z127" s="53">
        <v>36</v>
      </c>
      <c r="AA127" s="54">
        <v>11.2</v>
      </c>
      <c r="AB127" s="55">
        <v>0</v>
      </c>
      <c r="AC127" s="55">
        <v>0</v>
      </c>
      <c r="AD127" s="57">
        <v>17.8</v>
      </c>
      <c r="AE127" s="56">
        <v>39</v>
      </c>
      <c r="AF127" s="54">
        <v>11.1</v>
      </c>
      <c r="AG127" s="55">
        <v>0</v>
      </c>
      <c r="AH127" s="55">
        <v>0</v>
      </c>
      <c r="AI127" s="57">
        <v>15.2</v>
      </c>
      <c r="AJ127" s="56">
        <v>37</v>
      </c>
      <c r="AK127" s="54">
        <v>11</v>
      </c>
      <c r="AL127" s="54">
        <v>0</v>
      </c>
      <c r="AM127" s="54">
        <v>0</v>
      </c>
      <c r="AN127" s="57">
        <v>12.2</v>
      </c>
      <c r="AO127" s="53">
        <v>35</v>
      </c>
      <c r="AP127" s="54">
        <v>11</v>
      </c>
      <c r="AQ127" s="54">
        <v>200</v>
      </c>
      <c r="AR127" s="54">
        <v>0</v>
      </c>
      <c r="AS127" s="57">
        <v>17</v>
      </c>
      <c r="AT127" s="56">
        <v>29</v>
      </c>
      <c r="AU127" s="57">
        <v>180</v>
      </c>
      <c r="AV127" s="56">
        <v>64.835617065429702</v>
      </c>
      <c r="AW127" s="57">
        <v>333.83005399703978</v>
      </c>
      <c r="AX127" s="8"/>
      <c r="AZ127" s="1">
        <v>90</v>
      </c>
    </row>
    <row r="128" spans="3:52" ht="15" customHeight="1" x14ac:dyDescent="0.25">
      <c r="C128" s="42"/>
      <c r="D128" s="43">
        <f>D124</f>
        <v>45667</v>
      </c>
      <c r="E128" s="44">
        <f t="shared" si="12"/>
        <v>9.5833333333333321</v>
      </c>
      <c r="F128" s="45">
        <f t="shared" si="8"/>
        <v>45667.583333333605</v>
      </c>
      <c r="G128" s="52">
        <v>39</v>
      </c>
      <c r="H128" s="53">
        <v>39</v>
      </c>
      <c r="I128" s="54">
        <v>10.9</v>
      </c>
      <c r="J128" s="54">
        <v>350</v>
      </c>
      <c r="K128" s="55">
        <v>0</v>
      </c>
      <c r="L128" s="56">
        <v>38</v>
      </c>
      <c r="M128" s="54">
        <v>11.2</v>
      </c>
      <c r="N128" s="54">
        <v>300</v>
      </c>
      <c r="O128" s="57">
        <v>0</v>
      </c>
      <c r="P128" s="53">
        <v>39</v>
      </c>
      <c r="Q128" s="54">
        <v>11.3</v>
      </c>
      <c r="R128" s="55">
        <v>0</v>
      </c>
      <c r="S128" s="55">
        <v>0</v>
      </c>
      <c r="T128" s="57">
        <v>17</v>
      </c>
      <c r="U128" s="56">
        <v>38</v>
      </c>
      <c r="V128" s="54">
        <v>11.3</v>
      </c>
      <c r="W128" s="55">
        <v>0</v>
      </c>
      <c r="X128" s="55">
        <v>0</v>
      </c>
      <c r="Y128" s="57">
        <v>12</v>
      </c>
      <c r="Z128" s="53">
        <v>37</v>
      </c>
      <c r="AA128" s="54">
        <v>11.1</v>
      </c>
      <c r="AB128" s="55">
        <v>0</v>
      </c>
      <c r="AC128" s="55">
        <v>0</v>
      </c>
      <c r="AD128" s="57">
        <v>17.8</v>
      </c>
      <c r="AE128" s="56">
        <v>38</v>
      </c>
      <c r="AF128" s="54">
        <v>11.1</v>
      </c>
      <c r="AG128" s="55">
        <v>0</v>
      </c>
      <c r="AH128" s="55">
        <v>0</v>
      </c>
      <c r="AI128" s="57">
        <v>15</v>
      </c>
      <c r="AJ128" s="56">
        <v>36</v>
      </c>
      <c r="AK128" s="54">
        <v>11</v>
      </c>
      <c r="AL128" s="54">
        <v>0</v>
      </c>
      <c r="AM128" s="54">
        <v>0</v>
      </c>
      <c r="AN128" s="57">
        <v>12</v>
      </c>
      <c r="AO128" s="53">
        <v>35</v>
      </c>
      <c r="AP128" s="54">
        <v>11</v>
      </c>
      <c r="AQ128" s="54">
        <v>210</v>
      </c>
      <c r="AR128" s="54">
        <v>0</v>
      </c>
      <c r="AS128" s="57">
        <v>17</v>
      </c>
      <c r="AT128" s="56">
        <v>27</v>
      </c>
      <c r="AU128" s="57">
        <v>180</v>
      </c>
      <c r="AV128" s="56">
        <v>65.262863159179702</v>
      </c>
      <c r="AW128" s="57">
        <v>335.61692291895548</v>
      </c>
      <c r="AX128" s="8"/>
      <c r="AZ128" s="1">
        <v>90</v>
      </c>
    </row>
    <row r="129" spans="3:52" ht="15" customHeight="1" x14ac:dyDescent="0.25">
      <c r="C129" s="42"/>
      <c r="D129" s="43">
        <f>D124</f>
        <v>45667</v>
      </c>
      <c r="E129" s="44">
        <f t="shared" si="12"/>
        <v>9.6666666666666661</v>
      </c>
      <c r="F129" s="45">
        <f t="shared" si="8"/>
        <v>45667.666666666941</v>
      </c>
      <c r="G129" s="52">
        <v>35</v>
      </c>
      <c r="H129" s="53">
        <v>38</v>
      </c>
      <c r="I129" s="54">
        <v>11.2</v>
      </c>
      <c r="J129" s="54">
        <v>350</v>
      </c>
      <c r="K129" s="55">
        <v>0</v>
      </c>
      <c r="L129" s="56">
        <v>37</v>
      </c>
      <c r="M129" s="54">
        <v>11.4</v>
      </c>
      <c r="N129" s="54">
        <v>300</v>
      </c>
      <c r="O129" s="57">
        <v>0</v>
      </c>
      <c r="P129" s="53">
        <v>35</v>
      </c>
      <c r="Q129" s="54">
        <v>11.1</v>
      </c>
      <c r="R129" s="55">
        <v>0</v>
      </c>
      <c r="S129" s="55">
        <v>0</v>
      </c>
      <c r="T129" s="57">
        <v>17</v>
      </c>
      <c r="U129" s="56">
        <v>34</v>
      </c>
      <c r="V129" s="54">
        <v>11.1</v>
      </c>
      <c r="W129" s="55">
        <v>0</v>
      </c>
      <c r="X129" s="55">
        <v>0</v>
      </c>
      <c r="Y129" s="57">
        <v>12</v>
      </c>
      <c r="Z129" s="53">
        <v>36</v>
      </c>
      <c r="AA129" s="54">
        <v>11.1</v>
      </c>
      <c r="AB129" s="55">
        <v>0</v>
      </c>
      <c r="AC129" s="55">
        <v>0</v>
      </c>
      <c r="AD129" s="57">
        <v>18</v>
      </c>
      <c r="AE129" s="56">
        <v>35</v>
      </c>
      <c r="AF129" s="54">
        <v>11.1</v>
      </c>
      <c r="AG129" s="55">
        <v>0</v>
      </c>
      <c r="AH129" s="55">
        <v>0</v>
      </c>
      <c r="AI129" s="57">
        <v>15</v>
      </c>
      <c r="AJ129" s="56">
        <v>36</v>
      </c>
      <c r="AK129" s="54">
        <v>11</v>
      </c>
      <c r="AL129" s="54">
        <v>0</v>
      </c>
      <c r="AM129" s="54">
        <v>0</v>
      </c>
      <c r="AN129" s="57">
        <v>12</v>
      </c>
      <c r="AO129" s="53">
        <v>35</v>
      </c>
      <c r="AP129" s="54">
        <v>11</v>
      </c>
      <c r="AQ129" s="54">
        <v>210</v>
      </c>
      <c r="AR129" s="54">
        <v>0</v>
      </c>
      <c r="AS129" s="57">
        <v>18.399999999999999</v>
      </c>
      <c r="AT129" s="56">
        <v>29</v>
      </c>
      <c r="AU129" s="57">
        <v>190</v>
      </c>
      <c r="AV129" s="56">
        <v>64.4287109375</v>
      </c>
      <c r="AW129" s="57">
        <v>334.04538021087649</v>
      </c>
      <c r="AX129" s="8"/>
      <c r="AZ129" s="1">
        <v>90</v>
      </c>
    </row>
    <row r="130" spans="3:52" ht="15" customHeight="1" x14ac:dyDescent="0.25">
      <c r="C130" s="42"/>
      <c r="D130" s="43">
        <f>D124</f>
        <v>45667</v>
      </c>
      <c r="E130" s="44">
        <f t="shared" si="12"/>
        <v>9.75</v>
      </c>
      <c r="F130" s="45">
        <f t="shared" si="8"/>
        <v>45667.750000000276</v>
      </c>
      <c r="G130" s="52">
        <v>35</v>
      </c>
      <c r="H130" s="53">
        <v>36</v>
      </c>
      <c r="I130" s="54">
        <v>11.2</v>
      </c>
      <c r="J130" s="54">
        <v>300</v>
      </c>
      <c r="K130" s="55">
        <v>0</v>
      </c>
      <c r="L130" s="56">
        <v>36</v>
      </c>
      <c r="M130" s="54">
        <v>11.1</v>
      </c>
      <c r="N130" s="54">
        <v>300</v>
      </c>
      <c r="O130" s="57">
        <v>0</v>
      </c>
      <c r="P130" s="53">
        <v>36</v>
      </c>
      <c r="Q130" s="54">
        <v>11.1</v>
      </c>
      <c r="R130" s="55">
        <v>0</v>
      </c>
      <c r="S130" s="55">
        <v>0</v>
      </c>
      <c r="T130" s="57">
        <v>17</v>
      </c>
      <c r="U130" s="56">
        <v>34</v>
      </c>
      <c r="V130" s="54">
        <v>11.1</v>
      </c>
      <c r="W130" s="55">
        <v>0</v>
      </c>
      <c r="X130" s="55">
        <v>0</v>
      </c>
      <c r="Y130" s="57">
        <v>12</v>
      </c>
      <c r="Z130" s="53">
        <v>36</v>
      </c>
      <c r="AA130" s="54">
        <v>11.1</v>
      </c>
      <c r="AB130" s="55">
        <v>0</v>
      </c>
      <c r="AC130" s="55">
        <v>0</v>
      </c>
      <c r="AD130" s="57">
        <v>18.399999999999999</v>
      </c>
      <c r="AE130" s="56">
        <v>35</v>
      </c>
      <c r="AF130" s="54">
        <v>11.1</v>
      </c>
      <c r="AG130" s="55">
        <v>0</v>
      </c>
      <c r="AH130" s="55">
        <v>0</v>
      </c>
      <c r="AI130" s="57">
        <v>15</v>
      </c>
      <c r="AJ130" s="56">
        <v>36</v>
      </c>
      <c r="AK130" s="54">
        <v>11</v>
      </c>
      <c r="AL130" s="54">
        <v>0</v>
      </c>
      <c r="AM130" s="54">
        <v>0</v>
      </c>
      <c r="AN130" s="57">
        <v>12.2</v>
      </c>
      <c r="AO130" s="53">
        <v>36</v>
      </c>
      <c r="AP130" s="54">
        <v>11</v>
      </c>
      <c r="AQ130" s="54">
        <v>210</v>
      </c>
      <c r="AR130" s="54">
        <v>0</v>
      </c>
      <c r="AS130" s="57">
        <v>18.399999999999999</v>
      </c>
      <c r="AT130" s="56">
        <v>39</v>
      </c>
      <c r="AU130" s="57">
        <v>190</v>
      </c>
      <c r="AV130" s="56">
        <v>64.265945434570298</v>
      </c>
      <c r="AW130" s="57">
        <v>336.9033321380615</v>
      </c>
      <c r="AX130" s="8"/>
      <c r="AZ130" s="1">
        <v>90</v>
      </c>
    </row>
    <row r="131" spans="3:52" ht="15" customHeight="1" x14ac:dyDescent="0.25">
      <c r="C131" s="42"/>
      <c r="D131" s="43">
        <f>D124</f>
        <v>45667</v>
      </c>
      <c r="E131" s="44">
        <f t="shared" si="12"/>
        <v>9.8333333333333339</v>
      </c>
      <c r="F131" s="45">
        <f t="shared" si="8"/>
        <v>45667.833333333612</v>
      </c>
      <c r="G131" s="52">
        <v>38</v>
      </c>
      <c r="H131" s="53">
        <v>38</v>
      </c>
      <c r="I131" s="54">
        <v>10.8</v>
      </c>
      <c r="J131" s="54">
        <v>300</v>
      </c>
      <c r="K131" s="55">
        <v>0</v>
      </c>
      <c r="L131" s="56">
        <v>39</v>
      </c>
      <c r="M131" s="54">
        <v>10.9</v>
      </c>
      <c r="N131" s="54">
        <v>300</v>
      </c>
      <c r="O131" s="57">
        <v>0</v>
      </c>
      <c r="P131" s="53">
        <v>40</v>
      </c>
      <c r="Q131" s="54">
        <v>11</v>
      </c>
      <c r="R131" s="55">
        <v>0</v>
      </c>
      <c r="S131" s="55">
        <v>0</v>
      </c>
      <c r="T131" s="57">
        <v>19</v>
      </c>
      <c r="U131" s="56">
        <v>40</v>
      </c>
      <c r="V131" s="54">
        <v>11</v>
      </c>
      <c r="W131" s="55">
        <v>0</v>
      </c>
      <c r="X131" s="55">
        <v>0</v>
      </c>
      <c r="Y131" s="57">
        <v>14</v>
      </c>
      <c r="Z131" s="53">
        <v>39</v>
      </c>
      <c r="AA131" s="54">
        <v>11</v>
      </c>
      <c r="AB131" s="55">
        <v>0</v>
      </c>
      <c r="AC131" s="55">
        <v>0</v>
      </c>
      <c r="AD131" s="57">
        <v>16</v>
      </c>
      <c r="AE131" s="56">
        <v>38</v>
      </c>
      <c r="AF131" s="54">
        <v>11</v>
      </c>
      <c r="AG131" s="55">
        <v>0</v>
      </c>
      <c r="AH131" s="55">
        <v>0</v>
      </c>
      <c r="AI131" s="57">
        <v>15</v>
      </c>
      <c r="AJ131" s="56">
        <v>40</v>
      </c>
      <c r="AK131" s="54">
        <v>11</v>
      </c>
      <c r="AL131" s="54">
        <v>0</v>
      </c>
      <c r="AM131" s="54">
        <v>0</v>
      </c>
      <c r="AN131" s="57">
        <v>14</v>
      </c>
      <c r="AO131" s="53">
        <v>40</v>
      </c>
      <c r="AP131" s="54">
        <v>11</v>
      </c>
      <c r="AQ131" s="54">
        <v>240</v>
      </c>
      <c r="AR131" s="54">
        <v>0</v>
      </c>
      <c r="AS131" s="57">
        <v>19</v>
      </c>
      <c r="AT131" s="56">
        <v>25</v>
      </c>
      <c r="AU131" s="57">
        <v>160</v>
      </c>
      <c r="AV131" s="56">
        <v>64.351394653320298</v>
      </c>
      <c r="AW131" s="57">
        <v>342.45949061711627</v>
      </c>
      <c r="AX131" s="8"/>
      <c r="AZ131" s="1">
        <v>90</v>
      </c>
    </row>
    <row r="132" spans="3:52" ht="15" customHeight="1" x14ac:dyDescent="0.25">
      <c r="C132" s="42"/>
      <c r="D132" s="43">
        <f>D124</f>
        <v>45667</v>
      </c>
      <c r="E132" s="44">
        <f t="shared" si="12"/>
        <v>9.9166666666666679</v>
      </c>
      <c r="F132" s="45">
        <f t="shared" si="8"/>
        <v>45667.916666666948</v>
      </c>
      <c r="G132" s="52">
        <v>37</v>
      </c>
      <c r="H132" s="53">
        <v>35</v>
      </c>
      <c r="I132" s="54">
        <v>10.8</v>
      </c>
      <c r="J132" s="54">
        <v>300</v>
      </c>
      <c r="K132" s="55">
        <v>0</v>
      </c>
      <c r="L132" s="56">
        <v>38</v>
      </c>
      <c r="M132" s="54">
        <v>11</v>
      </c>
      <c r="N132" s="54">
        <v>250</v>
      </c>
      <c r="O132" s="57">
        <v>0</v>
      </c>
      <c r="P132" s="53">
        <v>37</v>
      </c>
      <c r="Q132" s="54">
        <v>10.8</v>
      </c>
      <c r="R132" s="55">
        <v>0</v>
      </c>
      <c r="S132" s="55">
        <v>0</v>
      </c>
      <c r="T132" s="57">
        <v>18.8</v>
      </c>
      <c r="U132" s="56">
        <v>38</v>
      </c>
      <c r="V132" s="54">
        <v>11</v>
      </c>
      <c r="W132" s="55">
        <v>0</v>
      </c>
      <c r="X132" s="55">
        <v>0</v>
      </c>
      <c r="Y132" s="57">
        <v>13.8</v>
      </c>
      <c r="Z132" s="53">
        <v>37</v>
      </c>
      <c r="AA132" s="54">
        <v>11</v>
      </c>
      <c r="AB132" s="55">
        <v>0</v>
      </c>
      <c r="AC132" s="55">
        <v>0</v>
      </c>
      <c r="AD132" s="57">
        <v>16.600000000000001</v>
      </c>
      <c r="AE132" s="56">
        <v>38</v>
      </c>
      <c r="AF132" s="54">
        <v>10.9</v>
      </c>
      <c r="AG132" s="55">
        <v>0</v>
      </c>
      <c r="AH132" s="55">
        <v>0</v>
      </c>
      <c r="AI132" s="57">
        <v>15</v>
      </c>
      <c r="AJ132" s="56">
        <v>36</v>
      </c>
      <c r="AK132" s="54">
        <v>10.9</v>
      </c>
      <c r="AL132" s="54">
        <v>0</v>
      </c>
      <c r="AM132" s="54">
        <v>0</v>
      </c>
      <c r="AN132" s="57">
        <v>14.2</v>
      </c>
      <c r="AO132" s="53">
        <v>36</v>
      </c>
      <c r="AP132" s="54">
        <v>10.9</v>
      </c>
      <c r="AQ132" s="54">
        <v>220</v>
      </c>
      <c r="AR132" s="54">
        <v>0</v>
      </c>
      <c r="AS132" s="57">
        <v>18.8</v>
      </c>
      <c r="AT132" s="56">
        <v>24</v>
      </c>
      <c r="AU132" s="57">
        <v>140</v>
      </c>
      <c r="AV132" s="56">
        <v>64.619949340820298</v>
      </c>
      <c r="AW132" s="57">
        <v>336.49992809295657</v>
      </c>
      <c r="AX132" s="8"/>
      <c r="AZ132" s="1">
        <v>90</v>
      </c>
    </row>
    <row r="133" spans="3:52" ht="15" customHeight="1" x14ac:dyDescent="0.25">
      <c r="C133" s="42"/>
      <c r="D133" s="43">
        <f>D124</f>
        <v>45667</v>
      </c>
      <c r="E133" s="44">
        <f t="shared" si="12"/>
        <v>10.000000000000002</v>
      </c>
      <c r="F133" s="45">
        <f t="shared" si="8"/>
        <v>45668.000000000284</v>
      </c>
      <c r="G133" s="52">
        <v>39</v>
      </c>
      <c r="H133" s="53">
        <v>36</v>
      </c>
      <c r="I133" s="54">
        <v>10.8</v>
      </c>
      <c r="J133" s="54">
        <v>300</v>
      </c>
      <c r="K133" s="55">
        <v>0</v>
      </c>
      <c r="L133" s="56">
        <v>36</v>
      </c>
      <c r="M133" s="54">
        <v>11</v>
      </c>
      <c r="N133" s="54">
        <v>250</v>
      </c>
      <c r="O133" s="57">
        <v>0</v>
      </c>
      <c r="P133" s="53">
        <v>38</v>
      </c>
      <c r="Q133" s="54">
        <v>10.8</v>
      </c>
      <c r="R133" s="55">
        <v>0</v>
      </c>
      <c r="S133" s="55">
        <v>0</v>
      </c>
      <c r="T133" s="57">
        <v>18.8</v>
      </c>
      <c r="U133" s="56">
        <v>36</v>
      </c>
      <c r="V133" s="54">
        <v>11</v>
      </c>
      <c r="W133" s="55">
        <v>0</v>
      </c>
      <c r="X133" s="55">
        <v>0</v>
      </c>
      <c r="Y133" s="57">
        <v>13.8</v>
      </c>
      <c r="Z133" s="53">
        <v>36</v>
      </c>
      <c r="AA133" s="54">
        <v>11</v>
      </c>
      <c r="AB133" s="55">
        <v>0</v>
      </c>
      <c r="AC133" s="55">
        <v>0</v>
      </c>
      <c r="AD133" s="57">
        <v>16.399999999999999</v>
      </c>
      <c r="AE133" s="56">
        <v>37</v>
      </c>
      <c r="AF133" s="54">
        <v>10.9</v>
      </c>
      <c r="AG133" s="55">
        <v>0</v>
      </c>
      <c r="AH133" s="55">
        <v>0</v>
      </c>
      <c r="AI133" s="57">
        <v>15.2</v>
      </c>
      <c r="AJ133" s="56">
        <v>38</v>
      </c>
      <c r="AK133" s="54">
        <v>10.9</v>
      </c>
      <c r="AL133" s="54">
        <v>0</v>
      </c>
      <c r="AM133" s="54">
        <v>0</v>
      </c>
      <c r="AN133" s="57">
        <v>13.8</v>
      </c>
      <c r="AO133" s="53">
        <v>37</v>
      </c>
      <c r="AP133" s="54">
        <v>10.9</v>
      </c>
      <c r="AQ133" s="54">
        <v>220</v>
      </c>
      <c r="AR133" s="54">
        <v>0</v>
      </c>
      <c r="AS133" s="57">
        <v>18.600000000000001</v>
      </c>
      <c r="AT133" s="56">
        <v>24</v>
      </c>
      <c r="AU133" s="57">
        <v>150</v>
      </c>
      <c r="AV133" s="56">
        <v>65.254714965820298</v>
      </c>
      <c r="AW133" s="57">
        <v>333.75771614710487</v>
      </c>
      <c r="AX133" s="8"/>
      <c r="AZ133" s="1">
        <v>90</v>
      </c>
    </row>
    <row r="134" spans="3:52" ht="15" customHeight="1" x14ac:dyDescent="0.25">
      <c r="C134" s="42"/>
      <c r="D134" s="43">
        <f>D124</f>
        <v>45667</v>
      </c>
      <c r="E134" s="44">
        <f t="shared" si="12"/>
        <v>10.083333333333336</v>
      </c>
      <c r="F134" s="45">
        <f t="shared" si="8"/>
        <v>45668.08333333362</v>
      </c>
      <c r="G134" s="52">
        <v>38</v>
      </c>
      <c r="H134" s="53">
        <v>38</v>
      </c>
      <c r="I134" s="54">
        <v>11</v>
      </c>
      <c r="J134" s="54">
        <v>300</v>
      </c>
      <c r="K134" s="55">
        <v>0</v>
      </c>
      <c r="L134" s="56">
        <v>40</v>
      </c>
      <c r="M134" s="54">
        <v>10.8</v>
      </c>
      <c r="N134" s="54">
        <v>250</v>
      </c>
      <c r="O134" s="57">
        <v>0</v>
      </c>
      <c r="P134" s="53">
        <v>38</v>
      </c>
      <c r="Q134" s="54">
        <v>10.7</v>
      </c>
      <c r="R134" s="55">
        <v>0</v>
      </c>
      <c r="S134" s="55">
        <v>0</v>
      </c>
      <c r="T134" s="57">
        <v>18.600000000000001</v>
      </c>
      <c r="U134" s="56">
        <v>37</v>
      </c>
      <c r="V134" s="54">
        <v>10.9</v>
      </c>
      <c r="W134" s="55">
        <v>0</v>
      </c>
      <c r="X134" s="55">
        <v>0</v>
      </c>
      <c r="Y134" s="57">
        <v>14</v>
      </c>
      <c r="Z134" s="53">
        <v>37</v>
      </c>
      <c r="AA134" s="54">
        <v>10.9</v>
      </c>
      <c r="AB134" s="55">
        <v>0</v>
      </c>
      <c r="AC134" s="55">
        <v>0</v>
      </c>
      <c r="AD134" s="57">
        <v>16</v>
      </c>
      <c r="AE134" s="56">
        <v>38</v>
      </c>
      <c r="AF134" s="54">
        <v>11</v>
      </c>
      <c r="AG134" s="55">
        <v>0</v>
      </c>
      <c r="AH134" s="55">
        <v>0</v>
      </c>
      <c r="AI134" s="57">
        <v>15</v>
      </c>
      <c r="AJ134" s="56">
        <v>38</v>
      </c>
      <c r="AK134" s="54">
        <v>11</v>
      </c>
      <c r="AL134" s="54">
        <v>0</v>
      </c>
      <c r="AM134" s="54">
        <v>0</v>
      </c>
      <c r="AN134" s="57">
        <v>13.6</v>
      </c>
      <c r="AO134" s="53">
        <v>39</v>
      </c>
      <c r="AP134" s="54">
        <v>11</v>
      </c>
      <c r="AQ134" s="54">
        <v>230</v>
      </c>
      <c r="AR134" s="54">
        <v>0</v>
      </c>
      <c r="AS134" s="57">
        <v>18.8</v>
      </c>
      <c r="AT134" s="56">
        <v>28</v>
      </c>
      <c r="AU134" s="57">
        <v>160</v>
      </c>
      <c r="AV134" s="56">
        <v>65.673828125</v>
      </c>
      <c r="AW134" s="57">
        <v>331.77758467992146</v>
      </c>
      <c r="AX134" s="8"/>
      <c r="AZ134" s="1">
        <v>90</v>
      </c>
    </row>
    <row r="135" spans="3:52" ht="15" customHeight="1" x14ac:dyDescent="0.25">
      <c r="C135" s="42"/>
      <c r="D135" s="69">
        <f>D124</f>
        <v>45667</v>
      </c>
      <c r="E135" s="70">
        <f t="shared" si="12"/>
        <v>10.16666666666667</v>
      </c>
      <c r="F135" s="71">
        <f t="shared" si="8"/>
        <v>45668.166666666955</v>
      </c>
      <c r="G135" s="60">
        <v>37</v>
      </c>
      <c r="H135" s="61">
        <v>37</v>
      </c>
      <c r="I135" s="62">
        <v>10.9</v>
      </c>
      <c r="J135" s="62">
        <v>300</v>
      </c>
      <c r="K135" s="63">
        <v>0</v>
      </c>
      <c r="L135" s="64">
        <v>37</v>
      </c>
      <c r="M135" s="62">
        <v>10.8</v>
      </c>
      <c r="N135" s="62">
        <v>250</v>
      </c>
      <c r="O135" s="65">
        <v>0</v>
      </c>
      <c r="P135" s="61">
        <v>37</v>
      </c>
      <c r="Q135" s="62">
        <v>10.7</v>
      </c>
      <c r="R135" s="63">
        <v>0</v>
      </c>
      <c r="S135" s="63">
        <v>0</v>
      </c>
      <c r="T135" s="65">
        <v>18.8</v>
      </c>
      <c r="U135" s="64">
        <v>38</v>
      </c>
      <c r="V135" s="62">
        <v>10.8</v>
      </c>
      <c r="W135" s="63">
        <v>0</v>
      </c>
      <c r="X135" s="63">
        <v>0</v>
      </c>
      <c r="Y135" s="65">
        <v>14</v>
      </c>
      <c r="Z135" s="61">
        <v>38</v>
      </c>
      <c r="AA135" s="62">
        <v>11</v>
      </c>
      <c r="AB135" s="63">
        <v>0</v>
      </c>
      <c r="AC135" s="63">
        <v>0</v>
      </c>
      <c r="AD135" s="65">
        <v>16</v>
      </c>
      <c r="AE135" s="64">
        <v>37</v>
      </c>
      <c r="AF135" s="62">
        <v>10.9</v>
      </c>
      <c r="AG135" s="63">
        <v>0</v>
      </c>
      <c r="AH135" s="63">
        <v>0</v>
      </c>
      <c r="AI135" s="65">
        <v>15</v>
      </c>
      <c r="AJ135" s="64">
        <v>37</v>
      </c>
      <c r="AK135" s="62">
        <v>10.9</v>
      </c>
      <c r="AL135" s="62">
        <v>0</v>
      </c>
      <c r="AM135" s="62">
        <v>0</v>
      </c>
      <c r="AN135" s="65">
        <v>14.4</v>
      </c>
      <c r="AO135" s="61">
        <v>38</v>
      </c>
      <c r="AP135" s="62">
        <v>10.8</v>
      </c>
      <c r="AQ135" s="62">
        <v>240</v>
      </c>
      <c r="AR135" s="62">
        <v>0</v>
      </c>
      <c r="AS135" s="65">
        <v>19</v>
      </c>
      <c r="AT135" s="64">
        <v>26</v>
      </c>
      <c r="AU135" s="65">
        <v>150</v>
      </c>
      <c r="AV135" s="64">
        <v>66.097000122070298</v>
      </c>
      <c r="AW135" s="65">
        <v>331.7214025815328</v>
      </c>
      <c r="AX135" s="8"/>
      <c r="AZ135" s="1">
        <v>90</v>
      </c>
    </row>
    <row r="136" spans="3:52" ht="15" customHeight="1" x14ac:dyDescent="0.25">
      <c r="C136" s="42">
        <f>C124+1</f>
        <v>11</v>
      </c>
      <c r="D136" s="66">
        <f>DATE([1]Dash!$F$3,VLOOKUP([1]Dash!$E$3,[1]Abb!$C$3:$D$14,2,FALSE),C136)</f>
        <v>45668</v>
      </c>
      <c r="E136" s="67">
        <f>E135+2/24</f>
        <v>10.250000000000004</v>
      </c>
      <c r="F136" s="68">
        <f t="shared" si="8"/>
        <v>45668.250000000291</v>
      </c>
      <c r="G136" s="46">
        <v>39</v>
      </c>
      <c r="H136" s="47">
        <v>36</v>
      </c>
      <c r="I136" s="48">
        <v>10.9</v>
      </c>
      <c r="J136" s="48">
        <v>300</v>
      </c>
      <c r="K136" s="49">
        <v>0</v>
      </c>
      <c r="L136" s="50">
        <v>37</v>
      </c>
      <c r="M136" s="48">
        <v>10.8</v>
      </c>
      <c r="N136" s="48">
        <v>250</v>
      </c>
      <c r="O136" s="51">
        <v>0</v>
      </c>
      <c r="P136" s="47">
        <v>35</v>
      </c>
      <c r="Q136" s="48">
        <v>10.9</v>
      </c>
      <c r="R136" s="49">
        <v>0</v>
      </c>
      <c r="S136" s="49">
        <v>0</v>
      </c>
      <c r="T136" s="51">
        <v>18.600000000000001</v>
      </c>
      <c r="U136" s="50">
        <v>36</v>
      </c>
      <c r="V136" s="48">
        <v>10.9</v>
      </c>
      <c r="W136" s="49">
        <v>0</v>
      </c>
      <c r="X136" s="49">
        <v>0</v>
      </c>
      <c r="Y136" s="51">
        <v>13.8</v>
      </c>
      <c r="Z136" s="47">
        <v>37</v>
      </c>
      <c r="AA136" s="48">
        <v>10.9</v>
      </c>
      <c r="AB136" s="49">
        <v>0</v>
      </c>
      <c r="AC136" s="49">
        <v>0</v>
      </c>
      <c r="AD136" s="51">
        <v>17</v>
      </c>
      <c r="AE136" s="50">
        <v>37</v>
      </c>
      <c r="AF136" s="48">
        <v>10.9</v>
      </c>
      <c r="AG136" s="49">
        <v>0</v>
      </c>
      <c r="AH136" s="49">
        <v>0</v>
      </c>
      <c r="AI136" s="51">
        <v>15</v>
      </c>
      <c r="AJ136" s="50">
        <v>37</v>
      </c>
      <c r="AK136" s="48">
        <v>11</v>
      </c>
      <c r="AL136" s="48">
        <v>0</v>
      </c>
      <c r="AM136" s="48">
        <v>0</v>
      </c>
      <c r="AN136" s="51">
        <v>14.2</v>
      </c>
      <c r="AO136" s="47">
        <v>36</v>
      </c>
      <c r="AP136" s="48">
        <v>11</v>
      </c>
      <c r="AQ136" s="48">
        <v>270</v>
      </c>
      <c r="AR136" s="48">
        <v>0</v>
      </c>
      <c r="AS136" s="51">
        <v>18.8</v>
      </c>
      <c r="AT136" s="50">
        <v>25</v>
      </c>
      <c r="AU136" s="51">
        <v>180</v>
      </c>
      <c r="AV136" s="50">
        <v>65.690109252929702</v>
      </c>
      <c r="AW136" s="51">
        <v>335.71252899169923</v>
      </c>
      <c r="AX136" s="8"/>
      <c r="AZ136" s="1">
        <v>90</v>
      </c>
    </row>
    <row r="137" spans="3:52" ht="15" customHeight="1" x14ac:dyDescent="0.25">
      <c r="C137" s="42"/>
      <c r="D137" s="43">
        <f>D136</f>
        <v>45668</v>
      </c>
      <c r="E137" s="44">
        <f>E136+2/24</f>
        <v>10.333333333333337</v>
      </c>
      <c r="F137" s="45">
        <f t="shared" si="8"/>
        <v>45668.333333333627</v>
      </c>
      <c r="G137" s="52">
        <v>32</v>
      </c>
      <c r="H137" s="53">
        <v>36</v>
      </c>
      <c r="I137" s="54">
        <v>11</v>
      </c>
      <c r="J137" s="54">
        <v>300</v>
      </c>
      <c r="K137" s="55">
        <v>0</v>
      </c>
      <c r="L137" s="56">
        <v>34</v>
      </c>
      <c r="M137" s="54">
        <v>11.1</v>
      </c>
      <c r="N137" s="54">
        <v>250</v>
      </c>
      <c r="O137" s="57">
        <v>0</v>
      </c>
      <c r="P137" s="53">
        <v>36</v>
      </c>
      <c r="Q137" s="54">
        <v>11.1</v>
      </c>
      <c r="R137" s="55">
        <v>0</v>
      </c>
      <c r="S137" s="55">
        <v>0</v>
      </c>
      <c r="T137" s="57">
        <v>17</v>
      </c>
      <c r="U137" s="56">
        <v>39</v>
      </c>
      <c r="V137" s="54">
        <v>11.1</v>
      </c>
      <c r="W137" s="55">
        <v>0</v>
      </c>
      <c r="X137" s="55">
        <v>0</v>
      </c>
      <c r="Y137" s="57">
        <v>11</v>
      </c>
      <c r="Z137" s="53">
        <v>34</v>
      </c>
      <c r="AA137" s="54">
        <v>11.2</v>
      </c>
      <c r="AB137" s="55">
        <v>0</v>
      </c>
      <c r="AC137" s="55">
        <v>0</v>
      </c>
      <c r="AD137" s="57">
        <v>18</v>
      </c>
      <c r="AE137" s="56">
        <v>35</v>
      </c>
      <c r="AF137" s="54">
        <v>11.1</v>
      </c>
      <c r="AG137" s="55">
        <v>0</v>
      </c>
      <c r="AH137" s="55">
        <v>0</v>
      </c>
      <c r="AI137" s="57">
        <v>15.4</v>
      </c>
      <c r="AJ137" s="56">
        <v>32</v>
      </c>
      <c r="AK137" s="54">
        <v>11.1</v>
      </c>
      <c r="AL137" s="54">
        <v>0</v>
      </c>
      <c r="AM137" s="54">
        <v>0</v>
      </c>
      <c r="AN137" s="57">
        <v>13</v>
      </c>
      <c r="AO137" s="53">
        <v>33</v>
      </c>
      <c r="AP137" s="54">
        <v>11.2</v>
      </c>
      <c r="AQ137" s="54">
        <v>230</v>
      </c>
      <c r="AR137" s="54">
        <v>0</v>
      </c>
      <c r="AS137" s="57">
        <v>18</v>
      </c>
      <c r="AT137" s="56">
        <v>28</v>
      </c>
      <c r="AU137" s="57">
        <v>200</v>
      </c>
      <c r="AV137" s="56">
        <v>65.68603515625</v>
      </c>
      <c r="AW137" s="57">
        <v>331.92587838172915</v>
      </c>
      <c r="AX137" s="8"/>
      <c r="AZ137" s="1">
        <v>90</v>
      </c>
    </row>
    <row r="138" spans="3:52" ht="15" customHeight="1" x14ac:dyDescent="0.25">
      <c r="C138" s="42"/>
      <c r="D138" s="43">
        <f>D136</f>
        <v>45668</v>
      </c>
      <c r="E138" s="44">
        <f t="shared" ref="E138:E147" si="13">E137+2/24</f>
        <v>10.416666666666671</v>
      </c>
      <c r="F138" s="45">
        <f t="shared" si="8"/>
        <v>45668.416666666963</v>
      </c>
      <c r="G138" s="52">
        <v>39</v>
      </c>
      <c r="H138" s="53">
        <v>35</v>
      </c>
      <c r="I138" s="54">
        <v>11.1</v>
      </c>
      <c r="J138" s="54">
        <v>300</v>
      </c>
      <c r="K138" s="55">
        <v>0</v>
      </c>
      <c r="L138" s="56">
        <v>35</v>
      </c>
      <c r="M138" s="54">
        <v>11.1</v>
      </c>
      <c r="N138" s="54">
        <v>250</v>
      </c>
      <c r="O138" s="57">
        <v>0</v>
      </c>
      <c r="P138" s="53">
        <v>37</v>
      </c>
      <c r="Q138" s="54">
        <v>11.1</v>
      </c>
      <c r="R138" s="55">
        <v>0</v>
      </c>
      <c r="S138" s="55">
        <v>0</v>
      </c>
      <c r="T138" s="57">
        <v>17</v>
      </c>
      <c r="U138" s="56">
        <v>34</v>
      </c>
      <c r="V138" s="54">
        <v>11</v>
      </c>
      <c r="W138" s="55">
        <v>0</v>
      </c>
      <c r="X138" s="55">
        <v>0</v>
      </c>
      <c r="Y138" s="57">
        <v>14</v>
      </c>
      <c r="Z138" s="53">
        <v>35</v>
      </c>
      <c r="AA138" s="54">
        <v>11.2</v>
      </c>
      <c r="AB138" s="55">
        <v>0</v>
      </c>
      <c r="AC138" s="55">
        <v>0</v>
      </c>
      <c r="AD138" s="57">
        <v>15.4</v>
      </c>
      <c r="AE138" s="56">
        <v>34</v>
      </c>
      <c r="AF138" s="54">
        <v>11.2</v>
      </c>
      <c r="AG138" s="55">
        <v>0</v>
      </c>
      <c r="AH138" s="55">
        <v>0</v>
      </c>
      <c r="AI138" s="57">
        <v>15</v>
      </c>
      <c r="AJ138" s="56">
        <v>34</v>
      </c>
      <c r="AK138" s="54">
        <v>11.1</v>
      </c>
      <c r="AL138" s="54">
        <v>0</v>
      </c>
      <c r="AM138" s="54">
        <v>0</v>
      </c>
      <c r="AN138" s="57">
        <v>13</v>
      </c>
      <c r="AO138" s="53">
        <v>33</v>
      </c>
      <c r="AP138" s="54">
        <v>11.2</v>
      </c>
      <c r="AQ138" s="54">
        <v>220</v>
      </c>
      <c r="AR138" s="54">
        <v>0</v>
      </c>
      <c r="AS138" s="57">
        <v>18</v>
      </c>
      <c r="AT138" s="56">
        <v>30</v>
      </c>
      <c r="AU138" s="57">
        <v>190</v>
      </c>
      <c r="AV138" s="56">
        <v>63.4765625</v>
      </c>
      <c r="AW138" s="57">
        <v>336.32957213719686</v>
      </c>
      <c r="AX138" s="8"/>
      <c r="AZ138" s="1">
        <v>90</v>
      </c>
    </row>
    <row r="139" spans="3:52" ht="15" customHeight="1" x14ac:dyDescent="0.25">
      <c r="C139" s="42"/>
      <c r="D139" s="43">
        <f>D136</f>
        <v>45668</v>
      </c>
      <c r="E139" s="44">
        <f t="shared" si="13"/>
        <v>10.500000000000005</v>
      </c>
      <c r="F139" s="45">
        <f t="shared" si="8"/>
        <v>45668.500000000298</v>
      </c>
      <c r="G139" s="52">
        <v>33</v>
      </c>
      <c r="H139" s="53">
        <v>35</v>
      </c>
      <c r="I139" s="54">
        <v>11</v>
      </c>
      <c r="J139" s="54">
        <v>350</v>
      </c>
      <c r="K139" s="55">
        <v>0</v>
      </c>
      <c r="L139" s="56">
        <v>35</v>
      </c>
      <c r="M139" s="54">
        <v>11</v>
      </c>
      <c r="N139" s="54">
        <v>250</v>
      </c>
      <c r="O139" s="57">
        <v>0</v>
      </c>
      <c r="P139" s="53">
        <v>35</v>
      </c>
      <c r="Q139" s="54">
        <v>11</v>
      </c>
      <c r="R139" s="55">
        <v>0</v>
      </c>
      <c r="S139" s="55">
        <v>0</v>
      </c>
      <c r="T139" s="57">
        <v>17.2</v>
      </c>
      <c r="U139" s="56">
        <v>35</v>
      </c>
      <c r="V139" s="54">
        <v>11.1</v>
      </c>
      <c r="W139" s="55">
        <v>0</v>
      </c>
      <c r="X139" s="55">
        <v>0</v>
      </c>
      <c r="Y139" s="57">
        <v>14.6</v>
      </c>
      <c r="Z139" s="53">
        <v>34</v>
      </c>
      <c r="AA139" s="54">
        <v>11.1</v>
      </c>
      <c r="AB139" s="55">
        <v>0</v>
      </c>
      <c r="AC139" s="55">
        <v>0</v>
      </c>
      <c r="AD139" s="57">
        <v>15</v>
      </c>
      <c r="AE139" s="56">
        <v>33</v>
      </c>
      <c r="AF139" s="54">
        <v>11.2</v>
      </c>
      <c r="AG139" s="55">
        <v>0</v>
      </c>
      <c r="AH139" s="55">
        <v>0</v>
      </c>
      <c r="AI139" s="57">
        <v>15</v>
      </c>
      <c r="AJ139" s="56">
        <v>35</v>
      </c>
      <c r="AK139" s="54">
        <v>11.2</v>
      </c>
      <c r="AL139" s="54">
        <v>0</v>
      </c>
      <c r="AM139" s="54">
        <v>0</v>
      </c>
      <c r="AN139" s="57">
        <v>12.8</v>
      </c>
      <c r="AO139" s="53">
        <v>35</v>
      </c>
      <c r="AP139" s="54">
        <v>11.1</v>
      </c>
      <c r="AQ139" s="54">
        <v>250</v>
      </c>
      <c r="AR139" s="54">
        <v>0</v>
      </c>
      <c r="AS139" s="57">
        <v>17.8</v>
      </c>
      <c r="AT139" s="56">
        <v>31</v>
      </c>
      <c r="AU139" s="57">
        <v>210</v>
      </c>
      <c r="AV139" s="56">
        <v>63.887531280517599</v>
      </c>
      <c r="AW139" s="57">
        <v>347.33904825846355</v>
      </c>
      <c r="AX139" s="8"/>
      <c r="AZ139" s="1">
        <v>90</v>
      </c>
    </row>
    <row r="140" spans="3:52" ht="15" customHeight="1" x14ac:dyDescent="0.25">
      <c r="C140" s="42"/>
      <c r="D140" s="43">
        <f>D136</f>
        <v>45668</v>
      </c>
      <c r="E140" s="44">
        <f t="shared" si="13"/>
        <v>10.583333333333339</v>
      </c>
      <c r="F140" s="45">
        <f t="shared" si="8"/>
        <v>45668.583333333634</v>
      </c>
      <c r="G140" s="52">
        <v>35</v>
      </c>
      <c r="H140" s="53">
        <v>37</v>
      </c>
      <c r="I140" s="54">
        <v>10.9</v>
      </c>
      <c r="J140" s="54">
        <v>350</v>
      </c>
      <c r="K140" s="55">
        <v>0</v>
      </c>
      <c r="L140" s="56">
        <v>37</v>
      </c>
      <c r="M140" s="54">
        <v>10.8</v>
      </c>
      <c r="N140" s="54">
        <v>250</v>
      </c>
      <c r="O140" s="57">
        <v>0</v>
      </c>
      <c r="P140" s="53">
        <v>36</v>
      </c>
      <c r="Q140" s="54">
        <v>11.1</v>
      </c>
      <c r="R140" s="55">
        <v>0</v>
      </c>
      <c r="S140" s="55">
        <v>0</v>
      </c>
      <c r="T140" s="57">
        <v>17.2</v>
      </c>
      <c r="U140" s="56">
        <v>35</v>
      </c>
      <c r="V140" s="54">
        <v>11.1</v>
      </c>
      <c r="W140" s="55">
        <v>0</v>
      </c>
      <c r="X140" s="55">
        <v>0</v>
      </c>
      <c r="Y140" s="57">
        <v>14.6</v>
      </c>
      <c r="Z140" s="53">
        <v>33</v>
      </c>
      <c r="AA140" s="54">
        <v>10.8</v>
      </c>
      <c r="AB140" s="55">
        <v>0</v>
      </c>
      <c r="AC140" s="55">
        <v>0</v>
      </c>
      <c r="AD140" s="57">
        <v>15</v>
      </c>
      <c r="AE140" s="56">
        <v>33</v>
      </c>
      <c r="AF140" s="54">
        <v>11.1</v>
      </c>
      <c r="AG140" s="55">
        <v>0</v>
      </c>
      <c r="AH140" s="55">
        <v>0</v>
      </c>
      <c r="AI140" s="57">
        <v>15</v>
      </c>
      <c r="AJ140" s="56">
        <v>34</v>
      </c>
      <c r="AK140" s="54">
        <v>11.2</v>
      </c>
      <c r="AL140" s="54">
        <v>0</v>
      </c>
      <c r="AM140" s="54">
        <v>0</v>
      </c>
      <c r="AN140" s="57">
        <v>12.8</v>
      </c>
      <c r="AO140" s="53">
        <v>34</v>
      </c>
      <c r="AP140" s="54">
        <v>11.1</v>
      </c>
      <c r="AQ140" s="54">
        <v>240</v>
      </c>
      <c r="AR140" s="54">
        <v>0</v>
      </c>
      <c r="AS140" s="57">
        <v>17.8</v>
      </c>
      <c r="AT140" s="56">
        <v>30</v>
      </c>
      <c r="AU140" s="57">
        <v>110</v>
      </c>
      <c r="AV140" s="56">
        <v>63.541667938232401</v>
      </c>
      <c r="AW140" s="57">
        <v>349.34051914215087</v>
      </c>
      <c r="AX140" s="8"/>
      <c r="AZ140" s="1">
        <v>90</v>
      </c>
    </row>
    <row r="141" spans="3:52" ht="15" customHeight="1" x14ac:dyDescent="0.25">
      <c r="C141" s="42"/>
      <c r="D141" s="43">
        <f>D136</f>
        <v>45668</v>
      </c>
      <c r="E141" s="44">
        <f t="shared" si="13"/>
        <v>10.666666666666673</v>
      </c>
      <c r="F141" s="45">
        <f t="shared" si="8"/>
        <v>45668.66666666697</v>
      </c>
      <c r="G141" s="52">
        <v>39</v>
      </c>
      <c r="H141" s="53">
        <v>38</v>
      </c>
      <c r="I141" s="54">
        <v>10.6</v>
      </c>
      <c r="J141" s="54">
        <v>300</v>
      </c>
      <c r="K141" s="55">
        <v>0</v>
      </c>
      <c r="L141" s="56">
        <v>35</v>
      </c>
      <c r="M141" s="54">
        <v>10.8</v>
      </c>
      <c r="N141" s="54">
        <v>300</v>
      </c>
      <c r="O141" s="57">
        <v>0</v>
      </c>
      <c r="P141" s="53">
        <v>35</v>
      </c>
      <c r="Q141" s="54">
        <v>10.9</v>
      </c>
      <c r="R141" s="55">
        <v>0</v>
      </c>
      <c r="S141" s="55">
        <v>0</v>
      </c>
      <c r="T141" s="57">
        <v>17</v>
      </c>
      <c r="U141" s="56">
        <v>34</v>
      </c>
      <c r="V141" s="54">
        <v>11</v>
      </c>
      <c r="W141" s="55">
        <v>0</v>
      </c>
      <c r="X141" s="55">
        <v>0</v>
      </c>
      <c r="Y141" s="57">
        <v>14</v>
      </c>
      <c r="Z141" s="53">
        <v>33</v>
      </c>
      <c r="AA141" s="54">
        <v>10.8</v>
      </c>
      <c r="AB141" s="55">
        <v>0</v>
      </c>
      <c r="AC141" s="55">
        <v>0</v>
      </c>
      <c r="AD141" s="57">
        <v>14.8</v>
      </c>
      <c r="AE141" s="56">
        <v>31</v>
      </c>
      <c r="AF141" s="54">
        <v>11.1</v>
      </c>
      <c r="AG141" s="55">
        <v>0</v>
      </c>
      <c r="AH141" s="55">
        <v>0</v>
      </c>
      <c r="AI141" s="57">
        <v>15</v>
      </c>
      <c r="AJ141" s="56">
        <v>32</v>
      </c>
      <c r="AK141" s="54">
        <v>11.1</v>
      </c>
      <c r="AL141" s="54">
        <v>0</v>
      </c>
      <c r="AM141" s="54">
        <v>0</v>
      </c>
      <c r="AN141" s="57">
        <v>13</v>
      </c>
      <c r="AO141" s="53">
        <v>32</v>
      </c>
      <c r="AP141" s="54">
        <v>11.1</v>
      </c>
      <c r="AQ141" s="54">
        <v>240</v>
      </c>
      <c r="AR141" s="54">
        <v>0</v>
      </c>
      <c r="AS141" s="57">
        <v>18</v>
      </c>
      <c r="AT141" s="56">
        <v>26</v>
      </c>
      <c r="AU141" s="57">
        <v>210</v>
      </c>
      <c r="AV141" s="56">
        <v>63.48876953125</v>
      </c>
      <c r="AW141" s="57">
        <v>352.21113071441653</v>
      </c>
      <c r="AX141" s="8"/>
      <c r="AZ141" s="1">
        <v>90</v>
      </c>
    </row>
    <row r="142" spans="3:52" ht="15" customHeight="1" x14ac:dyDescent="0.25">
      <c r="C142" s="42"/>
      <c r="D142" s="43">
        <f>D136</f>
        <v>45668</v>
      </c>
      <c r="E142" s="44">
        <f t="shared" si="13"/>
        <v>10.750000000000007</v>
      </c>
      <c r="F142" s="45">
        <f t="shared" si="8"/>
        <v>45668.750000000306</v>
      </c>
      <c r="G142" s="52">
        <v>33</v>
      </c>
      <c r="H142" s="53">
        <v>34</v>
      </c>
      <c r="I142" s="54">
        <v>10.7</v>
      </c>
      <c r="J142" s="54">
        <v>300</v>
      </c>
      <c r="K142" s="55">
        <v>0</v>
      </c>
      <c r="L142" s="56">
        <v>35</v>
      </c>
      <c r="M142" s="54">
        <v>10.8</v>
      </c>
      <c r="N142" s="54">
        <v>300</v>
      </c>
      <c r="O142" s="57">
        <v>0</v>
      </c>
      <c r="P142" s="53">
        <v>34</v>
      </c>
      <c r="Q142" s="54">
        <v>10.8</v>
      </c>
      <c r="R142" s="55">
        <v>0</v>
      </c>
      <c r="S142" s="55">
        <v>0</v>
      </c>
      <c r="T142" s="57">
        <v>17</v>
      </c>
      <c r="U142" s="56">
        <v>34</v>
      </c>
      <c r="V142" s="54">
        <v>10.8</v>
      </c>
      <c r="W142" s="55">
        <v>0</v>
      </c>
      <c r="X142" s="55">
        <v>0</v>
      </c>
      <c r="Y142" s="57">
        <v>14</v>
      </c>
      <c r="Z142" s="53">
        <v>35</v>
      </c>
      <c r="AA142" s="54">
        <v>10.7</v>
      </c>
      <c r="AB142" s="55">
        <v>0</v>
      </c>
      <c r="AC142" s="55">
        <v>0</v>
      </c>
      <c r="AD142" s="57">
        <v>14.8</v>
      </c>
      <c r="AE142" s="56">
        <v>34</v>
      </c>
      <c r="AF142" s="54">
        <v>10.9</v>
      </c>
      <c r="AG142" s="55">
        <v>0</v>
      </c>
      <c r="AH142" s="55">
        <v>0</v>
      </c>
      <c r="AI142" s="57">
        <v>15.2</v>
      </c>
      <c r="AJ142" s="56">
        <v>34</v>
      </c>
      <c r="AK142" s="54">
        <v>10.9</v>
      </c>
      <c r="AL142" s="54">
        <v>0</v>
      </c>
      <c r="AM142" s="54">
        <v>0</v>
      </c>
      <c r="AN142" s="57">
        <v>13</v>
      </c>
      <c r="AO142" s="53">
        <v>33</v>
      </c>
      <c r="AP142" s="54">
        <v>11</v>
      </c>
      <c r="AQ142" s="54">
        <v>250</v>
      </c>
      <c r="AR142" s="54">
        <v>0</v>
      </c>
      <c r="AS142" s="57">
        <v>18</v>
      </c>
      <c r="AT142" s="56">
        <v>31</v>
      </c>
      <c r="AU142" s="57">
        <v>210</v>
      </c>
      <c r="AV142" s="56">
        <v>61.861164093017599</v>
      </c>
      <c r="AW142" s="57">
        <v>353.84693266550698</v>
      </c>
      <c r="AX142" s="8"/>
      <c r="AZ142" s="1">
        <v>90</v>
      </c>
    </row>
    <row r="143" spans="3:52" ht="15" customHeight="1" x14ac:dyDescent="0.25">
      <c r="C143" s="42"/>
      <c r="D143" s="43">
        <f>D136</f>
        <v>45668</v>
      </c>
      <c r="E143" s="44">
        <f t="shared" si="13"/>
        <v>10.833333333333341</v>
      </c>
      <c r="F143" s="45">
        <f t="shared" si="8"/>
        <v>45668.833333333641</v>
      </c>
      <c r="G143" s="52">
        <v>38</v>
      </c>
      <c r="H143" s="53">
        <v>37</v>
      </c>
      <c r="I143" s="54">
        <v>11</v>
      </c>
      <c r="J143" s="54">
        <v>350</v>
      </c>
      <c r="K143" s="55">
        <v>0</v>
      </c>
      <c r="L143" s="56">
        <v>38</v>
      </c>
      <c r="M143" s="54">
        <v>10.8</v>
      </c>
      <c r="N143" s="54">
        <v>300</v>
      </c>
      <c r="O143" s="57">
        <v>0</v>
      </c>
      <c r="P143" s="53">
        <v>36</v>
      </c>
      <c r="Q143" s="54">
        <v>10.7</v>
      </c>
      <c r="R143" s="55">
        <v>0</v>
      </c>
      <c r="S143" s="55">
        <v>0</v>
      </c>
      <c r="T143" s="57">
        <v>19</v>
      </c>
      <c r="U143" s="56">
        <v>37</v>
      </c>
      <c r="V143" s="54">
        <v>10.7</v>
      </c>
      <c r="W143" s="55">
        <v>0</v>
      </c>
      <c r="X143" s="55">
        <v>0</v>
      </c>
      <c r="Y143" s="57">
        <v>14</v>
      </c>
      <c r="Z143" s="53">
        <v>35</v>
      </c>
      <c r="AA143" s="54">
        <v>10.8</v>
      </c>
      <c r="AB143" s="55">
        <v>0</v>
      </c>
      <c r="AC143" s="55">
        <v>0</v>
      </c>
      <c r="AD143" s="57">
        <v>17</v>
      </c>
      <c r="AE143" s="56">
        <v>35</v>
      </c>
      <c r="AF143" s="54">
        <v>10.8</v>
      </c>
      <c r="AG143" s="55">
        <v>0</v>
      </c>
      <c r="AH143" s="55">
        <v>0</v>
      </c>
      <c r="AI143" s="57">
        <v>15</v>
      </c>
      <c r="AJ143" s="56">
        <v>35</v>
      </c>
      <c r="AK143" s="54">
        <v>10.7</v>
      </c>
      <c r="AL143" s="54">
        <v>0</v>
      </c>
      <c r="AM143" s="54">
        <v>0</v>
      </c>
      <c r="AN143" s="57">
        <v>14</v>
      </c>
      <c r="AO143" s="53">
        <v>33</v>
      </c>
      <c r="AP143" s="54">
        <v>10.7</v>
      </c>
      <c r="AQ143" s="54">
        <v>210</v>
      </c>
      <c r="AR143" s="54">
        <v>0</v>
      </c>
      <c r="AS143" s="57">
        <v>18</v>
      </c>
      <c r="AT143" s="56">
        <v>23</v>
      </c>
      <c r="AU143" s="57">
        <v>170</v>
      </c>
      <c r="AV143" s="56">
        <v>62.87841796875</v>
      </c>
      <c r="AW143" s="57">
        <v>351.50125389099122</v>
      </c>
      <c r="AX143" s="8"/>
      <c r="AZ143" s="1">
        <v>90</v>
      </c>
    </row>
    <row r="144" spans="3:52" ht="15" customHeight="1" x14ac:dyDescent="0.25">
      <c r="C144" s="42"/>
      <c r="D144" s="43">
        <f>D136</f>
        <v>45668</v>
      </c>
      <c r="E144" s="44">
        <f t="shared" si="13"/>
        <v>10.916666666666675</v>
      </c>
      <c r="F144" s="45">
        <f t="shared" si="8"/>
        <v>45668.916666666977</v>
      </c>
      <c r="G144" s="52">
        <v>40</v>
      </c>
      <c r="H144" s="53">
        <v>38</v>
      </c>
      <c r="I144" s="54">
        <v>11</v>
      </c>
      <c r="J144" s="54">
        <v>350</v>
      </c>
      <c r="K144" s="55">
        <v>0</v>
      </c>
      <c r="L144" s="56">
        <v>37</v>
      </c>
      <c r="M144" s="54">
        <v>10.7</v>
      </c>
      <c r="N144" s="54">
        <v>300</v>
      </c>
      <c r="O144" s="57">
        <v>0</v>
      </c>
      <c r="P144" s="53">
        <v>37</v>
      </c>
      <c r="Q144" s="54">
        <v>10.7</v>
      </c>
      <c r="R144" s="55">
        <v>0</v>
      </c>
      <c r="S144" s="55">
        <v>0</v>
      </c>
      <c r="T144" s="57">
        <v>19</v>
      </c>
      <c r="U144" s="56">
        <v>38</v>
      </c>
      <c r="V144" s="54">
        <v>10.7</v>
      </c>
      <c r="W144" s="55">
        <v>0</v>
      </c>
      <c r="X144" s="55">
        <v>0</v>
      </c>
      <c r="Y144" s="57">
        <v>13.8</v>
      </c>
      <c r="Z144" s="53">
        <v>35</v>
      </c>
      <c r="AA144" s="54">
        <v>10.7</v>
      </c>
      <c r="AB144" s="55">
        <v>0</v>
      </c>
      <c r="AC144" s="55">
        <v>0</v>
      </c>
      <c r="AD144" s="57">
        <v>17.2</v>
      </c>
      <c r="AE144" s="56">
        <v>36</v>
      </c>
      <c r="AF144" s="54">
        <v>10.7</v>
      </c>
      <c r="AG144" s="55">
        <v>0</v>
      </c>
      <c r="AH144" s="55">
        <v>0</v>
      </c>
      <c r="AI144" s="57">
        <v>15.4</v>
      </c>
      <c r="AJ144" s="56">
        <v>35</v>
      </c>
      <c r="AK144" s="54">
        <v>10.8</v>
      </c>
      <c r="AL144" s="54">
        <v>0</v>
      </c>
      <c r="AM144" s="54">
        <v>0</v>
      </c>
      <c r="AN144" s="57">
        <v>13.6</v>
      </c>
      <c r="AO144" s="53">
        <v>35</v>
      </c>
      <c r="AP144" s="54">
        <v>10.5</v>
      </c>
      <c r="AQ144" s="54">
        <v>240</v>
      </c>
      <c r="AR144" s="54">
        <v>0</v>
      </c>
      <c r="AS144" s="57">
        <v>18.2</v>
      </c>
      <c r="AT144" s="56">
        <v>25</v>
      </c>
      <c r="AU144" s="57">
        <v>180</v>
      </c>
      <c r="AV144" s="56">
        <v>62.890625</v>
      </c>
      <c r="AW144" s="57">
        <v>353.63751411437988</v>
      </c>
      <c r="AX144" s="8"/>
      <c r="AZ144" s="1">
        <v>90</v>
      </c>
    </row>
    <row r="145" spans="3:52" ht="15" customHeight="1" x14ac:dyDescent="0.25">
      <c r="C145" s="42"/>
      <c r="D145" s="43">
        <f>D136</f>
        <v>45668</v>
      </c>
      <c r="E145" s="44">
        <f t="shared" si="13"/>
        <v>11.000000000000009</v>
      </c>
      <c r="F145" s="45">
        <f t="shared" si="8"/>
        <v>45669.000000000313</v>
      </c>
      <c r="G145" s="52">
        <v>39</v>
      </c>
      <c r="H145" s="53">
        <v>39</v>
      </c>
      <c r="I145" s="54">
        <v>10.9</v>
      </c>
      <c r="J145" s="54">
        <v>350</v>
      </c>
      <c r="K145" s="55">
        <v>0</v>
      </c>
      <c r="L145" s="56">
        <v>37</v>
      </c>
      <c r="M145" s="54">
        <v>10.7</v>
      </c>
      <c r="N145" s="54">
        <v>350</v>
      </c>
      <c r="O145" s="57">
        <v>0</v>
      </c>
      <c r="P145" s="53">
        <v>37</v>
      </c>
      <c r="Q145" s="54">
        <v>10.6</v>
      </c>
      <c r="R145" s="55">
        <v>0</v>
      </c>
      <c r="S145" s="55">
        <v>0</v>
      </c>
      <c r="T145" s="57">
        <v>18.8</v>
      </c>
      <c r="U145" s="56">
        <v>37</v>
      </c>
      <c r="V145" s="54">
        <v>10.6</v>
      </c>
      <c r="W145" s="55">
        <v>0</v>
      </c>
      <c r="X145" s="55">
        <v>0</v>
      </c>
      <c r="Y145" s="57">
        <v>14</v>
      </c>
      <c r="Z145" s="53">
        <v>36</v>
      </c>
      <c r="AA145" s="54">
        <v>10.6</v>
      </c>
      <c r="AB145" s="55">
        <v>0</v>
      </c>
      <c r="AC145" s="55">
        <v>0</v>
      </c>
      <c r="AD145" s="57">
        <v>17</v>
      </c>
      <c r="AE145" s="56">
        <v>36</v>
      </c>
      <c r="AF145" s="54">
        <v>10.7</v>
      </c>
      <c r="AG145" s="55">
        <v>0</v>
      </c>
      <c r="AH145" s="55">
        <v>0</v>
      </c>
      <c r="AI145" s="57">
        <v>15.4</v>
      </c>
      <c r="AJ145" s="56">
        <v>36</v>
      </c>
      <c r="AK145" s="54">
        <v>10.7</v>
      </c>
      <c r="AL145" s="54">
        <v>0</v>
      </c>
      <c r="AM145" s="54">
        <v>0</v>
      </c>
      <c r="AN145" s="57">
        <v>13.8</v>
      </c>
      <c r="AO145" s="53">
        <v>35</v>
      </c>
      <c r="AP145" s="54">
        <v>10.6</v>
      </c>
      <c r="AQ145" s="54">
        <v>240</v>
      </c>
      <c r="AR145" s="54">
        <v>0</v>
      </c>
      <c r="AS145" s="57">
        <v>18</v>
      </c>
      <c r="AT145" s="56">
        <v>24</v>
      </c>
      <c r="AU145" s="57">
        <v>180</v>
      </c>
      <c r="AV145" s="56">
        <v>61.564128875732401</v>
      </c>
      <c r="AW145" s="57">
        <v>354.45951417287193</v>
      </c>
      <c r="AX145" s="8"/>
      <c r="AZ145" s="1">
        <v>90</v>
      </c>
    </row>
    <row r="146" spans="3:52" ht="15" customHeight="1" x14ac:dyDescent="0.25">
      <c r="C146" s="42"/>
      <c r="D146" s="43">
        <f>D136</f>
        <v>45668</v>
      </c>
      <c r="E146" s="44">
        <f t="shared" si="13"/>
        <v>11.083333333333343</v>
      </c>
      <c r="F146" s="45">
        <f t="shared" ref="F146:F209" si="14">F145+(E146-E145)</f>
        <v>45669.083333333649</v>
      </c>
      <c r="G146" s="52">
        <v>42</v>
      </c>
      <c r="H146" s="53">
        <v>40</v>
      </c>
      <c r="I146" s="54">
        <v>10.9</v>
      </c>
      <c r="J146" s="54">
        <v>300</v>
      </c>
      <c r="K146" s="55">
        <v>0</v>
      </c>
      <c r="L146" s="56">
        <v>38</v>
      </c>
      <c r="M146" s="54">
        <v>10.7</v>
      </c>
      <c r="N146" s="54">
        <v>350</v>
      </c>
      <c r="O146" s="57">
        <v>0</v>
      </c>
      <c r="P146" s="53">
        <v>38</v>
      </c>
      <c r="Q146" s="54">
        <v>10.7</v>
      </c>
      <c r="R146" s="55">
        <v>0</v>
      </c>
      <c r="S146" s="55">
        <v>0</v>
      </c>
      <c r="T146" s="57">
        <v>19</v>
      </c>
      <c r="U146" s="56">
        <v>38</v>
      </c>
      <c r="V146" s="54">
        <v>10.6</v>
      </c>
      <c r="W146" s="55">
        <v>0</v>
      </c>
      <c r="X146" s="55">
        <v>0</v>
      </c>
      <c r="Y146" s="57">
        <v>14</v>
      </c>
      <c r="Z146" s="53">
        <v>37</v>
      </c>
      <c r="AA146" s="54">
        <v>10.5</v>
      </c>
      <c r="AB146" s="55">
        <v>0</v>
      </c>
      <c r="AC146" s="55">
        <v>0</v>
      </c>
      <c r="AD146" s="57">
        <v>17.8</v>
      </c>
      <c r="AE146" s="56">
        <v>37</v>
      </c>
      <c r="AF146" s="54">
        <v>10.5</v>
      </c>
      <c r="AG146" s="55">
        <v>0</v>
      </c>
      <c r="AH146" s="55">
        <v>0</v>
      </c>
      <c r="AI146" s="57">
        <v>15.8</v>
      </c>
      <c r="AJ146" s="56">
        <v>37</v>
      </c>
      <c r="AK146" s="54">
        <v>10.6</v>
      </c>
      <c r="AL146" s="54">
        <v>0</v>
      </c>
      <c r="AM146" s="54">
        <v>0</v>
      </c>
      <c r="AN146" s="57">
        <v>14</v>
      </c>
      <c r="AO146" s="53">
        <v>36</v>
      </c>
      <c r="AP146" s="54">
        <v>10.6</v>
      </c>
      <c r="AQ146" s="54">
        <v>230</v>
      </c>
      <c r="AR146" s="54">
        <v>0</v>
      </c>
      <c r="AS146" s="57">
        <v>17.8</v>
      </c>
      <c r="AT146" s="56">
        <v>25</v>
      </c>
      <c r="AU146" s="57">
        <v>160</v>
      </c>
      <c r="AV146" s="56">
        <v>62.980144500732401</v>
      </c>
      <c r="AW146" s="57">
        <v>353.36407712300621</v>
      </c>
      <c r="AX146" s="8"/>
      <c r="AZ146" s="1">
        <v>90</v>
      </c>
    </row>
    <row r="147" spans="3:52" ht="15" customHeight="1" x14ac:dyDescent="0.25">
      <c r="C147" s="42"/>
      <c r="D147" s="69">
        <f>D136</f>
        <v>45668</v>
      </c>
      <c r="E147" s="70">
        <f t="shared" si="13"/>
        <v>11.166666666666677</v>
      </c>
      <c r="F147" s="71">
        <f t="shared" si="14"/>
        <v>45669.166666666984</v>
      </c>
      <c r="G147" s="60" t="s">
        <v>38</v>
      </c>
      <c r="H147" s="61">
        <v>40</v>
      </c>
      <c r="I147" s="62">
        <v>10.9</v>
      </c>
      <c r="J147" s="62">
        <v>300</v>
      </c>
      <c r="K147" s="63">
        <v>0</v>
      </c>
      <c r="L147" s="64">
        <v>38</v>
      </c>
      <c r="M147" s="62">
        <v>10.7</v>
      </c>
      <c r="N147" s="62">
        <v>350</v>
      </c>
      <c r="O147" s="65">
        <v>0</v>
      </c>
      <c r="P147" s="61">
        <v>38</v>
      </c>
      <c r="Q147" s="62">
        <v>10.7</v>
      </c>
      <c r="R147" s="63">
        <v>0</v>
      </c>
      <c r="S147" s="63">
        <v>0</v>
      </c>
      <c r="T147" s="65">
        <v>19</v>
      </c>
      <c r="U147" s="64">
        <v>37</v>
      </c>
      <c r="V147" s="62">
        <v>10.6</v>
      </c>
      <c r="W147" s="63">
        <v>0</v>
      </c>
      <c r="X147" s="63">
        <v>0</v>
      </c>
      <c r="Y147" s="65">
        <v>14</v>
      </c>
      <c r="Z147" s="61">
        <v>36</v>
      </c>
      <c r="AA147" s="62">
        <v>10.5</v>
      </c>
      <c r="AB147" s="63">
        <v>0</v>
      </c>
      <c r="AC147" s="63">
        <v>0</v>
      </c>
      <c r="AD147" s="65">
        <v>18</v>
      </c>
      <c r="AE147" s="64">
        <v>37</v>
      </c>
      <c r="AF147" s="62">
        <v>10.5</v>
      </c>
      <c r="AG147" s="63">
        <v>0</v>
      </c>
      <c r="AH147" s="63">
        <v>0</v>
      </c>
      <c r="AI147" s="65">
        <v>15.8</v>
      </c>
      <c r="AJ147" s="64">
        <v>36</v>
      </c>
      <c r="AK147" s="62">
        <v>10.6</v>
      </c>
      <c r="AL147" s="62">
        <v>0</v>
      </c>
      <c r="AM147" s="62">
        <v>0</v>
      </c>
      <c r="AN147" s="65">
        <v>13.8</v>
      </c>
      <c r="AO147" s="61">
        <v>36</v>
      </c>
      <c r="AP147" s="62">
        <v>10.6</v>
      </c>
      <c r="AQ147" s="62">
        <v>240</v>
      </c>
      <c r="AR147" s="62">
        <v>0</v>
      </c>
      <c r="AS147" s="65">
        <v>18</v>
      </c>
      <c r="AT147" s="64">
        <v>20</v>
      </c>
      <c r="AU147" s="65">
        <v>140</v>
      </c>
      <c r="AV147" s="64">
        <v>62.82958984375</v>
      </c>
      <c r="AW147" s="65">
        <v>351.02285830179852</v>
      </c>
      <c r="AX147" s="8"/>
      <c r="AZ147" s="1">
        <v>90</v>
      </c>
    </row>
    <row r="148" spans="3:52" ht="15" customHeight="1" x14ac:dyDescent="0.25">
      <c r="C148" s="42">
        <f>C136+1</f>
        <v>12</v>
      </c>
      <c r="D148" s="66">
        <f>DATE([1]Dash!$F$3,VLOOKUP([1]Dash!$E$3,[1]Abb!$C$3:$D$14,2,FALSE),C148)</f>
        <v>45669</v>
      </c>
      <c r="E148" s="67">
        <f>E147+2/24</f>
        <v>11.250000000000011</v>
      </c>
      <c r="F148" s="68">
        <f t="shared" si="14"/>
        <v>45669.25000000032</v>
      </c>
      <c r="G148" s="46" t="s">
        <v>38</v>
      </c>
      <c r="H148" s="47">
        <v>39</v>
      </c>
      <c r="I148" s="48">
        <v>10.9</v>
      </c>
      <c r="J148" s="48">
        <v>300</v>
      </c>
      <c r="K148" s="49">
        <v>0</v>
      </c>
      <c r="L148" s="50">
        <v>38</v>
      </c>
      <c r="M148" s="48">
        <v>10.7</v>
      </c>
      <c r="N148" s="48">
        <v>350</v>
      </c>
      <c r="O148" s="51">
        <v>0</v>
      </c>
      <c r="P148" s="47">
        <v>38</v>
      </c>
      <c r="Q148" s="48">
        <v>10.7</v>
      </c>
      <c r="R148" s="49">
        <v>0</v>
      </c>
      <c r="S148" s="49">
        <v>0</v>
      </c>
      <c r="T148" s="51">
        <v>19</v>
      </c>
      <c r="U148" s="50">
        <v>38</v>
      </c>
      <c r="V148" s="48">
        <v>10.6</v>
      </c>
      <c r="W148" s="49">
        <v>0</v>
      </c>
      <c r="X148" s="49">
        <v>0</v>
      </c>
      <c r="Y148" s="51">
        <v>14</v>
      </c>
      <c r="Z148" s="47">
        <v>37</v>
      </c>
      <c r="AA148" s="48">
        <v>10.5</v>
      </c>
      <c r="AB148" s="49">
        <v>0</v>
      </c>
      <c r="AC148" s="49">
        <v>0</v>
      </c>
      <c r="AD148" s="51">
        <v>17</v>
      </c>
      <c r="AE148" s="50">
        <v>37</v>
      </c>
      <c r="AF148" s="48">
        <v>10.5</v>
      </c>
      <c r="AG148" s="49">
        <v>0</v>
      </c>
      <c r="AH148" s="49">
        <v>0</v>
      </c>
      <c r="AI148" s="51">
        <v>15</v>
      </c>
      <c r="AJ148" s="50">
        <v>36</v>
      </c>
      <c r="AK148" s="48">
        <v>10.6</v>
      </c>
      <c r="AL148" s="48">
        <v>0</v>
      </c>
      <c r="AM148" s="48">
        <v>0</v>
      </c>
      <c r="AN148" s="51">
        <v>14</v>
      </c>
      <c r="AO148" s="47">
        <v>36</v>
      </c>
      <c r="AP148" s="48">
        <v>10.6</v>
      </c>
      <c r="AQ148" s="48">
        <v>240</v>
      </c>
      <c r="AR148" s="48">
        <v>0</v>
      </c>
      <c r="AS148" s="51">
        <v>18</v>
      </c>
      <c r="AT148" s="50" t="s">
        <v>38</v>
      </c>
      <c r="AU148" s="51" t="s">
        <v>38</v>
      </c>
      <c r="AV148" s="50">
        <v>62.272136688232401</v>
      </c>
      <c r="AW148" s="51">
        <v>351.41396656036375</v>
      </c>
      <c r="AX148" s="8"/>
      <c r="AZ148" s="1">
        <v>90</v>
      </c>
    </row>
    <row r="149" spans="3:52" ht="15" customHeight="1" x14ac:dyDescent="0.25">
      <c r="C149" s="42"/>
      <c r="D149" s="43">
        <f>D148</f>
        <v>45669</v>
      </c>
      <c r="E149" s="44">
        <f>E148+2/24</f>
        <v>11.333333333333345</v>
      </c>
      <c r="F149" s="45">
        <f t="shared" si="14"/>
        <v>45669.333333333656</v>
      </c>
      <c r="G149" s="52">
        <v>36</v>
      </c>
      <c r="H149" s="53">
        <v>38</v>
      </c>
      <c r="I149" s="54">
        <v>11.4</v>
      </c>
      <c r="J149" s="54">
        <v>350</v>
      </c>
      <c r="K149" s="55">
        <v>0</v>
      </c>
      <c r="L149" s="56">
        <v>34</v>
      </c>
      <c r="M149" s="54">
        <v>10.9</v>
      </c>
      <c r="N149" s="54">
        <v>300</v>
      </c>
      <c r="O149" s="57">
        <v>0</v>
      </c>
      <c r="P149" s="53">
        <v>35</v>
      </c>
      <c r="Q149" s="54">
        <v>10.8</v>
      </c>
      <c r="R149" s="55">
        <v>0</v>
      </c>
      <c r="S149" s="55">
        <v>0</v>
      </c>
      <c r="T149" s="57">
        <v>18</v>
      </c>
      <c r="U149" s="56">
        <v>33</v>
      </c>
      <c r="V149" s="54">
        <v>10.8</v>
      </c>
      <c r="W149" s="55">
        <v>0</v>
      </c>
      <c r="X149" s="55">
        <v>0</v>
      </c>
      <c r="Y149" s="57">
        <v>12.8</v>
      </c>
      <c r="Z149" s="53">
        <v>33</v>
      </c>
      <c r="AA149" s="54">
        <v>10.9</v>
      </c>
      <c r="AB149" s="55">
        <v>0</v>
      </c>
      <c r="AC149" s="55">
        <v>0</v>
      </c>
      <c r="AD149" s="57">
        <v>16</v>
      </c>
      <c r="AE149" s="56">
        <v>34</v>
      </c>
      <c r="AF149" s="54">
        <v>10.7</v>
      </c>
      <c r="AG149" s="55">
        <v>0</v>
      </c>
      <c r="AH149" s="55">
        <v>0</v>
      </c>
      <c r="AI149" s="57">
        <v>15</v>
      </c>
      <c r="AJ149" s="56">
        <v>32</v>
      </c>
      <c r="AK149" s="54">
        <v>10.8</v>
      </c>
      <c r="AL149" s="54">
        <v>0</v>
      </c>
      <c r="AM149" s="54">
        <v>0</v>
      </c>
      <c r="AN149" s="57">
        <v>14</v>
      </c>
      <c r="AO149" s="53">
        <v>31</v>
      </c>
      <c r="AP149" s="54">
        <v>10.8</v>
      </c>
      <c r="AQ149" s="54">
        <v>220</v>
      </c>
      <c r="AR149" s="54">
        <v>0</v>
      </c>
      <c r="AS149" s="57">
        <v>18.600000000000001</v>
      </c>
      <c r="AT149" s="56">
        <v>0</v>
      </c>
      <c r="AU149" s="57">
        <v>0</v>
      </c>
      <c r="AV149" s="56">
        <v>63.134765625</v>
      </c>
      <c r="AW149" s="57">
        <v>350.42305615743004</v>
      </c>
      <c r="AX149" s="8"/>
      <c r="AZ149" s="1">
        <v>90</v>
      </c>
    </row>
    <row r="150" spans="3:52" ht="15" customHeight="1" x14ac:dyDescent="0.25">
      <c r="C150" s="42"/>
      <c r="D150" s="43">
        <f>D148</f>
        <v>45669</v>
      </c>
      <c r="E150" s="44">
        <f t="shared" ref="E150:E159" si="15">E149+2/24</f>
        <v>11.416666666666679</v>
      </c>
      <c r="F150" s="45">
        <f t="shared" si="14"/>
        <v>45669.416666666992</v>
      </c>
      <c r="G150" s="52">
        <v>35</v>
      </c>
      <c r="H150" s="53">
        <v>35</v>
      </c>
      <c r="I150" s="54">
        <v>11.5</v>
      </c>
      <c r="J150" s="54">
        <v>600</v>
      </c>
      <c r="K150" s="55">
        <v>0</v>
      </c>
      <c r="L150" s="56">
        <v>35</v>
      </c>
      <c r="M150" s="54">
        <v>10.8</v>
      </c>
      <c r="N150" s="54">
        <v>550</v>
      </c>
      <c r="O150" s="57">
        <v>0</v>
      </c>
      <c r="P150" s="53">
        <v>35</v>
      </c>
      <c r="Q150" s="54">
        <v>11</v>
      </c>
      <c r="R150" s="55">
        <v>0</v>
      </c>
      <c r="S150" s="55">
        <v>0</v>
      </c>
      <c r="T150" s="57">
        <v>18.8</v>
      </c>
      <c r="U150" s="56">
        <v>33</v>
      </c>
      <c r="V150" s="54">
        <v>10.9</v>
      </c>
      <c r="W150" s="55">
        <v>0</v>
      </c>
      <c r="X150" s="55">
        <v>0</v>
      </c>
      <c r="Y150" s="57">
        <v>12.4</v>
      </c>
      <c r="Z150" s="53">
        <v>34</v>
      </c>
      <c r="AA150" s="54">
        <v>10.9</v>
      </c>
      <c r="AB150" s="55">
        <v>0</v>
      </c>
      <c r="AC150" s="55">
        <v>0</v>
      </c>
      <c r="AD150" s="57">
        <v>16.8</v>
      </c>
      <c r="AE150" s="56">
        <v>34</v>
      </c>
      <c r="AF150" s="54">
        <v>10.8</v>
      </c>
      <c r="AG150" s="55">
        <v>0</v>
      </c>
      <c r="AH150" s="55">
        <v>0</v>
      </c>
      <c r="AI150" s="57">
        <v>15.4</v>
      </c>
      <c r="AJ150" s="56">
        <v>33</v>
      </c>
      <c r="AK150" s="54">
        <v>10.3</v>
      </c>
      <c r="AL150" s="54">
        <v>0</v>
      </c>
      <c r="AM150" s="54">
        <v>0</v>
      </c>
      <c r="AN150" s="57">
        <v>14.4</v>
      </c>
      <c r="AO150" s="53">
        <v>34</v>
      </c>
      <c r="AP150" s="54">
        <v>10.9</v>
      </c>
      <c r="AQ150" s="54">
        <v>220</v>
      </c>
      <c r="AR150" s="54">
        <v>0</v>
      </c>
      <c r="AS150" s="57">
        <v>18.8</v>
      </c>
      <c r="AT150" s="56">
        <v>26</v>
      </c>
      <c r="AU150" s="57">
        <v>140</v>
      </c>
      <c r="AV150" s="56">
        <v>63.41552734375</v>
      </c>
      <c r="AW150" s="57">
        <v>348.07038485209148</v>
      </c>
      <c r="AX150" s="8"/>
      <c r="AZ150" s="1">
        <v>90</v>
      </c>
    </row>
    <row r="151" spans="3:52" ht="15" customHeight="1" x14ac:dyDescent="0.25">
      <c r="C151" s="42"/>
      <c r="D151" s="43">
        <f>D148</f>
        <v>45669</v>
      </c>
      <c r="E151" s="44">
        <f t="shared" si="15"/>
        <v>11.500000000000012</v>
      </c>
      <c r="F151" s="45">
        <f t="shared" si="14"/>
        <v>45669.500000000327</v>
      </c>
      <c r="G151" s="52">
        <v>0</v>
      </c>
      <c r="H151" s="53">
        <v>36</v>
      </c>
      <c r="I151" s="54">
        <v>11.5</v>
      </c>
      <c r="J151" s="54">
        <v>600</v>
      </c>
      <c r="K151" s="55">
        <v>0</v>
      </c>
      <c r="L151" s="56">
        <v>35</v>
      </c>
      <c r="M151" s="54">
        <v>10.9</v>
      </c>
      <c r="N151" s="54">
        <v>550</v>
      </c>
      <c r="O151" s="57">
        <v>0</v>
      </c>
      <c r="P151" s="53">
        <v>35</v>
      </c>
      <c r="Q151" s="54">
        <v>11</v>
      </c>
      <c r="R151" s="55">
        <v>0</v>
      </c>
      <c r="S151" s="55">
        <v>0</v>
      </c>
      <c r="T151" s="57">
        <v>18.399999999999999</v>
      </c>
      <c r="U151" s="56">
        <v>34</v>
      </c>
      <c r="V151" s="54">
        <v>10.9</v>
      </c>
      <c r="W151" s="55">
        <v>0</v>
      </c>
      <c r="X151" s="55">
        <v>0</v>
      </c>
      <c r="Y151" s="57">
        <v>12.6</v>
      </c>
      <c r="Z151" s="53">
        <v>34</v>
      </c>
      <c r="AA151" s="54">
        <v>10.9</v>
      </c>
      <c r="AB151" s="55">
        <v>0</v>
      </c>
      <c r="AC151" s="55">
        <v>0</v>
      </c>
      <c r="AD151" s="57">
        <v>16.2</v>
      </c>
      <c r="AE151" s="56">
        <v>34</v>
      </c>
      <c r="AF151" s="54">
        <v>10.8</v>
      </c>
      <c r="AG151" s="55">
        <v>0</v>
      </c>
      <c r="AH151" s="55">
        <v>0</v>
      </c>
      <c r="AI151" s="57">
        <v>15.8</v>
      </c>
      <c r="AJ151" s="56">
        <v>33</v>
      </c>
      <c r="AK151" s="54">
        <v>10.8</v>
      </c>
      <c r="AL151" s="54">
        <v>0</v>
      </c>
      <c r="AM151" s="54">
        <v>0</v>
      </c>
      <c r="AN151" s="57">
        <v>13.8</v>
      </c>
      <c r="AO151" s="53">
        <v>32</v>
      </c>
      <c r="AP151" s="54">
        <v>10.9</v>
      </c>
      <c r="AQ151" s="54">
        <v>230</v>
      </c>
      <c r="AR151" s="54">
        <v>0</v>
      </c>
      <c r="AS151" s="57">
        <v>18.399999999999999</v>
      </c>
      <c r="AT151" s="56">
        <v>27</v>
      </c>
      <c r="AU151" s="57">
        <v>200</v>
      </c>
      <c r="AV151" s="56">
        <v>63.212078094482401</v>
      </c>
      <c r="AW151" s="57">
        <v>349.604191271464</v>
      </c>
      <c r="AX151" s="8"/>
      <c r="AZ151" s="1">
        <v>90</v>
      </c>
    </row>
    <row r="152" spans="3:52" ht="15" customHeight="1" x14ac:dyDescent="0.25">
      <c r="C152" s="42"/>
      <c r="D152" s="43">
        <f>D148</f>
        <v>45669</v>
      </c>
      <c r="E152" s="44">
        <f t="shared" si="15"/>
        <v>11.583333333333346</v>
      </c>
      <c r="F152" s="45">
        <f t="shared" si="14"/>
        <v>45669.583333333663</v>
      </c>
      <c r="G152" s="52">
        <v>0</v>
      </c>
      <c r="H152" s="53">
        <v>35</v>
      </c>
      <c r="I152" s="54">
        <v>11.4</v>
      </c>
      <c r="J152" s="54">
        <v>600</v>
      </c>
      <c r="K152" s="55">
        <v>0</v>
      </c>
      <c r="L152" s="56">
        <v>37</v>
      </c>
      <c r="M152" s="54">
        <v>11</v>
      </c>
      <c r="N152" s="54">
        <v>550</v>
      </c>
      <c r="O152" s="57">
        <v>0</v>
      </c>
      <c r="P152" s="53">
        <v>36</v>
      </c>
      <c r="Q152" s="54">
        <v>10.9</v>
      </c>
      <c r="R152" s="55">
        <v>0</v>
      </c>
      <c r="S152" s="55">
        <v>0</v>
      </c>
      <c r="T152" s="57">
        <v>18</v>
      </c>
      <c r="U152" s="56">
        <v>33</v>
      </c>
      <c r="V152" s="54">
        <v>10.8</v>
      </c>
      <c r="W152" s="55">
        <v>0</v>
      </c>
      <c r="X152" s="55">
        <v>0</v>
      </c>
      <c r="Y152" s="57">
        <v>12.8</v>
      </c>
      <c r="Z152" s="53">
        <v>34</v>
      </c>
      <c r="AA152" s="54">
        <v>10.8</v>
      </c>
      <c r="AB152" s="55">
        <v>0</v>
      </c>
      <c r="AC152" s="55">
        <v>0</v>
      </c>
      <c r="AD152" s="57">
        <v>16</v>
      </c>
      <c r="AE152" s="56">
        <v>34</v>
      </c>
      <c r="AF152" s="54">
        <v>10.8</v>
      </c>
      <c r="AG152" s="55">
        <v>0</v>
      </c>
      <c r="AH152" s="55">
        <v>0</v>
      </c>
      <c r="AI152" s="57">
        <v>15</v>
      </c>
      <c r="AJ152" s="56">
        <v>33</v>
      </c>
      <c r="AK152" s="54">
        <v>10.9</v>
      </c>
      <c r="AL152" s="54">
        <v>0</v>
      </c>
      <c r="AM152" s="54">
        <v>0</v>
      </c>
      <c r="AN152" s="57">
        <v>14</v>
      </c>
      <c r="AO152" s="53">
        <v>32</v>
      </c>
      <c r="AP152" s="54">
        <v>10.8</v>
      </c>
      <c r="AQ152" s="54">
        <v>210</v>
      </c>
      <c r="AR152" s="54">
        <v>0</v>
      </c>
      <c r="AS152" s="57">
        <v>18.600000000000001</v>
      </c>
      <c r="AT152" s="56">
        <v>25</v>
      </c>
      <c r="AU152" s="57">
        <v>150</v>
      </c>
      <c r="AV152" s="56">
        <v>62.638347625732401</v>
      </c>
      <c r="AW152" s="57">
        <v>349.1169947942098</v>
      </c>
      <c r="AX152" s="8"/>
      <c r="AZ152" s="1">
        <v>90</v>
      </c>
    </row>
    <row r="153" spans="3:52" ht="15" customHeight="1" x14ac:dyDescent="0.25">
      <c r="C153" s="42"/>
      <c r="D153" s="43">
        <f>D148</f>
        <v>45669</v>
      </c>
      <c r="E153" s="44">
        <f t="shared" si="15"/>
        <v>11.66666666666668</v>
      </c>
      <c r="F153" s="45">
        <f t="shared" si="14"/>
        <v>45669.666666666999</v>
      </c>
      <c r="G153" s="52">
        <v>30</v>
      </c>
      <c r="H153" s="53">
        <v>0</v>
      </c>
      <c r="I153" s="54">
        <v>0</v>
      </c>
      <c r="J153" s="54">
        <v>0</v>
      </c>
      <c r="K153" s="55">
        <v>0</v>
      </c>
      <c r="L153" s="56">
        <v>0</v>
      </c>
      <c r="M153" s="54">
        <v>0</v>
      </c>
      <c r="N153" s="54">
        <v>0</v>
      </c>
      <c r="O153" s="57">
        <v>0</v>
      </c>
      <c r="P153" s="53">
        <v>0</v>
      </c>
      <c r="Q153" s="54">
        <v>0</v>
      </c>
      <c r="R153" s="55">
        <v>0</v>
      </c>
      <c r="S153" s="55">
        <v>0</v>
      </c>
      <c r="T153" s="57">
        <v>0</v>
      </c>
      <c r="U153" s="56">
        <v>0</v>
      </c>
      <c r="V153" s="54">
        <v>0</v>
      </c>
      <c r="W153" s="55">
        <v>0</v>
      </c>
      <c r="X153" s="55">
        <v>0</v>
      </c>
      <c r="Y153" s="57">
        <v>0</v>
      </c>
      <c r="Z153" s="53">
        <v>0</v>
      </c>
      <c r="AA153" s="54">
        <v>0</v>
      </c>
      <c r="AB153" s="55">
        <v>0</v>
      </c>
      <c r="AC153" s="55">
        <v>0</v>
      </c>
      <c r="AD153" s="57">
        <v>0</v>
      </c>
      <c r="AE153" s="56">
        <v>0</v>
      </c>
      <c r="AF153" s="54">
        <v>0</v>
      </c>
      <c r="AG153" s="55">
        <v>0</v>
      </c>
      <c r="AH153" s="55">
        <v>0</v>
      </c>
      <c r="AI153" s="57">
        <v>0</v>
      </c>
      <c r="AJ153" s="56">
        <v>0</v>
      </c>
      <c r="AK153" s="54">
        <v>0</v>
      </c>
      <c r="AL153" s="54">
        <v>0</v>
      </c>
      <c r="AM153" s="54">
        <v>0</v>
      </c>
      <c r="AN153" s="57">
        <v>0</v>
      </c>
      <c r="AO153" s="53">
        <v>0</v>
      </c>
      <c r="AP153" s="54">
        <v>0</v>
      </c>
      <c r="AQ153" s="54">
        <v>0</v>
      </c>
      <c r="AR153" s="54">
        <v>0</v>
      </c>
      <c r="AS153" s="57">
        <v>0</v>
      </c>
      <c r="AT153" s="56">
        <v>0</v>
      </c>
      <c r="AU153" s="57">
        <v>0</v>
      </c>
      <c r="AV153" s="56">
        <v>62.4755859375</v>
      </c>
      <c r="AW153" s="57">
        <v>350.25016892751057</v>
      </c>
      <c r="AX153" s="8"/>
      <c r="AZ153" s="1">
        <v>90</v>
      </c>
    </row>
    <row r="154" spans="3:52" ht="15" customHeight="1" x14ac:dyDescent="0.25">
      <c r="C154" s="42"/>
      <c r="D154" s="43">
        <f>D148</f>
        <v>45669</v>
      </c>
      <c r="E154" s="44">
        <f t="shared" si="15"/>
        <v>11.750000000000014</v>
      </c>
      <c r="F154" s="45">
        <f t="shared" si="14"/>
        <v>45669.750000000335</v>
      </c>
      <c r="G154" s="52">
        <v>34</v>
      </c>
      <c r="H154" s="53">
        <v>37</v>
      </c>
      <c r="I154" s="54">
        <v>11.6</v>
      </c>
      <c r="J154" s="54">
        <v>450</v>
      </c>
      <c r="K154" s="55">
        <v>0</v>
      </c>
      <c r="L154" s="56">
        <v>35</v>
      </c>
      <c r="M154" s="54">
        <v>11.3</v>
      </c>
      <c r="N154" s="54">
        <v>550</v>
      </c>
      <c r="O154" s="57">
        <v>0</v>
      </c>
      <c r="P154" s="53">
        <v>33</v>
      </c>
      <c r="Q154" s="54">
        <v>11</v>
      </c>
      <c r="R154" s="55">
        <v>0</v>
      </c>
      <c r="S154" s="55">
        <v>0</v>
      </c>
      <c r="T154" s="57">
        <v>18.8</v>
      </c>
      <c r="U154" s="56">
        <v>34</v>
      </c>
      <c r="V154" s="54">
        <v>10.8</v>
      </c>
      <c r="W154" s="55">
        <v>0</v>
      </c>
      <c r="X154" s="55">
        <v>0</v>
      </c>
      <c r="Y154" s="57">
        <v>12.4</v>
      </c>
      <c r="Z154" s="53">
        <v>35</v>
      </c>
      <c r="AA154" s="54">
        <v>10.6</v>
      </c>
      <c r="AB154" s="55">
        <v>0</v>
      </c>
      <c r="AC154" s="55">
        <v>0</v>
      </c>
      <c r="AD154" s="57">
        <v>16.8</v>
      </c>
      <c r="AE154" s="56">
        <v>32</v>
      </c>
      <c r="AF154" s="54">
        <v>10.6</v>
      </c>
      <c r="AG154" s="55">
        <v>0</v>
      </c>
      <c r="AH154" s="55">
        <v>0</v>
      </c>
      <c r="AI154" s="57">
        <v>15.4</v>
      </c>
      <c r="AJ154" s="56">
        <v>33</v>
      </c>
      <c r="AK154" s="54">
        <v>10.7</v>
      </c>
      <c r="AL154" s="54">
        <v>0</v>
      </c>
      <c r="AM154" s="54">
        <v>0</v>
      </c>
      <c r="AN154" s="57">
        <v>14.4</v>
      </c>
      <c r="AO154" s="53">
        <v>32</v>
      </c>
      <c r="AP154" s="54">
        <v>10.6</v>
      </c>
      <c r="AQ154" s="54">
        <v>230</v>
      </c>
      <c r="AR154" s="54">
        <v>0</v>
      </c>
      <c r="AS154" s="57">
        <v>18.8</v>
      </c>
      <c r="AT154" s="56">
        <v>24</v>
      </c>
      <c r="AU154" s="57">
        <v>200</v>
      </c>
      <c r="AV154" s="56">
        <v>63.407390594482401</v>
      </c>
      <c r="AW154" s="57">
        <v>350.52071278889974</v>
      </c>
      <c r="AX154" s="8"/>
      <c r="AZ154" s="1">
        <v>90</v>
      </c>
    </row>
    <row r="155" spans="3:52" ht="15" customHeight="1" x14ac:dyDescent="0.25">
      <c r="C155" s="42"/>
      <c r="D155" s="43">
        <f>D148</f>
        <v>45669</v>
      </c>
      <c r="E155" s="44">
        <f t="shared" si="15"/>
        <v>11.833333333333348</v>
      </c>
      <c r="F155" s="45">
        <f t="shared" si="14"/>
        <v>45669.83333333367</v>
      </c>
      <c r="G155" s="52">
        <v>39</v>
      </c>
      <c r="H155" s="53">
        <v>37</v>
      </c>
      <c r="I155" s="54">
        <v>11</v>
      </c>
      <c r="J155" s="54">
        <v>350</v>
      </c>
      <c r="K155" s="55">
        <v>0</v>
      </c>
      <c r="L155" s="56">
        <v>36</v>
      </c>
      <c r="M155" s="54">
        <v>11</v>
      </c>
      <c r="N155" s="54">
        <v>450</v>
      </c>
      <c r="O155" s="57">
        <v>0</v>
      </c>
      <c r="P155" s="53">
        <v>36</v>
      </c>
      <c r="Q155" s="54">
        <v>10.7</v>
      </c>
      <c r="R155" s="55">
        <v>0</v>
      </c>
      <c r="S155" s="55">
        <v>0</v>
      </c>
      <c r="T155" s="57">
        <v>18.2</v>
      </c>
      <c r="U155" s="56">
        <v>35</v>
      </c>
      <c r="V155" s="54">
        <v>10.7</v>
      </c>
      <c r="W155" s="55">
        <v>0</v>
      </c>
      <c r="X155" s="55">
        <v>0</v>
      </c>
      <c r="Y155" s="57">
        <v>14</v>
      </c>
      <c r="Z155" s="53">
        <v>35</v>
      </c>
      <c r="AA155" s="54">
        <v>10.6</v>
      </c>
      <c r="AB155" s="55">
        <v>0</v>
      </c>
      <c r="AC155" s="55">
        <v>0</v>
      </c>
      <c r="AD155" s="57">
        <v>18</v>
      </c>
      <c r="AE155" s="56">
        <v>35</v>
      </c>
      <c r="AF155" s="54">
        <v>10.6</v>
      </c>
      <c r="AG155" s="55">
        <v>0</v>
      </c>
      <c r="AH155" s="55">
        <v>0</v>
      </c>
      <c r="AI155" s="57">
        <v>16</v>
      </c>
      <c r="AJ155" s="56">
        <v>35</v>
      </c>
      <c r="AK155" s="54">
        <v>10.6</v>
      </c>
      <c r="AL155" s="54">
        <v>0</v>
      </c>
      <c r="AM155" s="54">
        <v>0</v>
      </c>
      <c r="AN155" s="57">
        <v>14</v>
      </c>
      <c r="AO155" s="53">
        <v>33</v>
      </c>
      <c r="AP155" s="54">
        <v>10.6</v>
      </c>
      <c r="AQ155" s="54">
        <v>210</v>
      </c>
      <c r="AR155" s="54">
        <v>0</v>
      </c>
      <c r="AS155" s="57">
        <v>18</v>
      </c>
      <c r="AT155" s="56">
        <v>21</v>
      </c>
      <c r="AU155" s="57">
        <v>140</v>
      </c>
      <c r="AV155" s="56">
        <v>62.662761688232401</v>
      </c>
      <c r="AW155" s="57">
        <v>350.35397357940673</v>
      </c>
      <c r="AX155" s="8"/>
      <c r="AZ155" s="1">
        <v>90</v>
      </c>
    </row>
    <row r="156" spans="3:52" ht="15" customHeight="1" x14ac:dyDescent="0.25">
      <c r="C156" s="42"/>
      <c r="D156" s="43">
        <f>D148</f>
        <v>45669</v>
      </c>
      <c r="E156" s="44">
        <f t="shared" si="15"/>
        <v>11.916666666666682</v>
      </c>
      <c r="F156" s="45">
        <f t="shared" si="14"/>
        <v>45669.916666667006</v>
      </c>
      <c r="G156" s="52">
        <v>39</v>
      </c>
      <c r="H156" s="53">
        <v>38</v>
      </c>
      <c r="I156" s="54">
        <v>11</v>
      </c>
      <c r="J156" s="54">
        <v>350</v>
      </c>
      <c r="K156" s="55">
        <v>0</v>
      </c>
      <c r="L156" s="56">
        <v>37</v>
      </c>
      <c r="M156" s="54">
        <v>11</v>
      </c>
      <c r="N156" s="54">
        <v>400</v>
      </c>
      <c r="O156" s="57">
        <v>0</v>
      </c>
      <c r="P156" s="53">
        <v>36</v>
      </c>
      <c r="Q156" s="54">
        <v>10.8</v>
      </c>
      <c r="R156" s="55">
        <v>0</v>
      </c>
      <c r="S156" s="55">
        <v>0</v>
      </c>
      <c r="T156" s="57">
        <v>18.600000000000001</v>
      </c>
      <c r="U156" s="56">
        <v>36</v>
      </c>
      <c r="V156" s="54">
        <v>10.8</v>
      </c>
      <c r="W156" s="55">
        <v>0</v>
      </c>
      <c r="X156" s="55">
        <v>0</v>
      </c>
      <c r="Y156" s="57">
        <v>13.6</v>
      </c>
      <c r="Z156" s="53">
        <v>35</v>
      </c>
      <c r="AA156" s="54">
        <v>10.6</v>
      </c>
      <c r="AB156" s="55">
        <v>0</v>
      </c>
      <c r="AC156" s="55">
        <v>0</v>
      </c>
      <c r="AD156" s="57">
        <v>18.2</v>
      </c>
      <c r="AE156" s="56">
        <v>35</v>
      </c>
      <c r="AF156" s="54">
        <v>10.7</v>
      </c>
      <c r="AG156" s="55">
        <v>0</v>
      </c>
      <c r="AH156" s="55">
        <v>0</v>
      </c>
      <c r="AI156" s="57">
        <v>16</v>
      </c>
      <c r="AJ156" s="56">
        <v>36</v>
      </c>
      <c r="AK156" s="54">
        <v>10.6</v>
      </c>
      <c r="AL156" s="54">
        <v>0</v>
      </c>
      <c r="AM156" s="54">
        <v>0</v>
      </c>
      <c r="AN156" s="57">
        <v>14</v>
      </c>
      <c r="AO156" s="53">
        <v>34</v>
      </c>
      <c r="AP156" s="54">
        <v>10.6</v>
      </c>
      <c r="AQ156" s="54">
        <v>220</v>
      </c>
      <c r="AR156" s="54">
        <v>0</v>
      </c>
      <c r="AS156" s="57">
        <v>19</v>
      </c>
      <c r="AT156" s="56">
        <v>22</v>
      </c>
      <c r="AU156" s="57">
        <v>140</v>
      </c>
      <c r="AV156" s="56">
        <v>62.349445343017599</v>
      </c>
      <c r="AW156" s="57">
        <v>351.24083741505939</v>
      </c>
      <c r="AX156" s="8"/>
      <c r="AZ156" s="1">
        <v>90</v>
      </c>
    </row>
    <row r="157" spans="3:52" ht="15" customHeight="1" x14ac:dyDescent="0.25">
      <c r="C157" s="42"/>
      <c r="D157" s="43">
        <f>D148</f>
        <v>45669</v>
      </c>
      <c r="E157" s="44">
        <f t="shared" si="15"/>
        <v>12.000000000000016</v>
      </c>
      <c r="F157" s="45">
        <f t="shared" si="14"/>
        <v>45670.000000000342</v>
      </c>
      <c r="G157" s="52">
        <v>38</v>
      </c>
      <c r="H157" s="53">
        <v>36</v>
      </c>
      <c r="I157" s="54">
        <v>10.9</v>
      </c>
      <c r="J157" s="54">
        <v>300</v>
      </c>
      <c r="K157" s="55">
        <v>0</v>
      </c>
      <c r="L157" s="56">
        <v>38</v>
      </c>
      <c r="M157" s="54">
        <v>11</v>
      </c>
      <c r="N157" s="54">
        <v>400</v>
      </c>
      <c r="O157" s="57">
        <v>0</v>
      </c>
      <c r="P157" s="53">
        <v>38</v>
      </c>
      <c r="Q157" s="54">
        <v>11</v>
      </c>
      <c r="R157" s="55">
        <v>0</v>
      </c>
      <c r="S157" s="55">
        <v>0</v>
      </c>
      <c r="T157" s="57">
        <v>18.399999999999999</v>
      </c>
      <c r="U157" s="56">
        <v>37</v>
      </c>
      <c r="V157" s="54">
        <v>11</v>
      </c>
      <c r="W157" s="55">
        <v>0</v>
      </c>
      <c r="X157" s="55">
        <v>0</v>
      </c>
      <c r="Y157" s="57">
        <v>13.8</v>
      </c>
      <c r="Z157" s="53">
        <v>36</v>
      </c>
      <c r="AA157" s="54">
        <v>10.9</v>
      </c>
      <c r="AB157" s="55">
        <v>0</v>
      </c>
      <c r="AC157" s="55">
        <v>0</v>
      </c>
      <c r="AD157" s="57">
        <v>18</v>
      </c>
      <c r="AE157" s="56">
        <v>35</v>
      </c>
      <c r="AF157" s="54">
        <v>10.8</v>
      </c>
      <c r="AG157" s="55">
        <v>0</v>
      </c>
      <c r="AH157" s="55">
        <v>0</v>
      </c>
      <c r="AI157" s="57">
        <v>16.2</v>
      </c>
      <c r="AJ157" s="56">
        <v>35</v>
      </c>
      <c r="AK157" s="54">
        <v>10.9</v>
      </c>
      <c r="AL157" s="54">
        <v>0</v>
      </c>
      <c r="AM157" s="54">
        <v>0</v>
      </c>
      <c r="AN157" s="57">
        <v>13.6</v>
      </c>
      <c r="AO157" s="53">
        <v>34</v>
      </c>
      <c r="AP157" s="54">
        <v>10.8</v>
      </c>
      <c r="AQ157" s="54">
        <v>220</v>
      </c>
      <c r="AR157" s="54">
        <v>0</v>
      </c>
      <c r="AS157" s="57">
        <v>18.600000000000001</v>
      </c>
      <c r="AT157" s="56">
        <v>24</v>
      </c>
      <c r="AU157" s="57">
        <v>130</v>
      </c>
      <c r="AV157" s="56">
        <v>62.613933563232401</v>
      </c>
      <c r="AW157" s="57">
        <v>352.15904827117919</v>
      </c>
      <c r="AX157" s="8"/>
      <c r="AZ157" s="1">
        <v>90</v>
      </c>
    </row>
    <row r="158" spans="3:52" ht="15" customHeight="1" x14ac:dyDescent="0.25">
      <c r="C158" s="42"/>
      <c r="D158" s="43">
        <f>D148</f>
        <v>45669</v>
      </c>
      <c r="E158" s="44">
        <f t="shared" si="15"/>
        <v>12.08333333333335</v>
      </c>
      <c r="F158" s="45">
        <f t="shared" si="14"/>
        <v>45670.083333333678</v>
      </c>
      <c r="G158" s="52">
        <v>40</v>
      </c>
      <c r="H158" s="53">
        <v>38</v>
      </c>
      <c r="I158" s="54">
        <v>10.9</v>
      </c>
      <c r="J158" s="54">
        <v>300</v>
      </c>
      <c r="K158" s="55">
        <v>0</v>
      </c>
      <c r="L158" s="56">
        <v>38</v>
      </c>
      <c r="M158" s="54">
        <v>11</v>
      </c>
      <c r="N158" s="54">
        <v>350</v>
      </c>
      <c r="O158" s="57">
        <v>0</v>
      </c>
      <c r="P158" s="53">
        <v>37</v>
      </c>
      <c r="Q158" s="54">
        <v>11</v>
      </c>
      <c r="R158" s="55">
        <v>0</v>
      </c>
      <c r="S158" s="55">
        <v>0</v>
      </c>
      <c r="T158" s="57">
        <v>19</v>
      </c>
      <c r="U158" s="56">
        <v>36</v>
      </c>
      <c r="V158" s="54">
        <v>11</v>
      </c>
      <c r="W158" s="55">
        <v>0</v>
      </c>
      <c r="X158" s="55">
        <v>0</v>
      </c>
      <c r="Y158" s="57">
        <v>13.6</v>
      </c>
      <c r="Z158" s="53">
        <v>35</v>
      </c>
      <c r="AA158" s="54">
        <v>10.9</v>
      </c>
      <c r="AB158" s="55">
        <v>0</v>
      </c>
      <c r="AC158" s="55">
        <v>0</v>
      </c>
      <c r="AD158" s="57">
        <v>18.399999999999999</v>
      </c>
      <c r="AE158" s="56">
        <v>35</v>
      </c>
      <c r="AF158" s="54">
        <v>10.8</v>
      </c>
      <c r="AG158" s="55">
        <v>0</v>
      </c>
      <c r="AH158" s="55">
        <v>0</v>
      </c>
      <c r="AI158" s="57">
        <v>16.399999999999999</v>
      </c>
      <c r="AJ158" s="56">
        <v>37</v>
      </c>
      <c r="AK158" s="54">
        <v>10.8</v>
      </c>
      <c r="AL158" s="54">
        <v>0</v>
      </c>
      <c r="AM158" s="54">
        <v>0</v>
      </c>
      <c r="AN158" s="57">
        <v>13.4</v>
      </c>
      <c r="AO158" s="53">
        <v>36</v>
      </c>
      <c r="AP158" s="54">
        <v>10.8</v>
      </c>
      <c r="AQ158" s="54">
        <v>240</v>
      </c>
      <c r="AR158" s="54">
        <v>0</v>
      </c>
      <c r="AS158" s="57">
        <v>18.8</v>
      </c>
      <c r="AT158" s="56">
        <v>24</v>
      </c>
      <c r="AU158" s="57">
        <v>150</v>
      </c>
      <c r="AV158" s="56">
        <v>62.5</v>
      </c>
      <c r="AW158" s="57">
        <v>353.01034425099692</v>
      </c>
      <c r="AX158" s="8"/>
      <c r="AZ158" s="1">
        <v>90</v>
      </c>
    </row>
    <row r="159" spans="3:52" ht="15" customHeight="1" x14ac:dyDescent="0.25">
      <c r="C159" s="42"/>
      <c r="D159" s="69">
        <f>D148</f>
        <v>45669</v>
      </c>
      <c r="E159" s="70">
        <f t="shared" si="15"/>
        <v>12.166666666666684</v>
      </c>
      <c r="F159" s="71">
        <f t="shared" si="14"/>
        <v>45670.166666667013</v>
      </c>
      <c r="G159" s="60">
        <v>39</v>
      </c>
      <c r="H159" s="61">
        <v>38</v>
      </c>
      <c r="I159" s="62">
        <v>10.9</v>
      </c>
      <c r="J159" s="62">
        <v>300</v>
      </c>
      <c r="K159" s="63">
        <v>0</v>
      </c>
      <c r="L159" s="64">
        <v>39</v>
      </c>
      <c r="M159" s="62">
        <v>11</v>
      </c>
      <c r="N159" s="62">
        <v>350</v>
      </c>
      <c r="O159" s="65">
        <v>0</v>
      </c>
      <c r="P159" s="61">
        <v>38</v>
      </c>
      <c r="Q159" s="62">
        <v>11</v>
      </c>
      <c r="R159" s="63">
        <v>0</v>
      </c>
      <c r="S159" s="63">
        <v>0</v>
      </c>
      <c r="T159" s="65">
        <v>18.600000000000001</v>
      </c>
      <c r="U159" s="64">
        <v>35</v>
      </c>
      <c r="V159" s="62">
        <v>11</v>
      </c>
      <c r="W159" s="63">
        <v>0</v>
      </c>
      <c r="X159" s="63">
        <v>0</v>
      </c>
      <c r="Y159" s="65">
        <v>13.6</v>
      </c>
      <c r="Z159" s="61">
        <v>36</v>
      </c>
      <c r="AA159" s="62">
        <v>10.9</v>
      </c>
      <c r="AB159" s="63">
        <v>0</v>
      </c>
      <c r="AC159" s="63">
        <v>0</v>
      </c>
      <c r="AD159" s="65">
        <v>18.2</v>
      </c>
      <c r="AE159" s="64">
        <v>36</v>
      </c>
      <c r="AF159" s="62">
        <v>10.8</v>
      </c>
      <c r="AG159" s="63">
        <v>0</v>
      </c>
      <c r="AH159" s="63">
        <v>0</v>
      </c>
      <c r="AI159" s="65">
        <v>16.600000000000001</v>
      </c>
      <c r="AJ159" s="64">
        <v>35</v>
      </c>
      <c r="AK159" s="62">
        <v>10.8</v>
      </c>
      <c r="AL159" s="62">
        <v>0</v>
      </c>
      <c r="AM159" s="62">
        <v>0</v>
      </c>
      <c r="AN159" s="65">
        <v>13.6</v>
      </c>
      <c r="AO159" s="61">
        <v>36</v>
      </c>
      <c r="AP159" s="62">
        <v>10.8</v>
      </c>
      <c r="AQ159" s="62">
        <v>230</v>
      </c>
      <c r="AR159" s="62">
        <v>0</v>
      </c>
      <c r="AS159" s="65">
        <v>18.600000000000001</v>
      </c>
      <c r="AT159" s="64">
        <v>25</v>
      </c>
      <c r="AU159" s="65">
        <v>130</v>
      </c>
      <c r="AV159" s="64">
        <v>62.7685546875</v>
      </c>
      <c r="AW159" s="65">
        <v>353.27606576283773</v>
      </c>
      <c r="AX159" s="8"/>
      <c r="AZ159" s="1">
        <v>90</v>
      </c>
    </row>
    <row r="160" spans="3:52" ht="15" customHeight="1" x14ac:dyDescent="0.25">
      <c r="C160" s="42">
        <f>C148+1</f>
        <v>13</v>
      </c>
      <c r="D160" s="66">
        <f>DATE([1]Dash!$F$3,VLOOKUP([1]Dash!$E$3,[1]Abb!$C$3:$D$14,2,FALSE),C160)</f>
        <v>45670</v>
      </c>
      <c r="E160" s="67">
        <f>E159+2/24</f>
        <v>12.250000000000018</v>
      </c>
      <c r="F160" s="68">
        <f t="shared" si="14"/>
        <v>45670.250000000349</v>
      </c>
      <c r="G160" s="46">
        <v>40</v>
      </c>
      <c r="H160" s="47">
        <v>38</v>
      </c>
      <c r="I160" s="48">
        <v>11</v>
      </c>
      <c r="J160" s="48">
        <v>300</v>
      </c>
      <c r="K160" s="49">
        <v>0</v>
      </c>
      <c r="L160" s="50">
        <v>37</v>
      </c>
      <c r="M160" s="48">
        <v>11</v>
      </c>
      <c r="N160" s="48">
        <v>300</v>
      </c>
      <c r="O160" s="51">
        <v>0</v>
      </c>
      <c r="P160" s="47">
        <v>37</v>
      </c>
      <c r="Q160" s="48">
        <v>11</v>
      </c>
      <c r="R160" s="49">
        <v>0</v>
      </c>
      <c r="S160" s="49">
        <v>0</v>
      </c>
      <c r="T160" s="51">
        <v>19</v>
      </c>
      <c r="U160" s="50">
        <v>35</v>
      </c>
      <c r="V160" s="48">
        <v>10.9</v>
      </c>
      <c r="W160" s="49">
        <v>0</v>
      </c>
      <c r="X160" s="49">
        <v>0</v>
      </c>
      <c r="Y160" s="51">
        <v>14</v>
      </c>
      <c r="Z160" s="47">
        <v>36</v>
      </c>
      <c r="AA160" s="48">
        <v>10.9</v>
      </c>
      <c r="AB160" s="49">
        <v>0</v>
      </c>
      <c r="AC160" s="49">
        <v>0</v>
      </c>
      <c r="AD160" s="51">
        <v>18</v>
      </c>
      <c r="AE160" s="50">
        <v>37</v>
      </c>
      <c r="AF160" s="48">
        <v>10.9</v>
      </c>
      <c r="AG160" s="49">
        <v>0</v>
      </c>
      <c r="AH160" s="49">
        <v>0</v>
      </c>
      <c r="AI160" s="51">
        <v>16.600000000000001</v>
      </c>
      <c r="AJ160" s="50">
        <v>36</v>
      </c>
      <c r="AK160" s="48">
        <v>10.9</v>
      </c>
      <c r="AL160" s="48">
        <v>0</v>
      </c>
      <c r="AM160" s="48">
        <v>0</v>
      </c>
      <c r="AN160" s="51">
        <v>14</v>
      </c>
      <c r="AO160" s="47">
        <v>34</v>
      </c>
      <c r="AP160" s="48">
        <v>10.7</v>
      </c>
      <c r="AQ160" s="48">
        <v>240</v>
      </c>
      <c r="AR160" s="48">
        <v>0</v>
      </c>
      <c r="AS160" s="51">
        <v>19</v>
      </c>
      <c r="AT160" s="50">
        <v>22</v>
      </c>
      <c r="AU160" s="51">
        <v>140</v>
      </c>
      <c r="AV160" s="50">
        <v>63.053386688232401</v>
      </c>
      <c r="AW160" s="51">
        <v>355.34034945170083</v>
      </c>
      <c r="AX160" s="8"/>
      <c r="AZ160" s="1">
        <v>90</v>
      </c>
    </row>
    <row r="161" spans="3:52" ht="15" customHeight="1" x14ac:dyDescent="0.25">
      <c r="C161" s="42"/>
      <c r="D161" s="43">
        <f>D160</f>
        <v>45670</v>
      </c>
      <c r="E161" s="44">
        <f>E160+2/24</f>
        <v>12.333333333333352</v>
      </c>
      <c r="F161" s="45">
        <f t="shared" si="14"/>
        <v>45670.333333333685</v>
      </c>
      <c r="G161" s="52">
        <v>41</v>
      </c>
      <c r="H161" s="53">
        <v>39</v>
      </c>
      <c r="I161" s="54">
        <v>10.9</v>
      </c>
      <c r="J161" s="54">
        <v>250</v>
      </c>
      <c r="K161" s="55">
        <v>0</v>
      </c>
      <c r="L161" s="56">
        <v>33</v>
      </c>
      <c r="M161" s="54">
        <v>11.1</v>
      </c>
      <c r="N161" s="54">
        <v>300</v>
      </c>
      <c r="O161" s="57">
        <v>0</v>
      </c>
      <c r="P161" s="53">
        <v>34</v>
      </c>
      <c r="Q161" s="54">
        <v>11.2</v>
      </c>
      <c r="R161" s="55">
        <v>0</v>
      </c>
      <c r="S161" s="55">
        <v>0</v>
      </c>
      <c r="T161" s="57">
        <v>19.2</v>
      </c>
      <c r="U161" s="56">
        <v>33</v>
      </c>
      <c r="V161" s="54">
        <v>11.2</v>
      </c>
      <c r="W161" s="55">
        <v>0</v>
      </c>
      <c r="X161" s="55">
        <v>0</v>
      </c>
      <c r="Y161" s="57">
        <v>14.2</v>
      </c>
      <c r="Z161" s="53">
        <v>35</v>
      </c>
      <c r="AA161" s="54">
        <v>11.2</v>
      </c>
      <c r="AB161" s="55">
        <v>0</v>
      </c>
      <c r="AC161" s="55">
        <v>0</v>
      </c>
      <c r="AD161" s="57">
        <v>18</v>
      </c>
      <c r="AE161" s="56">
        <v>33</v>
      </c>
      <c r="AF161" s="54">
        <v>11.1</v>
      </c>
      <c r="AG161" s="55">
        <v>0</v>
      </c>
      <c r="AH161" s="55">
        <v>0</v>
      </c>
      <c r="AI161" s="57">
        <v>15.6</v>
      </c>
      <c r="AJ161" s="56">
        <v>32</v>
      </c>
      <c r="AK161" s="54">
        <v>11</v>
      </c>
      <c r="AL161" s="54">
        <v>0</v>
      </c>
      <c r="AM161" s="54">
        <v>0</v>
      </c>
      <c r="AN161" s="57">
        <v>13.6</v>
      </c>
      <c r="AO161" s="53">
        <v>33</v>
      </c>
      <c r="AP161" s="54">
        <v>11</v>
      </c>
      <c r="AQ161" s="54">
        <v>250</v>
      </c>
      <c r="AR161" s="54">
        <v>0</v>
      </c>
      <c r="AS161" s="57">
        <v>18.600000000000001</v>
      </c>
      <c r="AT161" s="56">
        <v>31</v>
      </c>
      <c r="AU161" s="57">
        <v>240</v>
      </c>
      <c r="AV161" s="56">
        <v>62.821453094482401</v>
      </c>
      <c r="AW161" s="57">
        <v>351.68800640106201</v>
      </c>
      <c r="AX161" s="8"/>
      <c r="AZ161" s="1">
        <v>90</v>
      </c>
    </row>
    <row r="162" spans="3:52" ht="15" customHeight="1" x14ac:dyDescent="0.25">
      <c r="C162" s="42"/>
      <c r="D162" s="43">
        <f>D160</f>
        <v>45670</v>
      </c>
      <c r="E162" s="44">
        <f t="shared" ref="E162:E171" si="16">E161+2/24</f>
        <v>12.416666666666686</v>
      </c>
      <c r="F162" s="45">
        <f t="shared" si="14"/>
        <v>45670.416666667021</v>
      </c>
      <c r="G162" s="52">
        <v>40</v>
      </c>
      <c r="H162" s="53">
        <v>39</v>
      </c>
      <c r="I162" s="54">
        <v>10.9</v>
      </c>
      <c r="J162" s="54">
        <v>250</v>
      </c>
      <c r="K162" s="55">
        <v>0</v>
      </c>
      <c r="L162" s="56">
        <v>33</v>
      </c>
      <c r="M162" s="54">
        <v>11.2</v>
      </c>
      <c r="N162" s="54">
        <v>300</v>
      </c>
      <c r="O162" s="57">
        <v>0</v>
      </c>
      <c r="P162" s="53">
        <v>34</v>
      </c>
      <c r="Q162" s="54">
        <v>11.2</v>
      </c>
      <c r="R162" s="55">
        <v>0</v>
      </c>
      <c r="S162" s="55">
        <v>0</v>
      </c>
      <c r="T162" s="57">
        <v>19</v>
      </c>
      <c r="U162" s="56">
        <v>34</v>
      </c>
      <c r="V162" s="54">
        <v>11.2</v>
      </c>
      <c r="W162" s="55">
        <v>0</v>
      </c>
      <c r="X162" s="55">
        <v>0</v>
      </c>
      <c r="Y162" s="57">
        <v>14</v>
      </c>
      <c r="Z162" s="53">
        <v>36</v>
      </c>
      <c r="AA162" s="54">
        <v>11.2</v>
      </c>
      <c r="AB162" s="55">
        <v>0</v>
      </c>
      <c r="AC162" s="55">
        <v>0</v>
      </c>
      <c r="AD162" s="57">
        <v>18.2</v>
      </c>
      <c r="AE162" s="56">
        <v>34</v>
      </c>
      <c r="AF162" s="54">
        <v>11</v>
      </c>
      <c r="AG162" s="55">
        <v>0</v>
      </c>
      <c r="AH162" s="55">
        <v>0</v>
      </c>
      <c r="AI162" s="57">
        <v>15.2</v>
      </c>
      <c r="AJ162" s="56">
        <v>33</v>
      </c>
      <c r="AK162" s="54">
        <v>11</v>
      </c>
      <c r="AL162" s="54">
        <v>0</v>
      </c>
      <c r="AM162" s="54">
        <v>0</v>
      </c>
      <c r="AN162" s="57">
        <v>13</v>
      </c>
      <c r="AO162" s="53">
        <v>33</v>
      </c>
      <c r="AP162" s="54">
        <v>10.9</v>
      </c>
      <c r="AQ162" s="54">
        <v>320</v>
      </c>
      <c r="AR162" s="54">
        <v>0</v>
      </c>
      <c r="AS162" s="57">
        <v>18</v>
      </c>
      <c r="AT162" s="56">
        <v>29</v>
      </c>
      <c r="AU162" s="57">
        <v>210</v>
      </c>
      <c r="AV162" s="56">
        <v>62.894695281982401</v>
      </c>
      <c r="AW162" s="57">
        <v>355.03170712788898</v>
      </c>
      <c r="AX162" s="8"/>
      <c r="AZ162" s="1">
        <v>90</v>
      </c>
    </row>
    <row r="163" spans="3:52" ht="15" customHeight="1" x14ac:dyDescent="0.25">
      <c r="C163" s="42"/>
      <c r="D163" s="43">
        <f>D160</f>
        <v>45670</v>
      </c>
      <c r="E163" s="44">
        <f t="shared" si="16"/>
        <v>12.50000000000002</v>
      </c>
      <c r="F163" s="45">
        <f t="shared" si="14"/>
        <v>45670.500000000357</v>
      </c>
      <c r="G163" s="52">
        <v>38</v>
      </c>
      <c r="H163" s="53">
        <v>38</v>
      </c>
      <c r="I163" s="54">
        <v>11</v>
      </c>
      <c r="J163" s="54">
        <v>300</v>
      </c>
      <c r="K163" s="55">
        <v>0</v>
      </c>
      <c r="L163" s="56">
        <v>35</v>
      </c>
      <c r="M163" s="54">
        <v>11.2</v>
      </c>
      <c r="N163" s="54">
        <v>300</v>
      </c>
      <c r="O163" s="57">
        <v>0</v>
      </c>
      <c r="P163" s="53">
        <v>36</v>
      </c>
      <c r="Q163" s="54">
        <v>11.2</v>
      </c>
      <c r="R163" s="55">
        <v>0</v>
      </c>
      <c r="S163" s="55">
        <v>0</v>
      </c>
      <c r="T163" s="57">
        <v>19.600000000000001</v>
      </c>
      <c r="U163" s="56">
        <v>34</v>
      </c>
      <c r="V163" s="54">
        <v>11.2</v>
      </c>
      <c r="W163" s="55">
        <v>0</v>
      </c>
      <c r="X163" s="55">
        <v>0</v>
      </c>
      <c r="Y163" s="57">
        <v>14</v>
      </c>
      <c r="Z163" s="53">
        <v>35</v>
      </c>
      <c r="AA163" s="54">
        <v>11.1</v>
      </c>
      <c r="AB163" s="55">
        <v>0</v>
      </c>
      <c r="AC163" s="55">
        <v>0</v>
      </c>
      <c r="AD163" s="57">
        <v>18</v>
      </c>
      <c r="AE163" s="56">
        <v>34</v>
      </c>
      <c r="AF163" s="54">
        <v>11.1</v>
      </c>
      <c r="AG163" s="55">
        <v>0</v>
      </c>
      <c r="AH163" s="55">
        <v>0</v>
      </c>
      <c r="AI163" s="57">
        <v>15.4</v>
      </c>
      <c r="AJ163" s="56">
        <v>33</v>
      </c>
      <c r="AK163" s="54">
        <v>11</v>
      </c>
      <c r="AL163" s="54">
        <v>0</v>
      </c>
      <c r="AM163" s="54">
        <v>0</v>
      </c>
      <c r="AN163" s="57">
        <v>13.2</v>
      </c>
      <c r="AO163" s="53">
        <v>32</v>
      </c>
      <c r="AP163" s="54">
        <v>10.9</v>
      </c>
      <c r="AQ163" s="54">
        <v>240</v>
      </c>
      <c r="AR163" s="54">
        <v>0</v>
      </c>
      <c r="AS163" s="57">
        <v>18.2</v>
      </c>
      <c r="AT163" s="56">
        <v>30</v>
      </c>
      <c r="AU163" s="57">
        <v>200</v>
      </c>
      <c r="AV163" s="56">
        <v>63.045246124267599</v>
      </c>
      <c r="AW163" s="57">
        <v>353.72407932281493</v>
      </c>
      <c r="AX163" s="8"/>
      <c r="AZ163" s="1">
        <v>90</v>
      </c>
    </row>
    <row r="164" spans="3:52" ht="15" customHeight="1" x14ac:dyDescent="0.25">
      <c r="C164" s="42"/>
      <c r="D164" s="43">
        <f>D160</f>
        <v>45670</v>
      </c>
      <c r="E164" s="44">
        <f t="shared" si="16"/>
        <v>12.583333333333353</v>
      </c>
      <c r="F164" s="45">
        <f t="shared" si="14"/>
        <v>45670.583333333692</v>
      </c>
      <c r="G164" s="52">
        <v>37</v>
      </c>
      <c r="H164" s="53">
        <v>36</v>
      </c>
      <c r="I164" s="54">
        <v>10.3</v>
      </c>
      <c r="J164" s="54">
        <v>300</v>
      </c>
      <c r="K164" s="55">
        <v>0</v>
      </c>
      <c r="L164" s="56">
        <v>37</v>
      </c>
      <c r="M164" s="54">
        <v>10.6</v>
      </c>
      <c r="N164" s="54">
        <v>300</v>
      </c>
      <c r="O164" s="57">
        <v>0</v>
      </c>
      <c r="P164" s="53">
        <v>36</v>
      </c>
      <c r="Q164" s="54">
        <v>10.9</v>
      </c>
      <c r="R164" s="55">
        <v>0</v>
      </c>
      <c r="S164" s="55">
        <v>0</v>
      </c>
      <c r="T164" s="57">
        <v>19.2</v>
      </c>
      <c r="U164" s="56">
        <v>34</v>
      </c>
      <c r="V164" s="54">
        <v>10.6</v>
      </c>
      <c r="W164" s="55">
        <v>0</v>
      </c>
      <c r="X164" s="55">
        <v>0</v>
      </c>
      <c r="Y164" s="57">
        <v>14.2</v>
      </c>
      <c r="Z164" s="53">
        <v>35</v>
      </c>
      <c r="AA164" s="54">
        <v>11</v>
      </c>
      <c r="AB164" s="55">
        <v>0</v>
      </c>
      <c r="AC164" s="55">
        <v>0</v>
      </c>
      <c r="AD164" s="57">
        <v>18</v>
      </c>
      <c r="AE164" s="56">
        <v>32</v>
      </c>
      <c r="AF164" s="54">
        <v>10.7</v>
      </c>
      <c r="AG164" s="55">
        <v>0</v>
      </c>
      <c r="AH164" s="55">
        <v>0</v>
      </c>
      <c r="AI164" s="57">
        <v>15.6</v>
      </c>
      <c r="AJ164" s="56">
        <v>32</v>
      </c>
      <c r="AK164" s="54">
        <v>11.1</v>
      </c>
      <c r="AL164" s="54">
        <v>0</v>
      </c>
      <c r="AM164" s="54">
        <v>0</v>
      </c>
      <c r="AN164" s="57">
        <v>13.6</v>
      </c>
      <c r="AO164" s="53">
        <v>34</v>
      </c>
      <c r="AP164" s="54">
        <v>10.9</v>
      </c>
      <c r="AQ164" s="54">
        <v>300</v>
      </c>
      <c r="AR164" s="54">
        <v>0</v>
      </c>
      <c r="AS164" s="57">
        <v>18.600000000000001</v>
      </c>
      <c r="AT164" s="56">
        <v>31</v>
      </c>
      <c r="AU164" s="57">
        <v>200</v>
      </c>
      <c r="AV164" s="56">
        <v>62.740070343017599</v>
      </c>
      <c r="AW164" s="57">
        <v>351.51849466959635</v>
      </c>
      <c r="AX164" s="8"/>
      <c r="AZ164" s="1">
        <v>90</v>
      </c>
    </row>
    <row r="165" spans="3:52" ht="15" customHeight="1" x14ac:dyDescent="0.25">
      <c r="C165" s="42"/>
      <c r="D165" s="43">
        <f>D160</f>
        <v>45670</v>
      </c>
      <c r="E165" s="44">
        <f t="shared" si="16"/>
        <v>12.666666666666687</v>
      </c>
      <c r="F165" s="45">
        <f t="shared" si="14"/>
        <v>45670.666666667028</v>
      </c>
      <c r="G165" s="52">
        <v>35</v>
      </c>
      <c r="H165" s="53">
        <v>40</v>
      </c>
      <c r="I165" s="54">
        <v>10.8</v>
      </c>
      <c r="J165" s="54">
        <v>350</v>
      </c>
      <c r="K165" s="55">
        <v>0</v>
      </c>
      <c r="L165" s="56">
        <v>38</v>
      </c>
      <c r="M165" s="54">
        <v>10.8</v>
      </c>
      <c r="N165" s="54">
        <v>250</v>
      </c>
      <c r="O165" s="57">
        <v>0</v>
      </c>
      <c r="P165" s="53">
        <v>38</v>
      </c>
      <c r="Q165" s="54">
        <v>11</v>
      </c>
      <c r="R165" s="55">
        <v>0</v>
      </c>
      <c r="S165" s="55">
        <v>0</v>
      </c>
      <c r="T165" s="57">
        <v>12</v>
      </c>
      <c r="U165" s="56">
        <v>36</v>
      </c>
      <c r="V165" s="54">
        <v>10.8</v>
      </c>
      <c r="W165" s="55">
        <v>0</v>
      </c>
      <c r="X165" s="55">
        <v>0</v>
      </c>
      <c r="Y165" s="57">
        <v>14.4</v>
      </c>
      <c r="Z165" s="53">
        <v>36</v>
      </c>
      <c r="AA165" s="54">
        <v>10.9</v>
      </c>
      <c r="AB165" s="55">
        <v>0</v>
      </c>
      <c r="AC165" s="55">
        <v>0</v>
      </c>
      <c r="AD165" s="57">
        <v>18.600000000000001</v>
      </c>
      <c r="AE165" s="56">
        <v>34</v>
      </c>
      <c r="AF165" s="54">
        <v>10.7</v>
      </c>
      <c r="AG165" s="55">
        <v>0</v>
      </c>
      <c r="AH165" s="55">
        <v>0</v>
      </c>
      <c r="AI165" s="57">
        <v>15.2</v>
      </c>
      <c r="AJ165" s="56">
        <v>33</v>
      </c>
      <c r="AK165" s="54">
        <v>11.1</v>
      </c>
      <c r="AL165" s="54">
        <v>0</v>
      </c>
      <c r="AM165" s="54">
        <v>0</v>
      </c>
      <c r="AN165" s="57">
        <v>14</v>
      </c>
      <c r="AO165" s="53">
        <v>35</v>
      </c>
      <c r="AP165" s="54">
        <v>11</v>
      </c>
      <c r="AQ165" s="54">
        <v>320</v>
      </c>
      <c r="AR165" s="54">
        <v>0</v>
      </c>
      <c r="AS165" s="57">
        <v>18</v>
      </c>
      <c r="AT165" s="56">
        <v>28</v>
      </c>
      <c r="AU165" s="57">
        <v>290</v>
      </c>
      <c r="AV165" s="56">
        <v>62.565105438232401</v>
      </c>
      <c r="AW165" s="57">
        <v>346.18055578867592</v>
      </c>
      <c r="AX165" s="8"/>
      <c r="AZ165" s="1">
        <v>90</v>
      </c>
    </row>
    <row r="166" spans="3:52" ht="15" customHeight="1" x14ac:dyDescent="0.25">
      <c r="C166" s="42"/>
      <c r="D166" s="43">
        <f>D160</f>
        <v>45670</v>
      </c>
      <c r="E166" s="44">
        <f t="shared" si="16"/>
        <v>12.750000000000021</v>
      </c>
      <c r="F166" s="45">
        <f t="shared" si="14"/>
        <v>45670.750000000364</v>
      </c>
      <c r="G166" s="52">
        <v>39</v>
      </c>
      <c r="H166" s="53">
        <v>39</v>
      </c>
      <c r="I166" s="54">
        <v>10.7</v>
      </c>
      <c r="J166" s="54">
        <v>350</v>
      </c>
      <c r="K166" s="55">
        <v>0</v>
      </c>
      <c r="L166" s="56">
        <v>38</v>
      </c>
      <c r="M166" s="54">
        <v>11</v>
      </c>
      <c r="N166" s="54">
        <v>300</v>
      </c>
      <c r="O166" s="57">
        <v>0</v>
      </c>
      <c r="P166" s="53">
        <v>36</v>
      </c>
      <c r="Q166" s="54">
        <v>11</v>
      </c>
      <c r="R166" s="55">
        <v>0</v>
      </c>
      <c r="S166" s="55">
        <v>0</v>
      </c>
      <c r="T166" s="57">
        <v>8.1999999999999993</v>
      </c>
      <c r="U166" s="56">
        <v>34</v>
      </c>
      <c r="V166" s="54">
        <v>10.9</v>
      </c>
      <c r="W166" s="55">
        <v>0</v>
      </c>
      <c r="X166" s="55">
        <v>0</v>
      </c>
      <c r="Y166" s="57">
        <v>14.2</v>
      </c>
      <c r="Z166" s="53">
        <v>34</v>
      </c>
      <c r="AA166" s="54">
        <v>11</v>
      </c>
      <c r="AB166" s="55">
        <v>0</v>
      </c>
      <c r="AC166" s="55">
        <v>0</v>
      </c>
      <c r="AD166" s="57">
        <v>18</v>
      </c>
      <c r="AE166" s="56">
        <v>33</v>
      </c>
      <c r="AF166" s="54">
        <v>10.9</v>
      </c>
      <c r="AG166" s="55">
        <v>0</v>
      </c>
      <c r="AH166" s="55">
        <v>0</v>
      </c>
      <c r="AI166" s="57">
        <v>15.6</v>
      </c>
      <c r="AJ166" s="56">
        <v>34</v>
      </c>
      <c r="AK166" s="54">
        <v>11.1</v>
      </c>
      <c r="AL166" s="54">
        <v>0</v>
      </c>
      <c r="AM166" s="54">
        <v>0</v>
      </c>
      <c r="AN166" s="57">
        <v>13.2</v>
      </c>
      <c r="AO166" s="53">
        <v>34</v>
      </c>
      <c r="AP166" s="54">
        <v>11</v>
      </c>
      <c r="AQ166" s="54">
        <v>310</v>
      </c>
      <c r="AR166" s="54">
        <v>0</v>
      </c>
      <c r="AS166" s="57">
        <v>18</v>
      </c>
      <c r="AT166" s="56">
        <v>26</v>
      </c>
      <c r="AU166" s="57">
        <v>270</v>
      </c>
      <c r="AV166" s="56">
        <v>63.96484375</v>
      </c>
      <c r="AW166" s="57">
        <v>347.11431783040365</v>
      </c>
      <c r="AX166" s="8"/>
      <c r="AZ166" s="1">
        <v>90</v>
      </c>
    </row>
    <row r="167" spans="3:52" ht="15" customHeight="1" x14ac:dyDescent="0.25">
      <c r="C167" s="42"/>
      <c r="D167" s="43">
        <f>D160</f>
        <v>45670</v>
      </c>
      <c r="E167" s="44">
        <f t="shared" si="16"/>
        <v>12.833333333333355</v>
      </c>
      <c r="F167" s="45">
        <f t="shared" si="14"/>
        <v>45670.8333333337</v>
      </c>
      <c r="G167" s="52">
        <v>40</v>
      </c>
      <c r="H167" s="53">
        <v>39</v>
      </c>
      <c r="I167" s="54">
        <v>10.3</v>
      </c>
      <c r="J167" s="54">
        <v>400</v>
      </c>
      <c r="K167" s="55">
        <v>0</v>
      </c>
      <c r="L167" s="56">
        <v>38</v>
      </c>
      <c r="M167" s="54">
        <v>10.199999999999999</v>
      </c>
      <c r="N167" s="54">
        <v>350</v>
      </c>
      <c r="O167" s="57">
        <v>0</v>
      </c>
      <c r="P167" s="53">
        <v>37</v>
      </c>
      <c r="Q167" s="54">
        <v>10.6</v>
      </c>
      <c r="R167" s="55">
        <v>0</v>
      </c>
      <c r="S167" s="55">
        <v>0</v>
      </c>
      <c r="T167" s="57">
        <v>12</v>
      </c>
      <c r="U167" s="56">
        <v>36</v>
      </c>
      <c r="V167" s="54">
        <v>10.7</v>
      </c>
      <c r="W167" s="55">
        <v>0</v>
      </c>
      <c r="X167" s="55">
        <v>0</v>
      </c>
      <c r="Y167" s="57">
        <v>14</v>
      </c>
      <c r="Z167" s="53">
        <v>35</v>
      </c>
      <c r="AA167" s="54">
        <v>10.8</v>
      </c>
      <c r="AB167" s="55">
        <v>0</v>
      </c>
      <c r="AC167" s="55">
        <v>0</v>
      </c>
      <c r="AD167" s="57">
        <v>18.2</v>
      </c>
      <c r="AE167" s="56">
        <v>36</v>
      </c>
      <c r="AF167" s="54">
        <v>10.8</v>
      </c>
      <c r="AG167" s="55">
        <v>0</v>
      </c>
      <c r="AH167" s="55">
        <v>0</v>
      </c>
      <c r="AI167" s="57">
        <v>16</v>
      </c>
      <c r="AJ167" s="56">
        <v>37</v>
      </c>
      <c r="AK167" s="54">
        <v>10.9</v>
      </c>
      <c r="AL167" s="54">
        <v>0</v>
      </c>
      <c r="AM167" s="54">
        <v>0</v>
      </c>
      <c r="AN167" s="57">
        <v>14.4</v>
      </c>
      <c r="AO167" s="53">
        <v>35</v>
      </c>
      <c r="AP167" s="54">
        <v>10.8</v>
      </c>
      <c r="AQ167" s="54">
        <v>320</v>
      </c>
      <c r="AR167" s="54">
        <v>0</v>
      </c>
      <c r="AS167" s="57">
        <v>18.2</v>
      </c>
      <c r="AT167" s="56">
        <v>25</v>
      </c>
      <c r="AU167" s="57">
        <v>200</v>
      </c>
      <c r="AV167" s="56">
        <v>61.714679718017599</v>
      </c>
      <c r="AW167" s="57">
        <v>360.02254549662274</v>
      </c>
      <c r="AX167" s="8"/>
      <c r="AZ167" s="1">
        <v>90</v>
      </c>
    </row>
    <row r="168" spans="3:52" ht="15" customHeight="1" x14ac:dyDescent="0.25">
      <c r="C168" s="42"/>
      <c r="D168" s="43">
        <f>D160</f>
        <v>45670</v>
      </c>
      <c r="E168" s="44">
        <f t="shared" si="16"/>
        <v>12.916666666666689</v>
      </c>
      <c r="F168" s="45">
        <f t="shared" si="14"/>
        <v>45670.916666667035</v>
      </c>
      <c r="G168" s="52">
        <v>41</v>
      </c>
      <c r="H168" s="53">
        <v>39</v>
      </c>
      <c r="I168" s="54">
        <v>10.199999999999999</v>
      </c>
      <c r="J168" s="54">
        <v>400</v>
      </c>
      <c r="K168" s="55">
        <v>0</v>
      </c>
      <c r="L168" s="56">
        <v>38</v>
      </c>
      <c r="M168" s="54">
        <v>10.4</v>
      </c>
      <c r="N168" s="54">
        <v>350</v>
      </c>
      <c r="O168" s="57">
        <v>0</v>
      </c>
      <c r="P168" s="53">
        <v>36</v>
      </c>
      <c r="Q168" s="54">
        <v>10.7</v>
      </c>
      <c r="R168" s="55">
        <v>0</v>
      </c>
      <c r="S168" s="55">
        <v>0</v>
      </c>
      <c r="T168" s="57">
        <v>6</v>
      </c>
      <c r="U168" s="56">
        <v>37</v>
      </c>
      <c r="V168" s="54">
        <v>10.8</v>
      </c>
      <c r="W168" s="55">
        <v>0</v>
      </c>
      <c r="X168" s="55">
        <v>0</v>
      </c>
      <c r="Y168" s="57">
        <v>13.8</v>
      </c>
      <c r="Z168" s="53">
        <v>36</v>
      </c>
      <c r="AA168" s="54">
        <v>10.8</v>
      </c>
      <c r="AB168" s="55">
        <v>0</v>
      </c>
      <c r="AC168" s="55">
        <v>0</v>
      </c>
      <c r="AD168" s="57">
        <v>18.399999999999999</v>
      </c>
      <c r="AE168" s="56">
        <v>38</v>
      </c>
      <c r="AF168" s="54">
        <v>10.8</v>
      </c>
      <c r="AG168" s="55">
        <v>0</v>
      </c>
      <c r="AH168" s="55">
        <v>0</v>
      </c>
      <c r="AI168" s="57">
        <v>16.399999999999999</v>
      </c>
      <c r="AJ168" s="56">
        <v>37</v>
      </c>
      <c r="AK168" s="54">
        <v>10.9</v>
      </c>
      <c r="AL168" s="54">
        <v>0</v>
      </c>
      <c r="AM168" s="54">
        <v>0</v>
      </c>
      <c r="AN168" s="57">
        <v>14.4</v>
      </c>
      <c r="AO168" s="53">
        <v>34</v>
      </c>
      <c r="AP168" s="54">
        <v>10.9</v>
      </c>
      <c r="AQ168" s="54">
        <v>300</v>
      </c>
      <c r="AR168" s="54">
        <v>0</v>
      </c>
      <c r="AS168" s="57">
        <v>18</v>
      </c>
      <c r="AT168" s="56">
        <v>26</v>
      </c>
      <c r="AU168" s="57">
        <v>190</v>
      </c>
      <c r="AV168" s="56">
        <v>63.216144561767599</v>
      </c>
      <c r="AW168" s="57">
        <v>349.54776713053383</v>
      </c>
      <c r="AX168" s="8"/>
      <c r="AZ168" s="1">
        <v>90</v>
      </c>
    </row>
    <row r="169" spans="3:52" ht="15" customHeight="1" x14ac:dyDescent="0.25">
      <c r="C169" s="42"/>
      <c r="D169" s="43">
        <f>D160</f>
        <v>45670</v>
      </c>
      <c r="E169" s="44">
        <f t="shared" si="16"/>
        <v>13.000000000000023</v>
      </c>
      <c r="F169" s="45">
        <f t="shared" si="14"/>
        <v>45671.000000000371</v>
      </c>
      <c r="G169" s="52">
        <v>42</v>
      </c>
      <c r="H169" s="53">
        <v>38</v>
      </c>
      <c r="I169" s="54">
        <v>10.199999999999999</v>
      </c>
      <c r="J169" s="54">
        <v>400</v>
      </c>
      <c r="K169" s="55">
        <v>0</v>
      </c>
      <c r="L169" s="56">
        <v>38</v>
      </c>
      <c r="M169" s="54">
        <v>10.4</v>
      </c>
      <c r="N169" s="54">
        <v>300</v>
      </c>
      <c r="O169" s="57">
        <v>0</v>
      </c>
      <c r="P169" s="53">
        <v>37</v>
      </c>
      <c r="Q169" s="54">
        <v>10.7</v>
      </c>
      <c r="R169" s="55">
        <v>0</v>
      </c>
      <c r="S169" s="55">
        <v>0</v>
      </c>
      <c r="T169" s="57">
        <v>5</v>
      </c>
      <c r="U169" s="56">
        <v>36</v>
      </c>
      <c r="V169" s="54">
        <v>10.8</v>
      </c>
      <c r="W169" s="55">
        <v>0</v>
      </c>
      <c r="X169" s="55">
        <v>0</v>
      </c>
      <c r="Y169" s="57">
        <v>14.4</v>
      </c>
      <c r="Z169" s="53">
        <v>36</v>
      </c>
      <c r="AA169" s="54">
        <v>10.8</v>
      </c>
      <c r="AB169" s="55">
        <v>0</v>
      </c>
      <c r="AC169" s="55">
        <v>0</v>
      </c>
      <c r="AD169" s="57">
        <v>17.600000000000001</v>
      </c>
      <c r="AE169" s="56">
        <v>38</v>
      </c>
      <c r="AF169" s="54">
        <v>10.8</v>
      </c>
      <c r="AG169" s="55">
        <v>0</v>
      </c>
      <c r="AH169" s="55">
        <v>0</v>
      </c>
      <c r="AI169" s="57">
        <v>16.2</v>
      </c>
      <c r="AJ169" s="56">
        <v>37</v>
      </c>
      <c r="AK169" s="54">
        <v>10.9</v>
      </c>
      <c r="AL169" s="54">
        <v>0</v>
      </c>
      <c r="AM169" s="54">
        <v>0</v>
      </c>
      <c r="AN169" s="57">
        <v>13.6</v>
      </c>
      <c r="AO169" s="53">
        <v>34</v>
      </c>
      <c r="AP169" s="54">
        <v>10.8</v>
      </c>
      <c r="AQ169" s="54">
        <v>300</v>
      </c>
      <c r="AR169" s="54">
        <v>0</v>
      </c>
      <c r="AS169" s="57">
        <v>18</v>
      </c>
      <c r="AT169" s="56">
        <v>25</v>
      </c>
      <c r="AU169" s="57">
        <v>200</v>
      </c>
      <c r="AV169" s="56">
        <v>62.255859375</v>
      </c>
      <c r="AW169" s="57">
        <v>352.24910844167073</v>
      </c>
      <c r="AX169" s="8"/>
      <c r="AZ169" s="1">
        <v>90</v>
      </c>
    </row>
    <row r="170" spans="3:52" ht="15" customHeight="1" x14ac:dyDescent="0.25">
      <c r="C170" s="42"/>
      <c r="D170" s="43">
        <f>D160</f>
        <v>45670</v>
      </c>
      <c r="E170" s="44">
        <f t="shared" si="16"/>
        <v>13.083333333333357</v>
      </c>
      <c r="F170" s="45">
        <f t="shared" si="14"/>
        <v>45671.083333333707</v>
      </c>
      <c r="G170" s="52">
        <v>42</v>
      </c>
      <c r="H170" s="53">
        <v>40</v>
      </c>
      <c r="I170" s="54">
        <v>10.199999999999999</v>
      </c>
      <c r="J170" s="54">
        <v>350</v>
      </c>
      <c r="K170" s="55">
        <v>0</v>
      </c>
      <c r="L170" s="56">
        <v>40</v>
      </c>
      <c r="M170" s="54">
        <v>10.4</v>
      </c>
      <c r="N170" s="54">
        <v>350</v>
      </c>
      <c r="O170" s="57">
        <v>0</v>
      </c>
      <c r="P170" s="53">
        <v>38</v>
      </c>
      <c r="Q170" s="54">
        <v>10.7</v>
      </c>
      <c r="R170" s="55">
        <v>0</v>
      </c>
      <c r="S170" s="55">
        <v>0</v>
      </c>
      <c r="T170" s="57">
        <v>12</v>
      </c>
      <c r="U170" s="56">
        <v>37</v>
      </c>
      <c r="V170" s="54">
        <v>10.6</v>
      </c>
      <c r="W170" s="55">
        <v>0</v>
      </c>
      <c r="X170" s="55">
        <v>0</v>
      </c>
      <c r="Y170" s="57">
        <v>8</v>
      </c>
      <c r="Z170" s="53">
        <v>36</v>
      </c>
      <c r="AA170" s="54">
        <v>10.7</v>
      </c>
      <c r="AB170" s="55">
        <v>0</v>
      </c>
      <c r="AC170" s="55">
        <v>0</v>
      </c>
      <c r="AD170" s="57">
        <v>18</v>
      </c>
      <c r="AE170" s="56">
        <v>36</v>
      </c>
      <c r="AF170" s="54">
        <v>10.7</v>
      </c>
      <c r="AG170" s="55">
        <v>0</v>
      </c>
      <c r="AH170" s="55">
        <v>0</v>
      </c>
      <c r="AI170" s="57">
        <v>16</v>
      </c>
      <c r="AJ170" s="56">
        <v>37</v>
      </c>
      <c r="AK170" s="54">
        <v>10.8</v>
      </c>
      <c r="AL170" s="54">
        <v>0</v>
      </c>
      <c r="AM170" s="54">
        <v>0</v>
      </c>
      <c r="AN170" s="57">
        <v>14</v>
      </c>
      <c r="AO170" s="53">
        <v>35</v>
      </c>
      <c r="AP170" s="54">
        <v>10.9</v>
      </c>
      <c r="AQ170" s="54">
        <v>300</v>
      </c>
      <c r="AR170" s="54">
        <v>0</v>
      </c>
      <c r="AS170" s="57">
        <v>19</v>
      </c>
      <c r="AT170" s="56">
        <v>24</v>
      </c>
      <c r="AU170" s="57">
        <v>200</v>
      </c>
      <c r="AV170" s="56">
        <v>62.752277374267599</v>
      </c>
      <c r="AW170" s="57">
        <v>349.3067612965902</v>
      </c>
      <c r="AX170" s="8"/>
      <c r="AZ170" s="1">
        <v>90</v>
      </c>
    </row>
    <row r="171" spans="3:52" ht="15" customHeight="1" x14ac:dyDescent="0.25">
      <c r="C171" s="42"/>
      <c r="D171" s="69">
        <f>D160</f>
        <v>45670</v>
      </c>
      <c r="E171" s="70">
        <f t="shared" si="16"/>
        <v>13.166666666666691</v>
      </c>
      <c r="F171" s="71">
        <f t="shared" si="14"/>
        <v>45671.166666667043</v>
      </c>
      <c r="G171" s="60">
        <v>42</v>
      </c>
      <c r="H171" s="61">
        <v>41</v>
      </c>
      <c r="I171" s="62">
        <v>10.199999999999999</v>
      </c>
      <c r="J171" s="62">
        <v>350</v>
      </c>
      <c r="K171" s="63">
        <v>0</v>
      </c>
      <c r="L171" s="64">
        <v>10</v>
      </c>
      <c r="M171" s="62">
        <v>10.4</v>
      </c>
      <c r="N171" s="62">
        <v>350</v>
      </c>
      <c r="O171" s="65">
        <v>0</v>
      </c>
      <c r="P171" s="61">
        <v>37</v>
      </c>
      <c r="Q171" s="62">
        <v>10.8</v>
      </c>
      <c r="R171" s="63">
        <v>0</v>
      </c>
      <c r="S171" s="63">
        <v>0</v>
      </c>
      <c r="T171" s="65">
        <v>17</v>
      </c>
      <c r="U171" s="64">
        <v>37</v>
      </c>
      <c r="V171" s="62">
        <v>10.6</v>
      </c>
      <c r="W171" s="63">
        <v>0</v>
      </c>
      <c r="X171" s="63">
        <v>0</v>
      </c>
      <c r="Y171" s="65">
        <v>12</v>
      </c>
      <c r="Z171" s="61">
        <v>35</v>
      </c>
      <c r="AA171" s="62">
        <v>10.6</v>
      </c>
      <c r="AB171" s="63">
        <v>0</v>
      </c>
      <c r="AC171" s="63">
        <v>0</v>
      </c>
      <c r="AD171" s="65">
        <v>14</v>
      </c>
      <c r="AE171" s="64">
        <v>37</v>
      </c>
      <c r="AF171" s="62">
        <v>10.6</v>
      </c>
      <c r="AG171" s="63">
        <v>0</v>
      </c>
      <c r="AH171" s="63">
        <v>0</v>
      </c>
      <c r="AI171" s="65">
        <v>14</v>
      </c>
      <c r="AJ171" s="64">
        <v>37</v>
      </c>
      <c r="AK171" s="62">
        <v>10.7</v>
      </c>
      <c r="AL171" s="62">
        <v>0</v>
      </c>
      <c r="AM171" s="62">
        <v>0</v>
      </c>
      <c r="AN171" s="65">
        <v>14.2</v>
      </c>
      <c r="AO171" s="61">
        <v>36</v>
      </c>
      <c r="AP171" s="62">
        <v>10.9</v>
      </c>
      <c r="AQ171" s="62">
        <v>300</v>
      </c>
      <c r="AR171" s="62">
        <v>300</v>
      </c>
      <c r="AS171" s="65">
        <v>18.2</v>
      </c>
      <c r="AT171" s="64">
        <v>25</v>
      </c>
      <c r="AU171" s="65">
        <v>210</v>
      </c>
      <c r="AV171" s="64">
        <v>65.828445434570298</v>
      </c>
      <c r="AW171" s="65">
        <v>329.7421155611674</v>
      </c>
      <c r="AX171" s="8"/>
      <c r="AZ171" s="1">
        <v>90</v>
      </c>
    </row>
    <row r="172" spans="3:52" ht="15" customHeight="1" x14ac:dyDescent="0.25">
      <c r="C172" s="42">
        <f>C160+1</f>
        <v>14</v>
      </c>
      <c r="D172" s="66">
        <f>DATE([1]Dash!$F$3,VLOOKUP([1]Dash!$E$3,[1]Abb!$C$3:$D$14,2,FALSE),C172)</f>
        <v>45671</v>
      </c>
      <c r="E172" s="67">
        <f>E171+2/24</f>
        <v>13.250000000000025</v>
      </c>
      <c r="F172" s="68">
        <f t="shared" si="14"/>
        <v>45671.250000000378</v>
      </c>
      <c r="G172" s="46">
        <v>41</v>
      </c>
      <c r="H172" s="47">
        <v>40</v>
      </c>
      <c r="I172" s="48">
        <v>10.6</v>
      </c>
      <c r="J172" s="48">
        <v>350</v>
      </c>
      <c r="K172" s="49">
        <v>0</v>
      </c>
      <c r="L172" s="50">
        <v>41</v>
      </c>
      <c r="M172" s="48">
        <v>10.5</v>
      </c>
      <c r="N172" s="48">
        <v>350</v>
      </c>
      <c r="O172" s="51">
        <v>0</v>
      </c>
      <c r="P172" s="47">
        <v>38</v>
      </c>
      <c r="Q172" s="48">
        <v>10.8</v>
      </c>
      <c r="R172" s="49">
        <v>0</v>
      </c>
      <c r="S172" s="49">
        <v>0</v>
      </c>
      <c r="T172" s="51">
        <v>17.2</v>
      </c>
      <c r="U172" s="50">
        <v>36</v>
      </c>
      <c r="V172" s="48">
        <v>10.6</v>
      </c>
      <c r="W172" s="49">
        <v>0</v>
      </c>
      <c r="X172" s="49">
        <v>0</v>
      </c>
      <c r="Y172" s="51">
        <v>16</v>
      </c>
      <c r="Z172" s="47">
        <v>35</v>
      </c>
      <c r="AA172" s="48">
        <v>10.6</v>
      </c>
      <c r="AB172" s="49">
        <v>0</v>
      </c>
      <c r="AC172" s="49">
        <v>0</v>
      </c>
      <c r="AD172" s="51">
        <v>8</v>
      </c>
      <c r="AE172" s="50">
        <v>37</v>
      </c>
      <c r="AF172" s="48">
        <v>10.5</v>
      </c>
      <c r="AG172" s="49">
        <v>0</v>
      </c>
      <c r="AH172" s="49">
        <v>0</v>
      </c>
      <c r="AI172" s="51">
        <v>16</v>
      </c>
      <c r="AJ172" s="50">
        <v>36</v>
      </c>
      <c r="AK172" s="48">
        <v>10.6</v>
      </c>
      <c r="AL172" s="48">
        <v>0</v>
      </c>
      <c r="AM172" s="48">
        <v>0</v>
      </c>
      <c r="AN172" s="51">
        <v>14</v>
      </c>
      <c r="AO172" s="47">
        <v>36</v>
      </c>
      <c r="AP172" s="48">
        <v>10.6</v>
      </c>
      <c r="AQ172" s="48">
        <v>290</v>
      </c>
      <c r="AR172" s="48">
        <v>290</v>
      </c>
      <c r="AS172" s="51">
        <v>19</v>
      </c>
      <c r="AT172" s="50">
        <v>25</v>
      </c>
      <c r="AU172" s="51">
        <v>300</v>
      </c>
      <c r="AV172" s="50">
        <v>61.5</v>
      </c>
      <c r="AW172" s="51">
        <v>338.78</v>
      </c>
      <c r="AX172" s="8"/>
      <c r="AZ172" s="1">
        <v>90</v>
      </c>
    </row>
    <row r="173" spans="3:52" ht="15" customHeight="1" x14ac:dyDescent="0.25">
      <c r="C173" s="42"/>
      <c r="D173" s="43">
        <f>D172</f>
        <v>45671</v>
      </c>
      <c r="E173" s="44">
        <f>E172+2/24</f>
        <v>13.333333333333359</v>
      </c>
      <c r="F173" s="45">
        <f t="shared" si="14"/>
        <v>45671.333333333714</v>
      </c>
      <c r="G173" s="52">
        <v>38</v>
      </c>
      <c r="H173" s="53">
        <v>39</v>
      </c>
      <c r="I173" s="54">
        <v>10.9</v>
      </c>
      <c r="J173" s="54">
        <v>400</v>
      </c>
      <c r="K173" s="55">
        <v>0</v>
      </c>
      <c r="L173" s="56">
        <v>39</v>
      </c>
      <c r="M173" s="54">
        <v>10.5</v>
      </c>
      <c r="N173" s="54">
        <v>13.4</v>
      </c>
      <c r="O173" s="57">
        <v>0</v>
      </c>
      <c r="P173" s="53">
        <v>34</v>
      </c>
      <c r="Q173" s="54">
        <v>10.6</v>
      </c>
      <c r="R173" s="55">
        <v>0</v>
      </c>
      <c r="S173" s="55">
        <v>0</v>
      </c>
      <c r="T173" s="57">
        <v>15.4</v>
      </c>
      <c r="U173" s="56">
        <v>34</v>
      </c>
      <c r="V173" s="54">
        <v>10.6</v>
      </c>
      <c r="W173" s="55">
        <v>0</v>
      </c>
      <c r="X173" s="55">
        <v>0</v>
      </c>
      <c r="Y173" s="57">
        <v>15.4</v>
      </c>
      <c r="Z173" s="53">
        <v>35</v>
      </c>
      <c r="AA173" s="54">
        <v>10.6</v>
      </c>
      <c r="AB173" s="55">
        <v>0</v>
      </c>
      <c r="AC173" s="55">
        <v>0</v>
      </c>
      <c r="AD173" s="57">
        <v>12</v>
      </c>
      <c r="AE173" s="56">
        <v>33</v>
      </c>
      <c r="AF173" s="54">
        <v>10.7</v>
      </c>
      <c r="AG173" s="55">
        <v>0</v>
      </c>
      <c r="AH173" s="55">
        <v>0</v>
      </c>
      <c r="AI173" s="57">
        <v>13.8</v>
      </c>
      <c r="AJ173" s="56">
        <v>32</v>
      </c>
      <c r="AK173" s="54">
        <v>10.8</v>
      </c>
      <c r="AL173" s="54">
        <v>0</v>
      </c>
      <c r="AM173" s="54">
        <v>0</v>
      </c>
      <c r="AN173" s="57">
        <v>14</v>
      </c>
      <c r="AO173" s="53">
        <v>33</v>
      </c>
      <c r="AP173" s="54">
        <v>10.8</v>
      </c>
      <c r="AQ173" s="54">
        <v>270</v>
      </c>
      <c r="AR173" s="54">
        <v>0</v>
      </c>
      <c r="AS173" s="57">
        <v>18.600000000000001</v>
      </c>
      <c r="AT173" s="56">
        <v>28</v>
      </c>
      <c r="AU173" s="57">
        <v>230</v>
      </c>
      <c r="AV173" s="56">
        <v>61.65</v>
      </c>
      <c r="AW173" s="57">
        <v>355.01</v>
      </c>
      <c r="AX173" s="8"/>
      <c r="AZ173" s="1">
        <v>90</v>
      </c>
    </row>
    <row r="174" spans="3:52" ht="15" customHeight="1" x14ac:dyDescent="0.25">
      <c r="C174" s="42"/>
      <c r="D174" s="43">
        <f>D172</f>
        <v>45671</v>
      </c>
      <c r="E174" s="44">
        <f t="shared" ref="E174:E183" si="17">E173+2/24</f>
        <v>13.416666666666693</v>
      </c>
      <c r="F174" s="45">
        <f t="shared" si="14"/>
        <v>45671.41666666705</v>
      </c>
      <c r="G174" s="52">
        <v>3.5</v>
      </c>
      <c r="H174" s="53">
        <v>37</v>
      </c>
      <c r="I174" s="54">
        <v>11</v>
      </c>
      <c r="J174" s="54">
        <v>400</v>
      </c>
      <c r="K174" s="55">
        <v>0</v>
      </c>
      <c r="L174" s="56">
        <v>36</v>
      </c>
      <c r="M174" s="54">
        <v>10.6</v>
      </c>
      <c r="N174" s="54">
        <v>16</v>
      </c>
      <c r="O174" s="57">
        <v>0</v>
      </c>
      <c r="P174" s="53">
        <v>34</v>
      </c>
      <c r="Q174" s="54">
        <v>10.6</v>
      </c>
      <c r="R174" s="55">
        <v>0</v>
      </c>
      <c r="S174" s="55">
        <v>0</v>
      </c>
      <c r="T174" s="57">
        <v>12.6</v>
      </c>
      <c r="U174" s="56">
        <v>34</v>
      </c>
      <c r="V174" s="54">
        <v>10.6</v>
      </c>
      <c r="W174" s="55">
        <v>0</v>
      </c>
      <c r="X174" s="55">
        <v>0</v>
      </c>
      <c r="Y174" s="57">
        <v>12.6</v>
      </c>
      <c r="Z174" s="53">
        <v>34</v>
      </c>
      <c r="AA174" s="54">
        <v>10.8</v>
      </c>
      <c r="AB174" s="55">
        <v>0</v>
      </c>
      <c r="AC174" s="55">
        <v>0</v>
      </c>
      <c r="AD174" s="57">
        <v>11</v>
      </c>
      <c r="AE174" s="56">
        <v>33</v>
      </c>
      <c r="AF174" s="54">
        <v>10.7</v>
      </c>
      <c r="AG174" s="55">
        <v>0</v>
      </c>
      <c r="AH174" s="55">
        <v>0</v>
      </c>
      <c r="AI174" s="57">
        <v>10</v>
      </c>
      <c r="AJ174" s="56">
        <v>32</v>
      </c>
      <c r="AK174" s="54">
        <v>10.8</v>
      </c>
      <c r="AL174" s="54">
        <v>0</v>
      </c>
      <c r="AM174" s="54">
        <v>0</v>
      </c>
      <c r="AN174" s="57">
        <v>14.2</v>
      </c>
      <c r="AO174" s="53">
        <v>32</v>
      </c>
      <c r="AP174" s="54">
        <v>10.9</v>
      </c>
      <c r="AQ174" s="54">
        <v>280</v>
      </c>
      <c r="AR174" s="54">
        <v>0</v>
      </c>
      <c r="AS174" s="57">
        <v>18</v>
      </c>
      <c r="AT174" s="56">
        <v>26</v>
      </c>
      <c r="AU174" s="57">
        <v>230</v>
      </c>
      <c r="AV174" s="56">
        <v>61.8</v>
      </c>
      <c r="AW174" s="57">
        <v>353.57</v>
      </c>
      <c r="AX174" s="8"/>
      <c r="AZ174" s="1">
        <v>90</v>
      </c>
    </row>
    <row r="175" spans="3:52" ht="15" customHeight="1" x14ac:dyDescent="0.25">
      <c r="C175" s="42"/>
      <c r="D175" s="43">
        <f>D172</f>
        <v>45671</v>
      </c>
      <c r="E175" s="44">
        <f t="shared" si="17"/>
        <v>13.500000000000027</v>
      </c>
      <c r="F175" s="45">
        <f t="shared" si="14"/>
        <v>45671.500000000386</v>
      </c>
      <c r="G175" s="52">
        <v>32</v>
      </c>
      <c r="H175" s="53">
        <v>37</v>
      </c>
      <c r="I175" s="54">
        <v>10.5</v>
      </c>
      <c r="J175" s="54">
        <v>400</v>
      </c>
      <c r="K175" s="55">
        <v>0</v>
      </c>
      <c r="L175" s="56">
        <v>37</v>
      </c>
      <c r="M175" s="54">
        <v>10.7</v>
      </c>
      <c r="N175" s="54">
        <v>6.2</v>
      </c>
      <c r="O175" s="57">
        <v>0</v>
      </c>
      <c r="P175" s="53">
        <v>36</v>
      </c>
      <c r="Q175" s="54">
        <v>10.7</v>
      </c>
      <c r="R175" s="55">
        <v>0</v>
      </c>
      <c r="S175" s="55">
        <v>0</v>
      </c>
      <c r="T175" s="57">
        <v>14.2</v>
      </c>
      <c r="U175" s="56">
        <v>36</v>
      </c>
      <c r="V175" s="54">
        <v>10.7</v>
      </c>
      <c r="W175" s="55">
        <v>0</v>
      </c>
      <c r="X175" s="55">
        <v>0</v>
      </c>
      <c r="Y175" s="57">
        <v>14.2</v>
      </c>
      <c r="Z175" s="53">
        <v>35</v>
      </c>
      <c r="AA175" s="54">
        <v>10.8</v>
      </c>
      <c r="AB175" s="55">
        <v>0</v>
      </c>
      <c r="AC175" s="55">
        <v>0</v>
      </c>
      <c r="AD175" s="57">
        <v>13.6</v>
      </c>
      <c r="AE175" s="56">
        <v>32</v>
      </c>
      <c r="AF175" s="54">
        <v>10.8</v>
      </c>
      <c r="AG175" s="55">
        <v>0</v>
      </c>
      <c r="AH175" s="55">
        <v>0</v>
      </c>
      <c r="AI175" s="57">
        <v>8.4</v>
      </c>
      <c r="AJ175" s="56">
        <v>33</v>
      </c>
      <c r="AK175" s="54">
        <v>10.9</v>
      </c>
      <c r="AL175" s="54">
        <v>0</v>
      </c>
      <c r="AM175" s="54">
        <v>0</v>
      </c>
      <c r="AN175" s="57">
        <v>14</v>
      </c>
      <c r="AO175" s="53">
        <v>32</v>
      </c>
      <c r="AP175" s="54">
        <v>10.8</v>
      </c>
      <c r="AQ175" s="54">
        <v>280</v>
      </c>
      <c r="AR175" s="54">
        <v>0</v>
      </c>
      <c r="AS175" s="57">
        <v>18.399999999999999</v>
      </c>
      <c r="AT175" s="56">
        <v>24</v>
      </c>
      <c r="AU175" s="57">
        <v>240</v>
      </c>
      <c r="AV175" s="56">
        <v>63.22</v>
      </c>
      <c r="AW175" s="57">
        <v>348.65</v>
      </c>
      <c r="AX175" s="8"/>
      <c r="AZ175" s="1">
        <v>90</v>
      </c>
    </row>
    <row r="176" spans="3:52" ht="15" customHeight="1" x14ac:dyDescent="0.25">
      <c r="C176" s="42"/>
      <c r="D176" s="43">
        <f>D172</f>
        <v>45671</v>
      </c>
      <c r="E176" s="44">
        <f t="shared" si="17"/>
        <v>13.583333333333361</v>
      </c>
      <c r="F176" s="45">
        <f t="shared" si="14"/>
        <v>45671.583333333721</v>
      </c>
      <c r="G176" s="52">
        <v>37</v>
      </c>
      <c r="H176" s="53">
        <v>37</v>
      </c>
      <c r="I176" s="54">
        <v>10.5</v>
      </c>
      <c r="J176" s="54">
        <v>400</v>
      </c>
      <c r="K176" s="55">
        <v>0</v>
      </c>
      <c r="L176" s="56">
        <v>37</v>
      </c>
      <c r="M176" s="54">
        <v>10.7</v>
      </c>
      <c r="N176" s="54">
        <v>16.399999999999999</v>
      </c>
      <c r="O176" s="57">
        <v>0</v>
      </c>
      <c r="P176" s="53">
        <v>36</v>
      </c>
      <c r="Q176" s="54">
        <v>10.6</v>
      </c>
      <c r="R176" s="55">
        <v>0</v>
      </c>
      <c r="S176" s="55">
        <v>0</v>
      </c>
      <c r="T176" s="57">
        <v>15</v>
      </c>
      <c r="U176" s="56">
        <v>36</v>
      </c>
      <c r="V176" s="54">
        <v>10.6</v>
      </c>
      <c r="W176" s="55">
        <v>0</v>
      </c>
      <c r="X176" s="55">
        <v>0</v>
      </c>
      <c r="Y176" s="57">
        <v>15</v>
      </c>
      <c r="Z176" s="53">
        <v>35</v>
      </c>
      <c r="AA176" s="54">
        <v>10.8</v>
      </c>
      <c r="AB176" s="55">
        <v>0</v>
      </c>
      <c r="AC176" s="55">
        <v>0</v>
      </c>
      <c r="AD176" s="57">
        <v>14.6</v>
      </c>
      <c r="AE176" s="56">
        <v>32</v>
      </c>
      <c r="AF176" s="54">
        <v>10.8</v>
      </c>
      <c r="AG176" s="55">
        <v>0</v>
      </c>
      <c r="AH176" s="55">
        <v>0</v>
      </c>
      <c r="AI176" s="57">
        <v>7.6</v>
      </c>
      <c r="AJ176" s="56">
        <v>33</v>
      </c>
      <c r="AK176" s="54">
        <v>10.9</v>
      </c>
      <c r="AL176" s="54">
        <v>0</v>
      </c>
      <c r="AM176" s="54">
        <v>0</v>
      </c>
      <c r="AN176" s="57">
        <v>13.8</v>
      </c>
      <c r="AO176" s="53">
        <v>32</v>
      </c>
      <c r="AP176" s="54">
        <v>10.8</v>
      </c>
      <c r="AQ176" s="54">
        <v>270</v>
      </c>
      <c r="AR176" s="54">
        <v>0</v>
      </c>
      <c r="AS176" s="57">
        <v>18.2</v>
      </c>
      <c r="AT176" s="56">
        <v>25</v>
      </c>
      <c r="AU176" s="57">
        <v>210</v>
      </c>
      <c r="AV176" s="56">
        <v>62.64</v>
      </c>
      <c r="AW176" s="57">
        <v>356.62</v>
      </c>
      <c r="AX176" s="8"/>
      <c r="AZ176" s="1">
        <v>90</v>
      </c>
    </row>
    <row r="177" spans="3:52" ht="15" customHeight="1" x14ac:dyDescent="0.25">
      <c r="C177" s="42"/>
      <c r="D177" s="43">
        <f>D172</f>
        <v>45671</v>
      </c>
      <c r="E177" s="44">
        <f t="shared" si="17"/>
        <v>13.666666666666694</v>
      </c>
      <c r="F177" s="45">
        <f t="shared" si="14"/>
        <v>45671.666666667057</v>
      </c>
      <c r="G177" s="52">
        <v>34</v>
      </c>
      <c r="H177" s="53">
        <v>37</v>
      </c>
      <c r="I177" s="54">
        <v>10.5</v>
      </c>
      <c r="J177" s="54">
        <v>400</v>
      </c>
      <c r="K177" s="55">
        <v>0</v>
      </c>
      <c r="L177" s="56">
        <v>37</v>
      </c>
      <c r="M177" s="54">
        <v>10.7</v>
      </c>
      <c r="N177" s="54">
        <v>16.600000000000001</v>
      </c>
      <c r="O177" s="57">
        <v>0</v>
      </c>
      <c r="P177" s="53">
        <v>36</v>
      </c>
      <c r="Q177" s="54">
        <v>10.5</v>
      </c>
      <c r="R177" s="55">
        <v>0</v>
      </c>
      <c r="S177" s="55">
        <v>0</v>
      </c>
      <c r="T177" s="57">
        <v>15.2</v>
      </c>
      <c r="U177" s="56">
        <v>36</v>
      </c>
      <c r="V177" s="54">
        <v>10.5</v>
      </c>
      <c r="W177" s="55">
        <v>0</v>
      </c>
      <c r="X177" s="55">
        <v>0</v>
      </c>
      <c r="Y177" s="57">
        <v>15.2</v>
      </c>
      <c r="Z177" s="53">
        <v>35</v>
      </c>
      <c r="AA177" s="54">
        <v>10.7</v>
      </c>
      <c r="AB177" s="55">
        <v>0</v>
      </c>
      <c r="AC177" s="55">
        <v>0</v>
      </c>
      <c r="AD177" s="57">
        <v>14.4</v>
      </c>
      <c r="AE177" s="56">
        <v>33</v>
      </c>
      <c r="AF177" s="54">
        <v>10.8</v>
      </c>
      <c r="AG177" s="55">
        <v>0</v>
      </c>
      <c r="AH177" s="55">
        <v>0</v>
      </c>
      <c r="AI177" s="57">
        <v>10.6</v>
      </c>
      <c r="AJ177" s="56">
        <v>33</v>
      </c>
      <c r="AK177" s="54">
        <v>10.9</v>
      </c>
      <c r="AL177" s="54">
        <v>0</v>
      </c>
      <c r="AM177" s="54">
        <v>0</v>
      </c>
      <c r="AN177" s="57">
        <v>11</v>
      </c>
      <c r="AO177" s="53">
        <v>32</v>
      </c>
      <c r="AP177" s="54">
        <v>10.8</v>
      </c>
      <c r="AQ177" s="54">
        <v>260</v>
      </c>
      <c r="AR177" s="54">
        <v>0</v>
      </c>
      <c r="AS177" s="57">
        <v>18</v>
      </c>
      <c r="AT177" s="56">
        <v>24</v>
      </c>
      <c r="AU177" s="57">
        <v>220</v>
      </c>
      <c r="AV177" s="56">
        <v>62.85</v>
      </c>
      <c r="AW177" s="57">
        <v>135.58000000000001</v>
      </c>
      <c r="AX177" s="8"/>
      <c r="AZ177" s="1">
        <v>90</v>
      </c>
    </row>
    <row r="178" spans="3:52" ht="15" customHeight="1" x14ac:dyDescent="0.25">
      <c r="C178" s="42"/>
      <c r="D178" s="43">
        <f>D172</f>
        <v>45671</v>
      </c>
      <c r="E178" s="44">
        <f t="shared" si="17"/>
        <v>13.750000000000028</v>
      </c>
      <c r="F178" s="45">
        <f t="shared" si="14"/>
        <v>45671.750000000393</v>
      </c>
      <c r="G178" s="52">
        <v>37</v>
      </c>
      <c r="H178" s="53">
        <v>37</v>
      </c>
      <c r="I178" s="54">
        <v>11</v>
      </c>
      <c r="J178" s="54">
        <v>450</v>
      </c>
      <c r="K178" s="55">
        <v>0</v>
      </c>
      <c r="L178" s="56">
        <v>36</v>
      </c>
      <c r="M178" s="54">
        <v>10.6</v>
      </c>
      <c r="N178" s="54">
        <v>16</v>
      </c>
      <c r="O178" s="57">
        <v>0</v>
      </c>
      <c r="P178" s="53">
        <v>35</v>
      </c>
      <c r="Q178" s="54">
        <v>10.5</v>
      </c>
      <c r="R178" s="55">
        <v>0</v>
      </c>
      <c r="S178" s="55">
        <v>0</v>
      </c>
      <c r="T178" s="57">
        <v>15</v>
      </c>
      <c r="U178" s="56">
        <v>35</v>
      </c>
      <c r="V178" s="54">
        <v>10.5</v>
      </c>
      <c r="W178" s="55">
        <v>0</v>
      </c>
      <c r="X178" s="55">
        <v>0</v>
      </c>
      <c r="Y178" s="57">
        <v>15</v>
      </c>
      <c r="Z178" s="53">
        <v>35</v>
      </c>
      <c r="AA178" s="54">
        <v>10.5</v>
      </c>
      <c r="AB178" s="55">
        <v>0</v>
      </c>
      <c r="AC178" s="55">
        <v>0</v>
      </c>
      <c r="AD178" s="57">
        <v>15.6</v>
      </c>
      <c r="AE178" s="56">
        <v>34</v>
      </c>
      <c r="AF178" s="54">
        <v>10.4</v>
      </c>
      <c r="AG178" s="55">
        <v>0</v>
      </c>
      <c r="AH178" s="55">
        <v>0</v>
      </c>
      <c r="AI178" s="57">
        <v>14</v>
      </c>
      <c r="AJ178" s="56">
        <v>33</v>
      </c>
      <c r="AK178" s="54">
        <v>10.6</v>
      </c>
      <c r="AL178" s="54">
        <v>0</v>
      </c>
      <c r="AM178" s="54">
        <v>0</v>
      </c>
      <c r="AN178" s="57">
        <v>8</v>
      </c>
      <c r="AO178" s="53">
        <v>34</v>
      </c>
      <c r="AP178" s="54">
        <v>10.6</v>
      </c>
      <c r="AQ178" s="54">
        <v>280</v>
      </c>
      <c r="AR178" s="54">
        <v>0</v>
      </c>
      <c r="AS178" s="57">
        <v>18.8</v>
      </c>
      <c r="AT178" s="56">
        <v>24</v>
      </c>
      <c r="AU178" s="57">
        <v>250</v>
      </c>
      <c r="AV178" s="56">
        <v>62.89</v>
      </c>
      <c r="AW178" s="57">
        <v>0</v>
      </c>
      <c r="AX178" s="8"/>
      <c r="AZ178" s="1">
        <v>90</v>
      </c>
    </row>
    <row r="179" spans="3:52" ht="15" customHeight="1" x14ac:dyDescent="0.25">
      <c r="C179" s="42"/>
      <c r="D179" s="43">
        <f>D172</f>
        <v>45671</v>
      </c>
      <c r="E179" s="44">
        <f t="shared" si="17"/>
        <v>13.833333333333362</v>
      </c>
      <c r="F179" s="45">
        <f t="shared" si="14"/>
        <v>45671.833333333729</v>
      </c>
      <c r="G179" s="52">
        <v>42</v>
      </c>
      <c r="H179" s="53">
        <v>40</v>
      </c>
      <c r="I179" s="54">
        <v>10.4</v>
      </c>
      <c r="J179" s="54">
        <v>400</v>
      </c>
      <c r="K179" s="55">
        <v>0</v>
      </c>
      <c r="L179" s="56">
        <v>40</v>
      </c>
      <c r="M179" s="54">
        <v>10.4</v>
      </c>
      <c r="N179" s="54">
        <v>350</v>
      </c>
      <c r="O179" s="57">
        <v>0</v>
      </c>
      <c r="P179" s="53">
        <v>39</v>
      </c>
      <c r="Q179" s="54">
        <v>10.6</v>
      </c>
      <c r="R179" s="55">
        <v>0</v>
      </c>
      <c r="S179" s="55">
        <v>0</v>
      </c>
      <c r="T179" s="57">
        <v>17</v>
      </c>
      <c r="U179" s="56">
        <v>38</v>
      </c>
      <c r="V179" s="54">
        <v>10.5</v>
      </c>
      <c r="W179" s="55">
        <v>0</v>
      </c>
      <c r="X179" s="55">
        <v>0</v>
      </c>
      <c r="Y179" s="57">
        <v>14</v>
      </c>
      <c r="Z179" s="53">
        <v>37</v>
      </c>
      <c r="AA179" s="54">
        <v>10.4</v>
      </c>
      <c r="AB179" s="55">
        <v>0</v>
      </c>
      <c r="AC179" s="55">
        <v>0</v>
      </c>
      <c r="AD179" s="57">
        <v>14</v>
      </c>
      <c r="AE179" s="56">
        <v>37</v>
      </c>
      <c r="AF179" s="54">
        <v>10.4</v>
      </c>
      <c r="AG179" s="55">
        <v>0</v>
      </c>
      <c r="AH179" s="55">
        <v>0</v>
      </c>
      <c r="AI179" s="57">
        <v>14</v>
      </c>
      <c r="AJ179" s="56">
        <v>36</v>
      </c>
      <c r="AK179" s="54">
        <v>10.5</v>
      </c>
      <c r="AL179" s="54">
        <v>0</v>
      </c>
      <c r="AM179" s="54">
        <v>0</v>
      </c>
      <c r="AN179" s="57">
        <v>8</v>
      </c>
      <c r="AO179" s="53">
        <v>36</v>
      </c>
      <c r="AP179" s="54">
        <v>10.6</v>
      </c>
      <c r="AQ179" s="54">
        <v>270</v>
      </c>
      <c r="AR179" s="54">
        <v>0</v>
      </c>
      <c r="AS179" s="57">
        <v>17.2</v>
      </c>
      <c r="AT179" s="56">
        <v>25</v>
      </c>
      <c r="AU179" s="57">
        <v>150</v>
      </c>
      <c r="AV179" s="56">
        <v>62.64</v>
      </c>
      <c r="AW179" s="57">
        <v>0</v>
      </c>
      <c r="AX179" s="8"/>
      <c r="AZ179" s="1">
        <v>90</v>
      </c>
    </row>
    <row r="180" spans="3:52" ht="15" customHeight="1" x14ac:dyDescent="0.25">
      <c r="C180" s="42"/>
      <c r="D180" s="43">
        <f>D172</f>
        <v>45671</v>
      </c>
      <c r="E180" s="44">
        <f t="shared" si="17"/>
        <v>13.916666666666696</v>
      </c>
      <c r="F180" s="45">
        <f t="shared" si="14"/>
        <v>45671.916666667064</v>
      </c>
      <c r="G180" s="52">
        <v>41</v>
      </c>
      <c r="H180" s="53">
        <v>41</v>
      </c>
      <c r="I180" s="54">
        <v>10</v>
      </c>
      <c r="J180" s="54">
        <v>400</v>
      </c>
      <c r="K180" s="55">
        <v>0</v>
      </c>
      <c r="L180" s="56">
        <v>39</v>
      </c>
      <c r="M180" s="54">
        <v>10.4</v>
      </c>
      <c r="N180" s="54">
        <v>350</v>
      </c>
      <c r="O180" s="57">
        <v>0</v>
      </c>
      <c r="P180" s="53">
        <v>40</v>
      </c>
      <c r="Q180" s="54">
        <v>10.6</v>
      </c>
      <c r="R180" s="55">
        <v>0</v>
      </c>
      <c r="S180" s="55">
        <v>0</v>
      </c>
      <c r="T180" s="57">
        <v>16.399999999999999</v>
      </c>
      <c r="U180" s="56">
        <v>39</v>
      </c>
      <c r="V180" s="54">
        <v>10.5</v>
      </c>
      <c r="W180" s="55">
        <v>0</v>
      </c>
      <c r="X180" s="55">
        <v>0</v>
      </c>
      <c r="Y180" s="57">
        <v>15</v>
      </c>
      <c r="Z180" s="53">
        <v>36</v>
      </c>
      <c r="AA180" s="54">
        <v>10.4</v>
      </c>
      <c r="AB180" s="55">
        <v>0</v>
      </c>
      <c r="AC180" s="55">
        <v>0</v>
      </c>
      <c r="AD180" s="57">
        <v>16.399999999999999</v>
      </c>
      <c r="AE180" s="56">
        <v>35</v>
      </c>
      <c r="AF180" s="54">
        <v>10.4</v>
      </c>
      <c r="AG180" s="55">
        <v>0</v>
      </c>
      <c r="AH180" s="55">
        <v>0</v>
      </c>
      <c r="AI180" s="57">
        <v>14.4</v>
      </c>
      <c r="AJ180" s="56">
        <v>35</v>
      </c>
      <c r="AK180" s="54">
        <v>10.5</v>
      </c>
      <c r="AL180" s="54">
        <v>0</v>
      </c>
      <c r="AM180" s="54">
        <v>0</v>
      </c>
      <c r="AN180" s="57">
        <v>8</v>
      </c>
      <c r="AO180" s="53">
        <v>37</v>
      </c>
      <c r="AP180" s="54">
        <v>10.6</v>
      </c>
      <c r="AQ180" s="54">
        <v>280</v>
      </c>
      <c r="AR180" s="54">
        <v>0</v>
      </c>
      <c r="AS180" s="57">
        <v>18</v>
      </c>
      <c r="AT180" s="56">
        <v>25</v>
      </c>
      <c r="AU180" s="57">
        <v>150</v>
      </c>
      <c r="AV180" s="56">
        <v>57.16</v>
      </c>
      <c r="AW180" s="57">
        <v>237.38</v>
      </c>
      <c r="AX180" s="8"/>
      <c r="AZ180" s="1">
        <v>90</v>
      </c>
    </row>
    <row r="181" spans="3:52" ht="15" customHeight="1" x14ac:dyDescent="0.25">
      <c r="C181" s="42"/>
      <c r="D181" s="43">
        <f>D172</f>
        <v>45671</v>
      </c>
      <c r="E181" s="44">
        <f t="shared" si="17"/>
        <v>14.00000000000003</v>
      </c>
      <c r="F181" s="45">
        <f t="shared" si="14"/>
        <v>45672.0000000004</v>
      </c>
      <c r="G181" s="52">
        <v>42</v>
      </c>
      <c r="H181" s="53">
        <v>41</v>
      </c>
      <c r="I181" s="54">
        <v>10.6</v>
      </c>
      <c r="J181" s="54">
        <v>350</v>
      </c>
      <c r="K181" s="55">
        <v>0</v>
      </c>
      <c r="L181" s="56">
        <v>40</v>
      </c>
      <c r="M181" s="54">
        <v>10.5</v>
      </c>
      <c r="N181" s="54">
        <v>350</v>
      </c>
      <c r="O181" s="57">
        <v>0</v>
      </c>
      <c r="P181" s="53">
        <v>40</v>
      </c>
      <c r="Q181" s="54">
        <v>10.6</v>
      </c>
      <c r="R181" s="55">
        <v>0</v>
      </c>
      <c r="S181" s="55">
        <v>0</v>
      </c>
      <c r="T181" s="57">
        <v>16.600000000000001</v>
      </c>
      <c r="U181" s="56">
        <v>40</v>
      </c>
      <c r="V181" s="54">
        <v>10.4</v>
      </c>
      <c r="W181" s="55">
        <v>0</v>
      </c>
      <c r="X181" s="55">
        <v>0</v>
      </c>
      <c r="Y181" s="57">
        <v>15.4</v>
      </c>
      <c r="Z181" s="53">
        <v>39</v>
      </c>
      <c r="AA181" s="54">
        <v>10.4</v>
      </c>
      <c r="AB181" s="55">
        <v>0</v>
      </c>
      <c r="AC181" s="55">
        <v>0</v>
      </c>
      <c r="AD181" s="57">
        <v>14.6</v>
      </c>
      <c r="AE181" s="56">
        <v>37</v>
      </c>
      <c r="AF181" s="54">
        <v>10.3</v>
      </c>
      <c r="AG181" s="55">
        <v>0</v>
      </c>
      <c r="AH181" s="55">
        <v>0</v>
      </c>
      <c r="AI181" s="57">
        <v>14.2</v>
      </c>
      <c r="AJ181" s="56">
        <v>37</v>
      </c>
      <c r="AK181" s="54">
        <v>10.4</v>
      </c>
      <c r="AL181" s="54">
        <v>0</v>
      </c>
      <c r="AM181" s="54">
        <v>0</v>
      </c>
      <c r="AN181" s="57">
        <v>8.4</v>
      </c>
      <c r="AO181" s="53">
        <v>35</v>
      </c>
      <c r="AP181" s="54">
        <v>10.6</v>
      </c>
      <c r="AQ181" s="54">
        <v>260</v>
      </c>
      <c r="AR181" s="54">
        <v>0</v>
      </c>
      <c r="AS181" s="57">
        <v>18</v>
      </c>
      <c r="AT181" s="56">
        <v>24</v>
      </c>
      <c r="AU181" s="57">
        <v>150</v>
      </c>
      <c r="AV181" s="56">
        <v>57.92</v>
      </c>
      <c r="AW181" s="57">
        <v>387.74</v>
      </c>
      <c r="AX181" s="8"/>
      <c r="AZ181" s="1">
        <v>90</v>
      </c>
    </row>
    <row r="182" spans="3:52" ht="15" customHeight="1" x14ac:dyDescent="0.25">
      <c r="C182" s="42"/>
      <c r="D182" s="43">
        <f>D172</f>
        <v>45671</v>
      </c>
      <c r="E182" s="44">
        <f t="shared" si="17"/>
        <v>14.083333333333364</v>
      </c>
      <c r="F182" s="45">
        <f t="shared" si="14"/>
        <v>45672.083333333736</v>
      </c>
      <c r="G182" s="52">
        <v>40</v>
      </c>
      <c r="H182" s="53">
        <v>41</v>
      </c>
      <c r="I182" s="54">
        <v>10.6</v>
      </c>
      <c r="J182" s="54">
        <v>350</v>
      </c>
      <c r="K182" s="55">
        <v>0</v>
      </c>
      <c r="L182" s="56">
        <v>40</v>
      </c>
      <c r="M182" s="54">
        <v>10.5</v>
      </c>
      <c r="N182" s="54">
        <v>350</v>
      </c>
      <c r="O182" s="57">
        <v>0</v>
      </c>
      <c r="P182" s="53">
        <v>39</v>
      </c>
      <c r="Q182" s="54">
        <v>10.6</v>
      </c>
      <c r="R182" s="55">
        <v>0</v>
      </c>
      <c r="S182" s="55">
        <v>0</v>
      </c>
      <c r="T182" s="57">
        <v>17</v>
      </c>
      <c r="U182" s="56">
        <v>39</v>
      </c>
      <c r="V182" s="54">
        <v>10.4</v>
      </c>
      <c r="W182" s="55">
        <v>0</v>
      </c>
      <c r="X182" s="55">
        <v>0</v>
      </c>
      <c r="Y182" s="57">
        <v>15</v>
      </c>
      <c r="Z182" s="53">
        <v>38</v>
      </c>
      <c r="AA182" s="54">
        <v>10.4</v>
      </c>
      <c r="AB182" s="55">
        <v>0</v>
      </c>
      <c r="AC182" s="55">
        <v>0</v>
      </c>
      <c r="AD182" s="57">
        <v>16.2</v>
      </c>
      <c r="AE182" s="56">
        <v>36</v>
      </c>
      <c r="AF182" s="54">
        <v>10.3</v>
      </c>
      <c r="AG182" s="55">
        <v>0</v>
      </c>
      <c r="AH182" s="55">
        <v>0</v>
      </c>
      <c r="AI182" s="57">
        <v>15</v>
      </c>
      <c r="AJ182" s="56">
        <v>36</v>
      </c>
      <c r="AK182" s="54">
        <v>10.4</v>
      </c>
      <c r="AL182" s="54">
        <v>0</v>
      </c>
      <c r="AM182" s="54">
        <v>0</v>
      </c>
      <c r="AN182" s="57">
        <v>15</v>
      </c>
      <c r="AO182" s="53">
        <v>36</v>
      </c>
      <c r="AP182" s="54">
        <v>10.6</v>
      </c>
      <c r="AQ182" s="54">
        <v>270</v>
      </c>
      <c r="AR182" s="54">
        <v>0</v>
      </c>
      <c r="AS182" s="57">
        <v>13</v>
      </c>
      <c r="AT182" s="56">
        <v>24</v>
      </c>
      <c r="AU182" s="57">
        <v>150</v>
      </c>
      <c r="AV182" s="56">
        <v>61.16</v>
      </c>
      <c r="AW182" s="57">
        <v>367.84</v>
      </c>
      <c r="AX182" s="8"/>
      <c r="AZ182" s="1">
        <v>90</v>
      </c>
    </row>
    <row r="183" spans="3:52" ht="15" customHeight="1" x14ac:dyDescent="0.25">
      <c r="C183" s="42"/>
      <c r="D183" s="69">
        <f>D172</f>
        <v>45671</v>
      </c>
      <c r="E183" s="70">
        <f t="shared" si="17"/>
        <v>14.166666666666698</v>
      </c>
      <c r="F183" s="71">
        <f t="shared" si="14"/>
        <v>45672.166666667072</v>
      </c>
      <c r="G183" s="60">
        <v>41</v>
      </c>
      <c r="H183" s="61">
        <v>40</v>
      </c>
      <c r="I183" s="62">
        <v>10.5</v>
      </c>
      <c r="J183" s="62">
        <v>350</v>
      </c>
      <c r="K183" s="63">
        <v>0</v>
      </c>
      <c r="L183" s="64">
        <v>41</v>
      </c>
      <c r="M183" s="62">
        <v>10.6</v>
      </c>
      <c r="N183" s="62">
        <v>300</v>
      </c>
      <c r="O183" s="65">
        <v>0</v>
      </c>
      <c r="P183" s="61">
        <v>40</v>
      </c>
      <c r="Q183" s="62">
        <v>10.5</v>
      </c>
      <c r="R183" s="63">
        <v>0</v>
      </c>
      <c r="S183" s="63">
        <v>0</v>
      </c>
      <c r="T183" s="65">
        <v>17.2</v>
      </c>
      <c r="U183" s="64">
        <v>39</v>
      </c>
      <c r="V183" s="62">
        <v>10.4</v>
      </c>
      <c r="W183" s="63">
        <v>0</v>
      </c>
      <c r="X183" s="63">
        <v>0</v>
      </c>
      <c r="Y183" s="65">
        <v>15.2</v>
      </c>
      <c r="Z183" s="61">
        <v>39</v>
      </c>
      <c r="AA183" s="62">
        <v>10.4</v>
      </c>
      <c r="AB183" s="63">
        <v>0</v>
      </c>
      <c r="AC183" s="63">
        <v>0</v>
      </c>
      <c r="AD183" s="65">
        <v>15.8</v>
      </c>
      <c r="AE183" s="64">
        <v>37</v>
      </c>
      <c r="AF183" s="62">
        <v>10.4</v>
      </c>
      <c r="AG183" s="63">
        <v>0</v>
      </c>
      <c r="AH183" s="63">
        <v>0</v>
      </c>
      <c r="AI183" s="65">
        <v>14.4</v>
      </c>
      <c r="AJ183" s="64">
        <v>36</v>
      </c>
      <c r="AK183" s="62">
        <v>10.5</v>
      </c>
      <c r="AL183" s="62">
        <v>0</v>
      </c>
      <c r="AM183" s="62">
        <v>0</v>
      </c>
      <c r="AN183" s="65">
        <v>10.5</v>
      </c>
      <c r="AO183" s="61">
        <v>35</v>
      </c>
      <c r="AP183" s="62">
        <v>10.6</v>
      </c>
      <c r="AQ183" s="62">
        <v>280</v>
      </c>
      <c r="AR183" s="62">
        <v>0</v>
      </c>
      <c r="AS183" s="65">
        <v>13.2</v>
      </c>
      <c r="AT183" s="64">
        <v>24</v>
      </c>
      <c r="AU183" s="65">
        <v>160</v>
      </c>
      <c r="AV183" s="64">
        <v>58.57</v>
      </c>
      <c r="AW183" s="65">
        <v>376.07</v>
      </c>
      <c r="AX183" s="8"/>
      <c r="AZ183" s="1">
        <v>90</v>
      </c>
    </row>
    <row r="184" spans="3:52" ht="15" customHeight="1" x14ac:dyDescent="0.25">
      <c r="C184" s="42">
        <f>C172+1</f>
        <v>15</v>
      </c>
      <c r="D184" s="66">
        <f>DATE([1]Dash!$F$3,VLOOKUP([1]Dash!$E$3,[1]Abb!$C$3:$D$14,2,FALSE),C184)</f>
        <v>45672</v>
      </c>
      <c r="E184" s="67">
        <f>E183+2/24</f>
        <v>14.250000000000032</v>
      </c>
      <c r="F184" s="68">
        <f t="shared" si="14"/>
        <v>45672.250000000407</v>
      </c>
      <c r="G184" s="46">
        <v>41</v>
      </c>
      <c r="H184" s="47">
        <v>41</v>
      </c>
      <c r="I184" s="48">
        <v>10.5</v>
      </c>
      <c r="J184" s="48">
        <v>350</v>
      </c>
      <c r="K184" s="49">
        <v>0</v>
      </c>
      <c r="L184" s="50">
        <v>40</v>
      </c>
      <c r="M184" s="48">
        <v>10.4</v>
      </c>
      <c r="N184" s="48">
        <v>300</v>
      </c>
      <c r="O184" s="51">
        <v>0</v>
      </c>
      <c r="P184" s="47">
        <v>39</v>
      </c>
      <c r="Q184" s="48">
        <v>10.5</v>
      </c>
      <c r="R184" s="49">
        <v>0</v>
      </c>
      <c r="S184" s="49">
        <v>0</v>
      </c>
      <c r="T184" s="51">
        <v>17.399999999999999</v>
      </c>
      <c r="U184" s="50">
        <v>40</v>
      </c>
      <c r="V184" s="48">
        <v>10.5</v>
      </c>
      <c r="W184" s="49">
        <v>0</v>
      </c>
      <c r="X184" s="49">
        <v>0</v>
      </c>
      <c r="Y184" s="51">
        <v>15</v>
      </c>
      <c r="Z184" s="47">
        <v>39</v>
      </c>
      <c r="AA184" s="48">
        <v>10.4</v>
      </c>
      <c r="AB184" s="49">
        <v>0</v>
      </c>
      <c r="AC184" s="49">
        <v>0</v>
      </c>
      <c r="AD184" s="51">
        <v>15.6</v>
      </c>
      <c r="AE184" s="50">
        <v>36</v>
      </c>
      <c r="AF184" s="48">
        <v>10.4</v>
      </c>
      <c r="AG184" s="49">
        <v>0</v>
      </c>
      <c r="AH184" s="49">
        <v>0</v>
      </c>
      <c r="AI184" s="51">
        <v>14.6</v>
      </c>
      <c r="AJ184" s="50">
        <v>37</v>
      </c>
      <c r="AK184" s="48">
        <v>10.5</v>
      </c>
      <c r="AL184" s="48">
        <v>0</v>
      </c>
      <c r="AM184" s="48">
        <v>0</v>
      </c>
      <c r="AN184" s="51">
        <v>15.2</v>
      </c>
      <c r="AO184" s="47">
        <v>35</v>
      </c>
      <c r="AP184" s="48">
        <v>10.5</v>
      </c>
      <c r="AQ184" s="48">
        <v>270</v>
      </c>
      <c r="AR184" s="48">
        <v>0</v>
      </c>
      <c r="AS184" s="51">
        <v>13</v>
      </c>
      <c r="AT184" s="50">
        <v>0</v>
      </c>
      <c r="AU184" s="51">
        <v>160</v>
      </c>
      <c r="AV184" s="50">
        <v>58.882648468017599</v>
      </c>
      <c r="AW184" s="51">
        <v>383.10402221679686</v>
      </c>
      <c r="AX184" s="8"/>
      <c r="AZ184" s="1">
        <v>90</v>
      </c>
    </row>
    <row r="185" spans="3:52" ht="15" customHeight="1" x14ac:dyDescent="0.25">
      <c r="C185" s="42"/>
      <c r="D185" s="43">
        <f>D184</f>
        <v>45672</v>
      </c>
      <c r="E185" s="44">
        <f>E184+2/24</f>
        <v>14.333333333333366</v>
      </c>
      <c r="F185" s="45">
        <f t="shared" si="14"/>
        <v>45672.333333333743</v>
      </c>
      <c r="G185" s="52">
        <v>35</v>
      </c>
      <c r="H185" s="53">
        <v>39</v>
      </c>
      <c r="I185" s="54">
        <v>11.1</v>
      </c>
      <c r="J185" s="54">
        <v>300</v>
      </c>
      <c r="K185" s="55">
        <v>0</v>
      </c>
      <c r="L185" s="56">
        <v>37</v>
      </c>
      <c r="M185" s="54">
        <v>10.5</v>
      </c>
      <c r="N185" s="54">
        <v>300</v>
      </c>
      <c r="O185" s="57">
        <v>0</v>
      </c>
      <c r="P185" s="53">
        <v>38</v>
      </c>
      <c r="Q185" s="54">
        <v>10.5</v>
      </c>
      <c r="R185" s="55">
        <v>0</v>
      </c>
      <c r="S185" s="55">
        <v>0</v>
      </c>
      <c r="T185" s="57">
        <v>16</v>
      </c>
      <c r="U185" s="56">
        <v>37</v>
      </c>
      <c r="V185" s="54">
        <v>10.6</v>
      </c>
      <c r="W185" s="55">
        <v>0</v>
      </c>
      <c r="X185" s="55">
        <v>0</v>
      </c>
      <c r="Y185" s="57">
        <v>14.6</v>
      </c>
      <c r="Z185" s="53">
        <v>36</v>
      </c>
      <c r="AA185" s="54">
        <v>10.6</v>
      </c>
      <c r="AB185" s="55">
        <v>0</v>
      </c>
      <c r="AC185" s="55">
        <v>0</v>
      </c>
      <c r="AD185" s="57">
        <v>15.6</v>
      </c>
      <c r="AE185" s="56">
        <v>36</v>
      </c>
      <c r="AF185" s="54">
        <v>10.6</v>
      </c>
      <c r="AG185" s="55">
        <v>0</v>
      </c>
      <c r="AH185" s="55">
        <v>0</v>
      </c>
      <c r="AI185" s="57">
        <v>13</v>
      </c>
      <c r="AJ185" s="56">
        <v>34</v>
      </c>
      <c r="AK185" s="54">
        <v>10.6</v>
      </c>
      <c r="AL185" s="54">
        <v>0</v>
      </c>
      <c r="AM185" s="54">
        <v>0</v>
      </c>
      <c r="AN185" s="57">
        <v>14</v>
      </c>
      <c r="AO185" s="53">
        <v>34</v>
      </c>
      <c r="AP185" s="54">
        <v>10.5</v>
      </c>
      <c r="AQ185" s="54">
        <v>270</v>
      </c>
      <c r="AR185" s="54">
        <v>0</v>
      </c>
      <c r="AS185" s="57">
        <v>11.6</v>
      </c>
      <c r="AT185" s="56">
        <v>28</v>
      </c>
      <c r="AU185" s="57">
        <v>240</v>
      </c>
      <c r="AV185" s="56">
        <v>57.779949188232401</v>
      </c>
      <c r="AW185" s="57">
        <v>377.72123374938963</v>
      </c>
      <c r="AX185" s="8"/>
      <c r="AZ185" s="1">
        <v>90</v>
      </c>
    </row>
    <row r="186" spans="3:52" ht="15" customHeight="1" x14ac:dyDescent="0.25">
      <c r="C186" s="42"/>
      <c r="D186" s="43">
        <f>D184</f>
        <v>45672</v>
      </c>
      <c r="E186" s="44">
        <f t="shared" ref="E186:E195" si="18">E185+2/24</f>
        <v>14.4166666666667</v>
      </c>
      <c r="F186" s="45">
        <f t="shared" si="14"/>
        <v>45672.416666667079</v>
      </c>
      <c r="G186" s="52">
        <v>40</v>
      </c>
      <c r="H186" s="53">
        <v>40</v>
      </c>
      <c r="I186" s="54">
        <v>10.9</v>
      </c>
      <c r="J186" s="54">
        <v>300</v>
      </c>
      <c r="K186" s="55">
        <v>0</v>
      </c>
      <c r="L186" s="56">
        <v>36</v>
      </c>
      <c r="M186" s="54">
        <v>10.6</v>
      </c>
      <c r="N186" s="54">
        <v>350</v>
      </c>
      <c r="O186" s="57">
        <v>0</v>
      </c>
      <c r="P186" s="53">
        <v>37</v>
      </c>
      <c r="Q186" s="54">
        <v>10.6</v>
      </c>
      <c r="R186" s="55">
        <v>0</v>
      </c>
      <c r="S186" s="55">
        <v>0</v>
      </c>
      <c r="T186" s="57">
        <v>16.2</v>
      </c>
      <c r="U186" s="56">
        <v>37</v>
      </c>
      <c r="V186" s="54">
        <v>10.6</v>
      </c>
      <c r="W186" s="55">
        <v>0</v>
      </c>
      <c r="X186" s="55">
        <v>0</v>
      </c>
      <c r="Y186" s="57">
        <v>14.4</v>
      </c>
      <c r="Z186" s="53">
        <v>36</v>
      </c>
      <c r="AA186" s="54">
        <v>10.6</v>
      </c>
      <c r="AB186" s="55">
        <v>0</v>
      </c>
      <c r="AC186" s="55">
        <v>0</v>
      </c>
      <c r="AD186" s="57">
        <v>15</v>
      </c>
      <c r="AE186" s="56">
        <v>36</v>
      </c>
      <c r="AF186" s="54">
        <v>10.6</v>
      </c>
      <c r="AG186" s="55">
        <v>0</v>
      </c>
      <c r="AH186" s="55">
        <v>0</v>
      </c>
      <c r="AI186" s="57">
        <v>13</v>
      </c>
      <c r="AJ186" s="56">
        <v>34</v>
      </c>
      <c r="AK186" s="54">
        <v>10.6</v>
      </c>
      <c r="AL186" s="54">
        <v>0</v>
      </c>
      <c r="AM186" s="54">
        <v>0</v>
      </c>
      <c r="AN186" s="57">
        <v>14.2</v>
      </c>
      <c r="AO186" s="53">
        <v>36</v>
      </c>
      <c r="AP186" s="54">
        <v>10.5</v>
      </c>
      <c r="AQ186" s="54">
        <v>260</v>
      </c>
      <c r="AR186" s="54">
        <v>0</v>
      </c>
      <c r="AS186" s="57">
        <v>11.4</v>
      </c>
      <c r="AT186" s="56">
        <v>29</v>
      </c>
      <c r="AU186" s="57">
        <v>220</v>
      </c>
      <c r="AV186" s="56">
        <v>59.326171875</v>
      </c>
      <c r="AW186" s="57">
        <v>379.62360140482582</v>
      </c>
      <c r="AX186" s="8"/>
      <c r="AZ186" s="1">
        <v>90</v>
      </c>
    </row>
    <row r="187" spans="3:52" ht="15" customHeight="1" x14ac:dyDescent="0.25">
      <c r="C187" s="42"/>
      <c r="D187" s="43">
        <f>D184</f>
        <v>45672</v>
      </c>
      <c r="E187" s="44">
        <f t="shared" si="18"/>
        <v>14.500000000000034</v>
      </c>
      <c r="F187" s="45">
        <f t="shared" si="14"/>
        <v>45672.500000000415</v>
      </c>
      <c r="G187" s="52">
        <v>30</v>
      </c>
      <c r="H187" s="53">
        <v>39</v>
      </c>
      <c r="I187" s="54">
        <v>10.7</v>
      </c>
      <c r="J187" s="54">
        <v>300</v>
      </c>
      <c r="K187" s="55">
        <v>0</v>
      </c>
      <c r="L187" s="56">
        <v>38</v>
      </c>
      <c r="M187" s="54">
        <v>10.4</v>
      </c>
      <c r="N187" s="54">
        <v>350</v>
      </c>
      <c r="O187" s="57">
        <v>0</v>
      </c>
      <c r="P187" s="53">
        <v>38</v>
      </c>
      <c r="Q187" s="54">
        <v>10.5</v>
      </c>
      <c r="R187" s="55">
        <v>0</v>
      </c>
      <c r="S187" s="55">
        <v>0</v>
      </c>
      <c r="T187" s="57">
        <v>16.2</v>
      </c>
      <c r="U187" s="56">
        <v>37</v>
      </c>
      <c r="V187" s="54">
        <v>10.5</v>
      </c>
      <c r="W187" s="55">
        <v>0</v>
      </c>
      <c r="X187" s="55">
        <v>0</v>
      </c>
      <c r="Y187" s="57">
        <v>14.2</v>
      </c>
      <c r="Z187" s="53">
        <v>36</v>
      </c>
      <c r="AA187" s="54">
        <v>10.5</v>
      </c>
      <c r="AB187" s="55">
        <v>0</v>
      </c>
      <c r="AC187" s="55">
        <v>0</v>
      </c>
      <c r="AD187" s="57">
        <v>15.6</v>
      </c>
      <c r="AE187" s="56">
        <v>36</v>
      </c>
      <c r="AF187" s="54">
        <v>10.5</v>
      </c>
      <c r="AG187" s="55">
        <v>0</v>
      </c>
      <c r="AH187" s="55">
        <v>0</v>
      </c>
      <c r="AI187" s="57">
        <v>13.2</v>
      </c>
      <c r="AJ187" s="56">
        <v>35</v>
      </c>
      <c r="AK187" s="54">
        <v>10.5</v>
      </c>
      <c r="AL187" s="54">
        <v>0</v>
      </c>
      <c r="AM187" s="54">
        <v>0</v>
      </c>
      <c r="AN187" s="57">
        <v>14.4</v>
      </c>
      <c r="AO187" s="53">
        <v>36</v>
      </c>
      <c r="AP187" s="54">
        <v>10.4</v>
      </c>
      <c r="AQ187" s="54">
        <v>270</v>
      </c>
      <c r="AR187" s="54">
        <v>0</v>
      </c>
      <c r="AS187" s="57">
        <v>11.8</v>
      </c>
      <c r="AT187" s="56">
        <v>28</v>
      </c>
      <c r="AU187" s="57">
        <v>230</v>
      </c>
      <c r="AV187" s="56">
        <v>58.80126953125</v>
      </c>
      <c r="AW187" s="57">
        <v>378.77375094095868</v>
      </c>
      <c r="AX187" s="8"/>
      <c r="AZ187" s="1">
        <v>90</v>
      </c>
    </row>
    <row r="188" spans="3:52" ht="15" customHeight="1" x14ac:dyDescent="0.25">
      <c r="C188" s="42"/>
      <c r="D188" s="43">
        <f>D184</f>
        <v>45672</v>
      </c>
      <c r="E188" s="44">
        <f t="shared" si="18"/>
        <v>14.583333333333368</v>
      </c>
      <c r="F188" s="45">
        <f t="shared" si="14"/>
        <v>45672.58333333375</v>
      </c>
      <c r="G188" s="52">
        <v>0</v>
      </c>
      <c r="H188" s="53">
        <v>0</v>
      </c>
      <c r="I188" s="54">
        <v>0</v>
      </c>
      <c r="J188" s="54">
        <v>0</v>
      </c>
      <c r="K188" s="55">
        <v>0</v>
      </c>
      <c r="L188" s="56">
        <v>0</v>
      </c>
      <c r="M188" s="54">
        <v>0</v>
      </c>
      <c r="N188" s="54">
        <v>0</v>
      </c>
      <c r="O188" s="57">
        <v>0</v>
      </c>
      <c r="P188" s="53">
        <v>0</v>
      </c>
      <c r="Q188" s="54">
        <v>0</v>
      </c>
      <c r="R188" s="55">
        <v>0</v>
      </c>
      <c r="S188" s="55">
        <v>0</v>
      </c>
      <c r="T188" s="57">
        <v>0</v>
      </c>
      <c r="U188" s="56">
        <v>0</v>
      </c>
      <c r="V188" s="54">
        <v>0</v>
      </c>
      <c r="W188" s="55">
        <v>0</v>
      </c>
      <c r="X188" s="55">
        <v>0</v>
      </c>
      <c r="Y188" s="57">
        <v>0</v>
      </c>
      <c r="Z188" s="53">
        <v>0</v>
      </c>
      <c r="AA188" s="54">
        <v>0</v>
      </c>
      <c r="AB188" s="55">
        <v>0</v>
      </c>
      <c r="AC188" s="55">
        <v>0</v>
      </c>
      <c r="AD188" s="57">
        <v>0</v>
      </c>
      <c r="AE188" s="56">
        <v>0</v>
      </c>
      <c r="AF188" s="54">
        <v>0</v>
      </c>
      <c r="AG188" s="55">
        <v>0</v>
      </c>
      <c r="AH188" s="55">
        <v>0</v>
      </c>
      <c r="AI188" s="57">
        <v>0</v>
      </c>
      <c r="AJ188" s="56">
        <v>0</v>
      </c>
      <c r="AK188" s="54">
        <v>0</v>
      </c>
      <c r="AL188" s="54">
        <v>0</v>
      </c>
      <c r="AM188" s="54">
        <v>0</v>
      </c>
      <c r="AN188" s="57">
        <v>0</v>
      </c>
      <c r="AO188" s="53">
        <v>0</v>
      </c>
      <c r="AP188" s="54">
        <v>0</v>
      </c>
      <c r="AQ188" s="54">
        <v>0</v>
      </c>
      <c r="AR188" s="54">
        <v>0</v>
      </c>
      <c r="AS188" s="57">
        <v>0</v>
      </c>
      <c r="AT188" s="56">
        <v>0</v>
      </c>
      <c r="AU188" s="57">
        <v>0</v>
      </c>
      <c r="AV188" s="56">
        <v>58.072917938232401</v>
      </c>
      <c r="AW188" s="57">
        <v>378.39023933410647</v>
      </c>
      <c r="AX188" s="8"/>
      <c r="AZ188" s="1">
        <v>90</v>
      </c>
    </row>
    <row r="189" spans="3:52" ht="15" customHeight="1" x14ac:dyDescent="0.25">
      <c r="C189" s="42"/>
      <c r="D189" s="43">
        <f>D184</f>
        <v>45672</v>
      </c>
      <c r="E189" s="44">
        <f t="shared" si="18"/>
        <v>14.666666666666702</v>
      </c>
      <c r="F189" s="45">
        <f t="shared" si="14"/>
        <v>45672.666666667086</v>
      </c>
      <c r="G189" s="52">
        <v>39</v>
      </c>
      <c r="H189" s="53">
        <v>37</v>
      </c>
      <c r="I189" s="54">
        <v>10.7</v>
      </c>
      <c r="J189" s="54">
        <v>350</v>
      </c>
      <c r="K189" s="55">
        <v>0</v>
      </c>
      <c r="L189" s="56">
        <v>36</v>
      </c>
      <c r="M189" s="54">
        <v>10.7</v>
      </c>
      <c r="N189" s="54">
        <v>300</v>
      </c>
      <c r="O189" s="57">
        <v>0</v>
      </c>
      <c r="P189" s="53">
        <v>35</v>
      </c>
      <c r="Q189" s="54">
        <v>10.4</v>
      </c>
      <c r="R189" s="55">
        <v>0</v>
      </c>
      <c r="S189" s="55">
        <v>0</v>
      </c>
      <c r="T189" s="57">
        <v>15</v>
      </c>
      <c r="U189" s="56">
        <v>35</v>
      </c>
      <c r="V189" s="54">
        <v>10.6</v>
      </c>
      <c r="W189" s="55">
        <v>0</v>
      </c>
      <c r="X189" s="55">
        <v>0</v>
      </c>
      <c r="Y189" s="57">
        <v>13</v>
      </c>
      <c r="Z189" s="53">
        <v>36</v>
      </c>
      <c r="AA189" s="54">
        <v>10.4</v>
      </c>
      <c r="AB189" s="55">
        <v>0</v>
      </c>
      <c r="AC189" s="55">
        <v>0</v>
      </c>
      <c r="AD189" s="57">
        <v>16</v>
      </c>
      <c r="AE189" s="56">
        <v>32</v>
      </c>
      <c r="AF189" s="54">
        <v>10.5</v>
      </c>
      <c r="AG189" s="55">
        <v>0</v>
      </c>
      <c r="AH189" s="55">
        <v>0</v>
      </c>
      <c r="AI189" s="57">
        <v>14.6</v>
      </c>
      <c r="AJ189" s="56">
        <v>33</v>
      </c>
      <c r="AK189" s="54">
        <v>10.4</v>
      </c>
      <c r="AL189" s="54">
        <v>0</v>
      </c>
      <c r="AM189" s="54">
        <v>0</v>
      </c>
      <c r="AN189" s="57">
        <v>14</v>
      </c>
      <c r="AO189" s="53">
        <v>32</v>
      </c>
      <c r="AP189" s="54">
        <v>10.4</v>
      </c>
      <c r="AQ189" s="54">
        <v>270</v>
      </c>
      <c r="AR189" s="54">
        <v>0</v>
      </c>
      <c r="AS189" s="57">
        <v>11.4</v>
      </c>
      <c r="AT189" s="56">
        <v>25</v>
      </c>
      <c r="AU189" s="57">
        <v>240</v>
      </c>
      <c r="AV189" s="56">
        <v>58.732097625732401</v>
      </c>
      <c r="AW189" s="57">
        <v>379.78612073262531</v>
      </c>
      <c r="AX189" s="8"/>
      <c r="AZ189" s="1">
        <v>90</v>
      </c>
    </row>
    <row r="190" spans="3:52" ht="15" customHeight="1" x14ac:dyDescent="0.25">
      <c r="C190" s="42"/>
      <c r="D190" s="43">
        <f>D184</f>
        <v>45672</v>
      </c>
      <c r="E190" s="44">
        <f t="shared" si="18"/>
        <v>14.750000000000036</v>
      </c>
      <c r="F190" s="45">
        <f t="shared" si="14"/>
        <v>45672.750000000422</v>
      </c>
      <c r="G190" s="52">
        <v>39</v>
      </c>
      <c r="H190" s="53">
        <v>39</v>
      </c>
      <c r="I190" s="54">
        <v>10.6</v>
      </c>
      <c r="J190" s="54">
        <v>350</v>
      </c>
      <c r="K190" s="55">
        <v>0</v>
      </c>
      <c r="L190" s="56">
        <v>38</v>
      </c>
      <c r="M190" s="54">
        <v>10.5</v>
      </c>
      <c r="N190" s="54">
        <v>300</v>
      </c>
      <c r="O190" s="57">
        <v>0</v>
      </c>
      <c r="P190" s="53">
        <v>36</v>
      </c>
      <c r="Q190" s="54">
        <v>10.6</v>
      </c>
      <c r="R190" s="55">
        <v>0</v>
      </c>
      <c r="S190" s="55">
        <v>0</v>
      </c>
      <c r="T190" s="57">
        <v>16</v>
      </c>
      <c r="U190" s="56">
        <v>36</v>
      </c>
      <c r="V190" s="54">
        <v>10.6</v>
      </c>
      <c r="W190" s="55">
        <v>0</v>
      </c>
      <c r="X190" s="55">
        <v>0</v>
      </c>
      <c r="Y190" s="57">
        <v>14</v>
      </c>
      <c r="Z190" s="53">
        <v>34</v>
      </c>
      <c r="AA190" s="54">
        <v>10.5</v>
      </c>
      <c r="AB190" s="55">
        <v>0</v>
      </c>
      <c r="AC190" s="55">
        <v>0</v>
      </c>
      <c r="AD190" s="57">
        <v>15.8</v>
      </c>
      <c r="AE190" s="56">
        <v>32</v>
      </c>
      <c r="AF190" s="54">
        <v>10.5</v>
      </c>
      <c r="AG190" s="55">
        <v>0</v>
      </c>
      <c r="AH190" s="55">
        <v>0</v>
      </c>
      <c r="AI190" s="57">
        <v>14.2</v>
      </c>
      <c r="AJ190" s="56">
        <v>32</v>
      </c>
      <c r="AK190" s="54">
        <v>10.4</v>
      </c>
      <c r="AL190" s="54">
        <v>0</v>
      </c>
      <c r="AM190" s="54">
        <v>0</v>
      </c>
      <c r="AN190" s="57">
        <v>14.4</v>
      </c>
      <c r="AO190" s="53">
        <v>33</v>
      </c>
      <c r="AP190" s="54">
        <v>10.4</v>
      </c>
      <c r="AQ190" s="54">
        <v>280</v>
      </c>
      <c r="AR190" s="54">
        <v>0</v>
      </c>
      <c r="AS190" s="57">
        <v>11.6</v>
      </c>
      <c r="AT190" s="56">
        <v>24</v>
      </c>
      <c r="AU190" s="57">
        <v>240</v>
      </c>
      <c r="AV190" s="56">
        <v>58.7646484375</v>
      </c>
      <c r="AW190" s="57">
        <v>379.95213623046874</v>
      </c>
      <c r="AX190" s="8"/>
      <c r="AZ190" s="1">
        <v>90</v>
      </c>
    </row>
    <row r="191" spans="3:52" ht="15" customHeight="1" x14ac:dyDescent="0.25">
      <c r="C191" s="42"/>
      <c r="D191" s="43">
        <f>D184</f>
        <v>45672</v>
      </c>
      <c r="E191" s="44">
        <f t="shared" si="18"/>
        <v>14.833333333333369</v>
      </c>
      <c r="F191" s="45">
        <f t="shared" si="14"/>
        <v>45672.833333333758</v>
      </c>
      <c r="G191" s="52" t="s">
        <v>38</v>
      </c>
      <c r="H191" s="53">
        <v>40</v>
      </c>
      <c r="I191" s="54">
        <v>10.3</v>
      </c>
      <c r="J191" s="54">
        <v>400</v>
      </c>
      <c r="K191" s="55">
        <v>0</v>
      </c>
      <c r="L191" s="56">
        <v>40</v>
      </c>
      <c r="M191" s="54">
        <v>10.4</v>
      </c>
      <c r="N191" s="54">
        <v>350</v>
      </c>
      <c r="O191" s="57">
        <v>0</v>
      </c>
      <c r="P191" s="53">
        <v>40</v>
      </c>
      <c r="Q191" s="54">
        <v>10.3</v>
      </c>
      <c r="R191" s="55">
        <v>0</v>
      </c>
      <c r="S191" s="55">
        <v>0</v>
      </c>
      <c r="T191" s="57">
        <v>16</v>
      </c>
      <c r="U191" s="56">
        <v>39</v>
      </c>
      <c r="V191" s="54">
        <v>10.199999999999999</v>
      </c>
      <c r="W191" s="55">
        <v>0</v>
      </c>
      <c r="X191" s="55">
        <v>0</v>
      </c>
      <c r="Y191" s="57">
        <v>14</v>
      </c>
      <c r="Z191" s="53">
        <v>38</v>
      </c>
      <c r="AA191" s="54">
        <v>10.199999999999999</v>
      </c>
      <c r="AB191" s="55">
        <v>0</v>
      </c>
      <c r="AC191" s="55">
        <v>0</v>
      </c>
      <c r="AD191" s="57">
        <v>16</v>
      </c>
      <c r="AE191" s="56">
        <v>35</v>
      </c>
      <c r="AF191" s="54">
        <v>10.3</v>
      </c>
      <c r="AG191" s="55">
        <v>0</v>
      </c>
      <c r="AH191" s="55">
        <v>0</v>
      </c>
      <c r="AI191" s="57">
        <v>15</v>
      </c>
      <c r="AJ191" s="56">
        <v>34</v>
      </c>
      <c r="AK191" s="54">
        <v>10.3</v>
      </c>
      <c r="AL191" s="54">
        <v>0</v>
      </c>
      <c r="AM191" s="54">
        <v>0</v>
      </c>
      <c r="AN191" s="57">
        <v>15</v>
      </c>
      <c r="AO191" s="53">
        <v>35</v>
      </c>
      <c r="AP191" s="54">
        <v>10.3</v>
      </c>
      <c r="AQ191" s="54">
        <v>250</v>
      </c>
      <c r="AR191" s="54">
        <v>0</v>
      </c>
      <c r="AS191" s="57">
        <v>17</v>
      </c>
      <c r="AT191" s="56" t="s">
        <v>38</v>
      </c>
      <c r="AU191" s="57" t="s">
        <v>38</v>
      </c>
      <c r="AV191" s="56">
        <v>58.723957061767599</v>
      </c>
      <c r="AW191" s="57">
        <v>379.76960360209148</v>
      </c>
      <c r="AX191" s="8"/>
      <c r="AZ191" s="1">
        <v>90</v>
      </c>
    </row>
    <row r="192" spans="3:52" ht="15" customHeight="1" x14ac:dyDescent="0.25">
      <c r="C192" s="42"/>
      <c r="D192" s="43">
        <f>D184</f>
        <v>45672</v>
      </c>
      <c r="E192" s="44">
        <f t="shared" si="18"/>
        <v>14.916666666666703</v>
      </c>
      <c r="F192" s="45">
        <f t="shared" si="14"/>
        <v>45672.916666667094</v>
      </c>
      <c r="G192" s="52" t="s">
        <v>38</v>
      </c>
      <c r="H192" s="53">
        <v>40</v>
      </c>
      <c r="I192" s="54">
        <v>10.3</v>
      </c>
      <c r="J192" s="54">
        <v>400</v>
      </c>
      <c r="K192" s="55">
        <v>0</v>
      </c>
      <c r="L192" s="56">
        <v>38</v>
      </c>
      <c r="M192" s="54">
        <v>10.3</v>
      </c>
      <c r="N192" s="54">
        <v>350</v>
      </c>
      <c r="O192" s="57">
        <v>0</v>
      </c>
      <c r="P192" s="53">
        <v>39</v>
      </c>
      <c r="Q192" s="54">
        <v>10.3</v>
      </c>
      <c r="R192" s="55">
        <v>0</v>
      </c>
      <c r="S192" s="55">
        <v>0</v>
      </c>
      <c r="T192" s="57">
        <v>16.399999999999999</v>
      </c>
      <c r="U192" s="56">
        <v>39</v>
      </c>
      <c r="V192" s="54">
        <v>10.199999999999999</v>
      </c>
      <c r="W192" s="55">
        <v>0</v>
      </c>
      <c r="X192" s="55">
        <v>0</v>
      </c>
      <c r="Y192" s="57">
        <v>14.4</v>
      </c>
      <c r="Z192" s="53">
        <v>38</v>
      </c>
      <c r="AA192" s="54">
        <v>10.199999999999999</v>
      </c>
      <c r="AB192" s="55">
        <v>0</v>
      </c>
      <c r="AC192" s="55">
        <v>0</v>
      </c>
      <c r="AD192" s="57">
        <v>16.2</v>
      </c>
      <c r="AE192" s="56">
        <v>36</v>
      </c>
      <c r="AF192" s="54">
        <v>10.3</v>
      </c>
      <c r="AG192" s="55">
        <v>0</v>
      </c>
      <c r="AH192" s="55">
        <v>0</v>
      </c>
      <c r="AI192" s="57">
        <v>14.8</v>
      </c>
      <c r="AJ192" s="56">
        <v>34</v>
      </c>
      <c r="AK192" s="54">
        <v>10.3</v>
      </c>
      <c r="AL192" s="54">
        <v>0</v>
      </c>
      <c r="AM192" s="54">
        <v>0</v>
      </c>
      <c r="AN192" s="57">
        <v>15.2</v>
      </c>
      <c r="AO192" s="53">
        <v>35</v>
      </c>
      <c r="AP192" s="54">
        <v>10.3</v>
      </c>
      <c r="AQ192" s="54">
        <v>200</v>
      </c>
      <c r="AR192" s="54">
        <v>0</v>
      </c>
      <c r="AS192" s="57">
        <v>12</v>
      </c>
      <c r="AT192" s="56" t="s">
        <v>38</v>
      </c>
      <c r="AU192" s="57" t="s">
        <v>38</v>
      </c>
      <c r="AV192" s="56">
        <v>58.3251953125</v>
      </c>
      <c r="AW192" s="57">
        <v>381.90634638468424</v>
      </c>
      <c r="AX192" s="8"/>
      <c r="AZ192" s="1">
        <v>90</v>
      </c>
    </row>
    <row r="193" spans="3:52" ht="15" customHeight="1" x14ac:dyDescent="0.25">
      <c r="C193" s="42"/>
      <c r="D193" s="43">
        <f>D184</f>
        <v>45672</v>
      </c>
      <c r="E193" s="44">
        <f t="shared" si="18"/>
        <v>15.000000000000037</v>
      </c>
      <c r="F193" s="45">
        <f t="shared" si="14"/>
        <v>45673.000000000429</v>
      </c>
      <c r="G193" s="52">
        <v>42</v>
      </c>
      <c r="H193" s="53">
        <v>42</v>
      </c>
      <c r="I193" s="54">
        <v>10.3</v>
      </c>
      <c r="J193" s="54">
        <v>350</v>
      </c>
      <c r="K193" s="55">
        <v>0</v>
      </c>
      <c r="L193" s="56">
        <v>40</v>
      </c>
      <c r="M193" s="54">
        <v>10.3</v>
      </c>
      <c r="N193" s="54">
        <v>350</v>
      </c>
      <c r="O193" s="57">
        <v>0</v>
      </c>
      <c r="P193" s="53">
        <v>40</v>
      </c>
      <c r="Q193" s="54">
        <v>10.3</v>
      </c>
      <c r="R193" s="55">
        <v>0</v>
      </c>
      <c r="S193" s="55">
        <v>0</v>
      </c>
      <c r="T193" s="57">
        <v>16.2</v>
      </c>
      <c r="U193" s="56">
        <v>38</v>
      </c>
      <c r="V193" s="54">
        <v>10.199999999999999</v>
      </c>
      <c r="W193" s="55">
        <v>0</v>
      </c>
      <c r="X193" s="55">
        <v>0</v>
      </c>
      <c r="Y193" s="57">
        <v>14.4</v>
      </c>
      <c r="Z193" s="53">
        <v>39</v>
      </c>
      <c r="AA193" s="54">
        <v>10.199999999999999</v>
      </c>
      <c r="AB193" s="55">
        <v>0</v>
      </c>
      <c r="AC193" s="55">
        <v>0</v>
      </c>
      <c r="AD193" s="57">
        <v>16</v>
      </c>
      <c r="AE193" s="56">
        <v>36</v>
      </c>
      <c r="AF193" s="54">
        <v>10.3</v>
      </c>
      <c r="AG193" s="55">
        <v>0</v>
      </c>
      <c r="AH193" s="55">
        <v>0</v>
      </c>
      <c r="AI193" s="57">
        <v>15</v>
      </c>
      <c r="AJ193" s="56">
        <v>35</v>
      </c>
      <c r="AK193" s="54">
        <v>10.3</v>
      </c>
      <c r="AL193" s="54">
        <v>0</v>
      </c>
      <c r="AM193" s="54">
        <v>0</v>
      </c>
      <c r="AN193" s="57">
        <v>14.8</v>
      </c>
      <c r="AO193" s="53">
        <v>37</v>
      </c>
      <c r="AP193" s="54">
        <v>10.4</v>
      </c>
      <c r="AQ193" s="54">
        <v>180</v>
      </c>
      <c r="AR193" s="54">
        <v>0</v>
      </c>
      <c r="AS193" s="57">
        <v>11.4</v>
      </c>
      <c r="AT193" s="56">
        <v>25</v>
      </c>
      <c r="AU193" s="57">
        <v>100</v>
      </c>
      <c r="AV193" s="56">
        <v>58.65478515625</v>
      </c>
      <c r="AW193" s="57">
        <v>379.10337053934734</v>
      </c>
      <c r="AX193" s="8"/>
      <c r="AZ193" s="1">
        <v>90</v>
      </c>
    </row>
    <row r="194" spans="3:52" ht="15" customHeight="1" x14ac:dyDescent="0.25">
      <c r="C194" s="42"/>
      <c r="D194" s="43">
        <f>D184</f>
        <v>45672</v>
      </c>
      <c r="E194" s="44">
        <f t="shared" si="18"/>
        <v>15.083333333333371</v>
      </c>
      <c r="F194" s="45">
        <f t="shared" si="14"/>
        <v>45673.083333333765</v>
      </c>
      <c r="G194" s="52">
        <v>40</v>
      </c>
      <c r="H194" s="53">
        <v>40</v>
      </c>
      <c r="I194" s="54">
        <v>10.3</v>
      </c>
      <c r="J194" s="54">
        <v>350</v>
      </c>
      <c r="K194" s="55">
        <v>0</v>
      </c>
      <c r="L194" s="56">
        <v>40</v>
      </c>
      <c r="M194" s="54">
        <v>10.199999999999999</v>
      </c>
      <c r="N194" s="54">
        <v>300</v>
      </c>
      <c r="O194" s="57">
        <v>0</v>
      </c>
      <c r="P194" s="53">
        <v>40</v>
      </c>
      <c r="Q194" s="54">
        <v>10.3</v>
      </c>
      <c r="R194" s="55">
        <v>0</v>
      </c>
      <c r="S194" s="55">
        <v>0</v>
      </c>
      <c r="T194" s="57">
        <v>16.399999999999999</v>
      </c>
      <c r="U194" s="56">
        <v>39</v>
      </c>
      <c r="V194" s="54">
        <v>10.199999999999999</v>
      </c>
      <c r="W194" s="55">
        <v>0</v>
      </c>
      <c r="X194" s="55">
        <v>0</v>
      </c>
      <c r="Y194" s="57">
        <v>14.6</v>
      </c>
      <c r="Z194" s="53">
        <v>39</v>
      </c>
      <c r="AA194" s="54">
        <v>10.199999999999999</v>
      </c>
      <c r="AB194" s="55">
        <v>0</v>
      </c>
      <c r="AC194" s="55">
        <v>0</v>
      </c>
      <c r="AD194" s="57">
        <v>16.399999999999999</v>
      </c>
      <c r="AE194" s="56">
        <v>37</v>
      </c>
      <c r="AF194" s="54">
        <v>10.199999999999999</v>
      </c>
      <c r="AG194" s="55">
        <v>0</v>
      </c>
      <c r="AH194" s="55">
        <v>0</v>
      </c>
      <c r="AI194" s="57">
        <v>15.2</v>
      </c>
      <c r="AJ194" s="56">
        <v>37</v>
      </c>
      <c r="AK194" s="54">
        <v>10.199999999999999</v>
      </c>
      <c r="AL194" s="54">
        <v>0</v>
      </c>
      <c r="AM194" s="54">
        <v>0</v>
      </c>
      <c r="AN194" s="57">
        <v>15</v>
      </c>
      <c r="AO194" s="53">
        <v>37</v>
      </c>
      <c r="AP194" s="54">
        <v>10.3</v>
      </c>
      <c r="AQ194" s="54">
        <v>190</v>
      </c>
      <c r="AR194" s="54">
        <v>0</v>
      </c>
      <c r="AS194" s="57">
        <v>12</v>
      </c>
      <c r="AT194" s="56">
        <v>24</v>
      </c>
      <c r="AU194" s="57">
        <v>100</v>
      </c>
      <c r="AV194" s="56">
        <v>59.163410186767599</v>
      </c>
      <c r="AW194" s="57">
        <v>379.28349227905272</v>
      </c>
      <c r="AX194" s="8"/>
      <c r="AZ194" s="1">
        <v>90</v>
      </c>
    </row>
    <row r="195" spans="3:52" ht="15" customHeight="1" x14ac:dyDescent="0.25">
      <c r="C195" s="42"/>
      <c r="D195" s="69">
        <f>D184</f>
        <v>45672</v>
      </c>
      <c r="E195" s="70">
        <f t="shared" si="18"/>
        <v>15.166666666666705</v>
      </c>
      <c r="F195" s="71">
        <f t="shared" si="14"/>
        <v>45673.166666667101</v>
      </c>
      <c r="G195" s="60">
        <v>41</v>
      </c>
      <c r="H195" s="61">
        <v>42</v>
      </c>
      <c r="I195" s="62">
        <v>10.3</v>
      </c>
      <c r="J195" s="62">
        <v>350</v>
      </c>
      <c r="K195" s="63">
        <v>0</v>
      </c>
      <c r="L195" s="64">
        <v>40</v>
      </c>
      <c r="M195" s="62">
        <v>10.199999999999999</v>
      </c>
      <c r="N195" s="62">
        <v>300</v>
      </c>
      <c r="O195" s="65">
        <v>0</v>
      </c>
      <c r="P195" s="61">
        <v>40</v>
      </c>
      <c r="Q195" s="62">
        <v>10.3</v>
      </c>
      <c r="R195" s="63">
        <v>0</v>
      </c>
      <c r="S195" s="63">
        <v>0</v>
      </c>
      <c r="T195" s="65">
        <v>16.2</v>
      </c>
      <c r="U195" s="64">
        <v>39</v>
      </c>
      <c r="V195" s="62">
        <v>10.199999999999999</v>
      </c>
      <c r="W195" s="63">
        <v>0</v>
      </c>
      <c r="X195" s="63">
        <v>0</v>
      </c>
      <c r="Y195" s="65">
        <v>14</v>
      </c>
      <c r="Z195" s="61">
        <v>40</v>
      </c>
      <c r="AA195" s="62">
        <v>10.199999999999999</v>
      </c>
      <c r="AB195" s="63">
        <v>0</v>
      </c>
      <c r="AC195" s="63">
        <v>0</v>
      </c>
      <c r="AD195" s="65">
        <v>16</v>
      </c>
      <c r="AE195" s="64">
        <v>36</v>
      </c>
      <c r="AF195" s="62">
        <v>10.199999999999999</v>
      </c>
      <c r="AG195" s="63">
        <v>0</v>
      </c>
      <c r="AH195" s="63">
        <v>0</v>
      </c>
      <c r="AI195" s="65">
        <v>15</v>
      </c>
      <c r="AJ195" s="64">
        <v>36</v>
      </c>
      <c r="AK195" s="62">
        <v>10.199999999999999</v>
      </c>
      <c r="AL195" s="62">
        <v>0</v>
      </c>
      <c r="AM195" s="62">
        <v>0</v>
      </c>
      <c r="AN195" s="65">
        <v>14.8</v>
      </c>
      <c r="AO195" s="61">
        <v>36</v>
      </c>
      <c r="AP195" s="62">
        <v>10.3</v>
      </c>
      <c r="AQ195" s="62">
        <v>200</v>
      </c>
      <c r="AR195" s="62">
        <v>0</v>
      </c>
      <c r="AS195" s="65">
        <v>11.8</v>
      </c>
      <c r="AT195" s="64">
        <v>26</v>
      </c>
      <c r="AU195" s="65">
        <v>120</v>
      </c>
      <c r="AV195" s="64">
        <v>59.297687530517599</v>
      </c>
      <c r="AW195" s="65">
        <v>378.36793492635093</v>
      </c>
      <c r="AX195" s="8"/>
      <c r="AZ195" s="1">
        <v>90</v>
      </c>
    </row>
    <row r="196" spans="3:52" ht="15" customHeight="1" x14ac:dyDescent="0.25">
      <c r="C196" s="42">
        <f>C184+1</f>
        <v>16</v>
      </c>
      <c r="D196" s="66">
        <f>DATE([1]Dash!$F$3,VLOOKUP([1]Dash!$E$3,[1]Abb!$C$3:$D$14,2,FALSE),C196)</f>
        <v>45673</v>
      </c>
      <c r="E196" s="67">
        <f>E195+2/24</f>
        <v>15.250000000000039</v>
      </c>
      <c r="F196" s="68">
        <f t="shared" si="14"/>
        <v>45673.250000000437</v>
      </c>
      <c r="G196" s="46">
        <v>38</v>
      </c>
      <c r="H196" s="47">
        <v>38</v>
      </c>
      <c r="I196" s="48">
        <v>10.8</v>
      </c>
      <c r="J196" s="48">
        <v>400</v>
      </c>
      <c r="K196" s="49">
        <v>0</v>
      </c>
      <c r="L196" s="50">
        <v>41</v>
      </c>
      <c r="M196" s="48">
        <v>10.6</v>
      </c>
      <c r="N196" s="48">
        <v>350</v>
      </c>
      <c r="O196" s="51">
        <v>0</v>
      </c>
      <c r="P196" s="47">
        <v>39</v>
      </c>
      <c r="Q196" s="48">
        <v>10.5</v>
      </c>
      <c r="R196" s="49">
        <v>0</v>
      </c>
      <c r="S196" s="49">
        <v>0</v>
      </c>
      <c r="T196" s="51">
        <v>17</v>
      </c>
      <c r="U196" s="50">
        <v>38</v>
      </c>
      <c r="V196" s="48">
        <v>10.5</v>
      </c>
      <c r="W196" s="49">
        <v>0</v>
      </c>
      <c r="X196" s="49">
        <v>0</v>
      </c>
      <c r="Y196" s="51">
        <v>14.2</v>
      </c>
      <c r="Z196" s="47">
        <v>37</v>
      </c>
      <c r="AA196" s="48">
        <v>10.5</v>
      </c>
      <c r="AB196" s="49">
        <v>0</v>
      </c>
      <c r="AC196" s="49">
        <v>0</v>
      </c>
      <c r="AD196" s="51">
        <v>16.2</v>
      </c>
      <c r="AE196" s="50">
        <v>35</v>
      </c>
      <c r="AF196" s="48">
        <v>10.4</v>
      </c>
      <c r="AG196" s="49">
        <v>0</v>
      </c>
      <c r="AH196" s="49">
        <v>0</v>
      </c>
      <c r="AI196" s="51">
        <v>15.2</v>
      </c>
      <c r="AJ196" s="50">
        <v>37</v>
      </c>
      <c r="AK196" s="48">
        <v>10.4</v>
      </c>
      <c r="AL196" s="48">
        <v>0</v>
      </c>
      <c r="AM196" s="48">
        <v>0</v>
      </c>
      <c r="AN196" s="51">
        <v>14.6</v>
      </c>
      <c r="AO196" s="47">
        <v>34</v>
      </c>
      <c r="AP196" s="48">
        <v>10.4</v>
      </c>
      <c r="AQ196" s="48">
        <v>220</v>
      </c>
      <c r="AR196" s="48">
        <v>0</v>
      </c>
      <c r="AS196" s="51">
        <v>12</v>
      </c>
      <c r="AT196" s="50">
        <v>25</v>
      </c>
      <c r="AU196" s="51">
        <v>140</v>
      </c>
      <c r="AV196" s="50">
        <v>59.590656280517599</v>
      </c>
      <c r="AW196" s="51">
        <v>376.17790298461915</v>
      </c>
      <c r="AX196" s="8"/>
      <c r="AZ196" s="1">
        <v>90</v>
      </c>
    </row>
    <row r="197" spans="3:52" ht="15" customHeight="1" x14ac:dyDescent="0.25">
      <c r="C197" s="42"/>
      <c r="D197" s="43">
        <f>D196</f>
        <v>45673</v>
      </c>
      <c r="E197" s="44">
        <f>E196+2/24</f>
        <v>15.333333333333373</v>
      </c>
      <c r="F197" s="45">
        <f t="shared" si="14"/>
        <v>45673.333333333772</v>
      </c>
      <c r="G197" s="52">
        <v>39</v>
      </c>
      <c r="H197" s="53">
        <v>38</v>
      </c>
      <c r="I197" s="54">
        <v>11.7</v>
      </c>
      <c r="J197" s="54">
        <v>350</v>
      </c>
      <c r="K197" s="55">
        <v>0</v>
      </c>
      <c r="L197" s="56">
        <v>36</v>
      </c>
      <c r="M197" s="54">
        <v>10.5</v>
      </c>
      <c r="N197" s="54">
        <v>400</v>
      </c>
      <c r="O197" s="57">
        <v>0</v>
      </c>
      <c r="P197" s="53">
        <v>37</v>
      </c>
      <c r="Q197" s="54">
        <v>10.9</v>
      </c>
      <c r="R197" s="55">
        <v>0</v>
      </c>
      <c r="S197" s="55">
        <v>0</v>
      </c>
      <c r="T197" s="57">
        <v>17</v>
      </c>
      <c r="U197" s="56">
        <v>36</v>
      </c>
      <c r="V197" s="54">
        <v>10.6</v>
      </c>
      <c r="W197" s="55">
        <v>0</v>
      </c>
      <c r="X197" s="55">
        <v>0</v>
      </c>
      <c r="Y197" s="57">
        <v>13</v>
      </c>
      <c r="Z197" s="53">
        <v>36</v>
      </c>
      <c r="AA197" s="54">
        <v>10.5</v>
      </c>
      <c r="AB197" s="55">
        <v>0</v>
      </c>
      <c r="AC197" s="55">
        <v>0</v>
      </c>
      <c r="AD197" s="57">
        <v>18.8</v>
      </c>
      <c r="AE197" s="56">
        <v>36</v>
      </c>
      <c r="AF197" s="54">
        <v>10.5</v>
      </c>
      <c r="AG197" s="55">
        <v>0</v>
      </c>
      <c r="AH197" s="55">
        <v>0</v>
      </c>
      <c r="AI197" s="57">
        <v>13.6</v>
      </c>
      <c r="AJ197" s="56">
        <v>35</v>
      </c>
      <c r="AK197" s="54">
        <v>10.5</v>
      </c>
      <c r="AL197" s="54">
        <v>0</v>
      </c>
      <c r="AM197" s="54">
        <v>0</v>
      </c>
      <c r="AN197" s="57">
        <v>15</v>
      </c>
      <c r="AO197" s="53">
        <v>35</v>
      </c>
      <c r="AP197" s="54">
        <v>10.5</v>
      </c>
      <c r="AQ197" s="54">
        <v>250</v>
      </c>
      <c r="AR197" s="54">
        <v>0</v>
      </c>
      <c r="AS197" s="57">
        <v>11.6</v>
      </c>
      <c r="AT197" s="56">
        <v>28</v>
      </c>
      <c r="AU197" s="57">
        <v>200</v>
      </c>
      <c r="AV197" s="56">
        <v>60.034179690000002</v>
      </c>
      <c r="AW197" s="57">
        <v>375.94774830916663</v>
      </c>
      <c r="AX197" s="8"/>
      <c r="AZ197" s="1">
        <v>90</v>
      </c>
    </row>
    <row r="198" spans="3:52" ht="15" customHeight="1" x14ac:dyDescent="0.25">
      <c r="C198" s="42"/>
      <c r="D198" s="43">
        <f>D196</f>
        <v>45673</v>
      </c>
      <c r="E198" s="44">
        <f t="shared" ref="E198:E207" si="19">E197+2/24</f>
        <v>15.416666666666707</v>
      </c>
      <c r="F198" s="45">
        <f t="shared" si="14"/>
        <v>45673.416666667108</v>
      </c>
      <c r="G198" s="52">
        <v>40</v>
      </c>
      <c r="H198" s="53">
        <v>38</v>
      </c>
      <c r="I198" s="54">
        <v>11.4</v>
      </c>
      <c r="J198" s="54">
        <v>350</v>
      </c>
      <c r="K198" s="55">
        <v>0</v>
      </c>
      <c r="L198" s="56">
        <v>37</v>
      </c>
      <c r="M198" s="54">
        <v>10.8</v>
      </c>
      <c r="N198" s="54">
        <v>400</v>
      </c>
      <c r="O198" s="57">
        <v>0</v>
      </c>
      <c r="P198" s="53">
        <v>38</v>
      </c>
      <c r="Q198" s="54">
        <v>10.9</v>
      </c>
      <c r="R198" s="55">
        <v>0</v>
      </c>
      <c r="S198" s="55">
        <v>0</v>
      </c>
      <c r="T198" s="57">
        <v>17.2</v>
      </c>
      <c r="U198" s="56">
        <v>37</v>
      </c>
      <c r="V198" s="54">
        <v>10.6</v>
      </c>
      <c r="W198" s="55">
        <v>0</v>
      </c>
      <c r="X198" s="55">
        <v>0</v>
      </c>
      <c r="Y198" s="57">
        <v>13.4</v>
      </c>
      <c r="Z198" s="53">
        <v>37</v>
      </c>
      <c r="AA198" s="54">
        <v>10.5</v>
      </c>
      <c r="AB198" s="55">
        <v>0</v>
      </c>
      <c r="AC198" s="55">
        <v>0</v>
      </c>
      <c r="AD198" s="57">
        <v>18.8</v>
      </c>
      <c r="AE198" s="56">
        <v>34</v>
      </c>
      <c r="AF198" s="54">
        <v>10.5</v>
      </c>
      <c r="AG198" s="55">
        <v>0</v>
      </c>
      <c r="AH198" s="55">
        <v>0</v>
      </c>
      <c r="AI198" s="57">
        <v>13.2</v>
      </c>
      <c r="AJ198" s="56">
        <v>35</v>
      </c>
      <c r="AK198" s="54">
        <v>10.5</v>
      </c>
      <c r="AL198" s="54">
        <v>0</v>
      </c>
      <c r="AM198" s="54">
        <v>0</v>
      </c>
      <c r="AN198" s="57">
        <v>14.8</v>
      </c>
      <c r="AO198" s="53">
        <v>34</v>
      </c>
      <c r="AP198" s="54">
        <v>10.6</v>
      </c>
      <c r="AQ198" s="54">
        <v>240</v>
      </c>
      <c r="AR198" s="54">
        <v>0</v>
      </c>
      <c r="AS198" s="57">
        <v>11.8</v>
      </c>
      <c r="AT198" s="56">
        <v>25</v>
      </c>
      <c r="AU198" s="57">
        <v>180</v>
      </c>
      <c r="AV198" s="56">
        <v>60.070800779999999</v>
      </c>
      <c r="AW198" s="57">
        <v>375.96752014333327</v>
      </c>
      <c r="AX198" s="8"/>
      <c r="AZ198" s="1">
        <v>90</v>
      </c>
    </row>
    <row r="199" spans="3:52" ht="15" customHeight="1" x14ac:dyDescent="0.25">
      <c r="C199" s="42"/>
      <c r="D199" s="43">
        <f>D196</f>
        <v>45673</v>
      </c>
      <c r="E199" s="44">
        <f t="shared" si="19"/>
        <v>15.500000000000041</v>
      </c>
      <c r="F199" s="45">
        <f t="shared" si="14"/>
        <v>45673.500000000444</v>
      </c>
      <c r="G199" s="52">
        <v>40</v>
      </c>
      <c r="H199" s="53">
        <v>39</v>
      </c>
      <c r="I199" s="54">
        <v>11.3</v>
      </c>
      <c r="J199" s="54">
        <v>350</v>
      </c>
      <c r="K199" s="55">
        <v>0</v>
      </c>
      <c r="L199" s="56">
        <v>38</v>
      </c>
      <c r="M199" s="54">
        <v>10.9</v>
      </c>
      <c r="N199" s="54">
        <v>350</v>
      </c>
      <c r="O199" s="57">
        <v>0</v>
      </c>
      <c r="P199" s="53">
        <v>39</v>
      </c>
      <c r="Q199" s="54">
        <v>10.9</v>
      </c>
      <c r="R199" s="55">
        <v>0</v>
      </c>
      <c r="S199" s="55">
        <v>0</v>
      </c>
      <c r="T199" s="57">
        <v>16.8</v>
      </c>
      <c r="U199" s="56">
        <v>36</v>
      </c>
      <c r="V199" s="54">
        <v>10.6</v>
      </c>
      <c r="W199" s="55">
        <v>0</v>
      </c>
      <c r="X199" s="55">
        <v>0</v>
      </c>
      <c r="Y199" s="57">
        <v>13</v>
      </c>
      <c r="Z199" s="53">
        <v>37</v>
      </c>
      <c r="AA199" s="54">
        <v>0</v>
      </c>
      <c r="AB199" s="55">
        <v>0</v>
      </c>
      <c r="AC199" s="55">
        <v>0</v>
      </c>
      <c r="AD199" s="57">
        <v>18</v>
      </c>
      <c r="AE199" s="56">
        <v>35</v>
      </c>
      <c r="AF199" s="54">
        <v>10.4</v>
      </c>
      <c r="AG199" s="55">
        <v>0</v>
      </c>
      <c r="AH199" s="55">
        <v>0</v>
      </c>
      <c r="AI199" s="57">
        <v>13</v>
      </c>
      <c r="AJ199" s="56">
        <v>34</v>
      </c>
      <c r="AK199" s="54">
        <v>10.4</v>
      </c>
      <c r="AL199" s="54">
        <v>0</v>
      </c>
      <c r="AM199" s="54">
        <v>0</v>
      </c>
      <c r="AN199" s="57">
        <v>15.2</v>
      </c>
      <c r="AO199" s="53">
        <v>34</v>
      </c>
      <c r="AP199" s="54">
        <v>10.5</v>
      </c>
      <c r="AQ199" s="54">
        <v>250</v>
      </c>
      <c r="AR199" s="54">
        <v>0</v>
      </c>
      <c r="AS199" s="57">
        <v>11.6</v>
      </c>
      <c r="AT199" s="56">
        <v>27</v>
      </c>
      <c r="AU199" s="57">
        <v>170</v>
      </c>
      <c r="AV199" s="56">
        <v>59.65169144</v>
      </c>
      <c r="AW199" s="57">
        <v>375.23582242249995</v>
      </c>
      <c r="AX199" s="8"/>
      <c r="AZ199" s="1">
        <v>90</v>
      </c>
    </row>
    <row r="200" spans="3:52" ht="15" customHeight="1" x14ac:dyDescent="0.25">
      <c r="C200" s="42"/>
      <c r="D200" s="43">
        <f>D196</f>
        <v>45673</v>
      </c>
      <c r="E200" s="44">
        <f t="shared" si="19"/>
        <v>15.583333333333375</v>
      </c>
      <c r="F200" s="45">
        <f t="shared" si="14"/>
        <v>45673.58333333378</v>
      </c>
      <c r="G200" s="52">
        <v>39</v>
      </c>
      <c r="H200" s="53">
        <v>38</v>
      </c>
      <c r="I200" s="54">
        <v>11.2</v>
      </c>
      <c r="J200" s="54">
        <v>350</v>
      </c>
      <c r="K200" s="55">
        <v>0</v>
      </c>
      <c r="L200" s="56">
        <v>40</v>
      </c>
      <c r="M200" s="54">
        <v>11.2</v>
      </c>
      <c r="N200" s="54">
        <v>350</v>
      </c>
      <c r="O200" s="57">
        <v>0</v>
      </c>
      <c r="P200" s="53">
        <v>38</v>
      </c>
      <c r="Q200" s="54">
        <v>11</v>
      </c>
      <c r="R200" s="55">
        <v>0</v>
      </c>
      <c r="S200" s="55">
        <v>0</v>
      </c>
      <c r="T200" s="57">
        <v>17</v>
      </c>
      <c r="U200" s="56">
        <v>37</v>
      </c>
      <c r="V200" s="54">
        <v>10.7</v>
      </c>
      <c r="W200" s="55">
        <v>0</v>
      </c>
      <c r="X200" s="55">
        <v>0</v>
      </c>
      <c r="Y200" s="57">
        <v>13.2</v>
      </c>
      <c r="Z200" s="53">
        <v>36</v>
      </c>
      <c r="AA200" s="54">
        <v>0</v>
      </c>
      <c r="AB200" s="55">
        <v>0</v>
      </c>
      <c r="AC200" s="55">
        <v>0</v>
      </c>
      <c r="AD200" s="57">
        <v>18.2</v>
      </c>
      <c r="AE200" s="56">
        <v>36</v>
      </c>
      <c r="AF200" s="54">
        <v>10.5</v>
      </c>
      <c r="AG200" s="55">
        <v>0</v>
      </c>
      <c r="AH200" s="55">
        <v>0</v>
      </c>
      <c r="AI200" s="57">
        <v>13.6</v>
      </c>
      <c r="AJ200" s="56">
        <v>35</v>
      </c>
      <c r="AK200" s="54">
        <v>10.4</v>
      </c>
      <c r="AL200" s="54">
        <v>0</v>
      </c>
      <c r="AM200" s="54">
        <v>0</v>
      </c>
      <c r="AN200" s="57">
        <v>15</v>
      </c>
      <c r="AO200" s="53">
        <v>37</v>
      </c>
      <c r="AP200" s="54">
        <v>10.5</v>
      </c>
      <c r="AQ200" s="54">
        <v>260</v>
      </c>
      <c r="AR200" s="54">
        <v>0</v>
      </c>
      <c r="AS200" s="57">
        <v>11.4</v>
      </c>
      <c r="AT200" s="56">
        <v>24</v>
      </c>
      <c r="AU200" s="57">
        <v>200</v>
      </c>
      <c r="AV200" s="56">
        <v>59.521484379999997</v>
      </c>
      <c r="AW200" s="57">
        <v>377.49831263166669</v>
      </c>
      <c r="AX200" s="8"/>
      <c r="AZ200" s="1">
        <v>90</v>
      </c>
    </row>
    <row r="201" spans="3:52" ht="15" customHeight="1" x14ac:dyDescent="0.25">
      <c r="C201" s="42"/>
      <c r="D201" s="43">
        <f>D196</f>
        <v>45673</v>
      </c>
      <c r="E201" s="44">
        <f t="shared" si="19"/>
        <v>15.666666666666709</v>
      </c>
      <c r="F201" s="45">
        <f t="shared" si="14"/>
        <v>45673.666666667115</v>
      </c>
      <c r="G201" s="52">
        <v>38</v>
      </c>
      <c r="H201" s="53">
        <v>38</v>
      </c>
      <c r="I201" s="54">
        <v>11</v>
      </c>
      <c r="J201" s="54">
        <v>350</v>
      </c>
      <c r="K201" s="55">
        <v>0</v>
      </c>
      <c r="L201" s="56">
        <v>39</v>
      </c>
      <c r="M201" s="54">
        <v>11.1</v>
      </c>
      <c r="N201" s="54">
        <v>350</v>
      </c>
      <c r="O201" s="57">
        <v>0</v>
      </c>
      <c r="P201" s="53">
        <v>38</v>
      </c>
      <c r="Q201" s="54">
        <v>11</v>
      </c>
      <c r="R201" s="55">
        <v>0</v>
      </c>
      <c r="S201" s="55">
        <v>0</v>
      </c>
      <c r="T201" s="57">
        <v>16.600000000000001</v>
      </c>
      <c r="U201" s="56">
        <v>36</v>
      </c>
      <c r="V201" s="54">
        <v>10.8</v>
      </c>
      <c r="W201" s="55">
        <v>0</v>
      </c>
      <c r="X201" s="55">
        <v>0</v>
      </c>
      <c r="Y201" s="57">
        <v>13.6</v>
      </c>
      <c r="Z201" s="53">
        <v>37</v>
      </c>
      <c r="AA201" s="54">
        <v>0</v>
      </c>
      <c r="AB201" s="55">
        <v>0</v>
      </c>
      <c r="AC201" s="55">
        <v>0</v>
      </c>
      <c r="AD201" s="57">
        <v>18</v>
      </c>
      <c r="AE201" s="56">
        <v>34</v>
      </c>
      <c r="AF201" s="54">
        <v>10.4</v>
      </c>
      <c r="AG201" s="55">
        <v>0</v>
      </c>
      <c r="AH201" s="55">
        <v>0</v>
      </c>
      <c r="AI201" s="57">
        <v>13.6</v>
      </c>
      <c r="AJ201" s="56">
        <v>34</v>
      </c>
      <c r="AK201" s="54">
        <v>10.5</v>
      </c>
      <c r="AL201" s="54">
        <v>0</v>
      </c>
      <c r="AM201" s="54">
        <v>0</v>
      </c>
      <c r="AN201" s="57">
        <v>15</v>
      </c>
      <c r="AO201" s="53">
        <v>36</v>
      </c>
      <c r="AP201" s="54">
        <v>10.4</v>
      </c>
      <c r="AQ201" s="54">
        <v>260</v>
      </c>
      <c r="AR201" s="54">
        <v>0</v>
      </c>
      <c r="AS201" s="57">
        <v>11.8</v>
      </c>
      <c r="AT201" s="56">
        <v>25</v>
      </c>
      <c r="AU201" s="57">
        <v>190</v>
      </c>
      <c r="AV201" s="56">
        <v>59.501140589999999</v>
      </c>
      <c r="AW201" s="57">
        <v>375.82863108249995</v>
      </c>
      <c r="AX201" s="8"/>
      <c r="AZ201" s="1">
        <v>90</v>
      </c>
    </row>
    <row r="202" spans="3:52" ht="15" customHeight="1" x14ac:dyDescent="0.25">
      <c r="C202" s="42"/>
      <c r="D202" s="43">
        <f>D196</f>
        <v>45673</v>
      </c>
      <c r="E202" s="44">
        <f t="shared" si="19"/>
        <v>15.750000000000043</v>
      </c>
      <c r="F202" s="45">
        <f t="shared" si="14"/>
        <v>45673.750000000451</v>
      </c>
      <c r="G202" s="52">
        <v>36</v>
      </c>
      <c r="H202" s="53">
        <v>37</v>
      </c>
      <c r="I202" s="54">
        <v>11</v>
      </c>
      <c r="J202" s="54">
        <v>300</v>
      </c>
      <c r="K202" s="55">
        <v>0</v>
      </c>
      <c r="L202" s="56">
        <v>39</v>
      </c>
      <c r="M202" s="54">
        <v>11</v>
      </c>
      <c r="N202" s="54">
        <v>300</v>
      </c>
      <c r="O202" s="57">
        <v>0</v>
      </c>
      <c r="P202" s="53">
        <v>37</v>
      </c>
      <c r="Q202" s="54">
        <v>11</v>
      </c>
      <c r="R202" s="55">
        <v>0</v>
      </c>
      <c r="S202" s="55">
        <v>0</v>
      </c>
      <c r="T202" s="57">
        <v>17</v>
      </c>
      <c r="U202" s="56">
        <v>38</v>
      </c>
      <c r="V202" s="54">
        <v>10.8</v>
      </c>
      <c r="W202" s="55">
        <v>0</v>
      </c>
      <c r="X202" s="55">
        <v>0</v>
      </c>
      <c r="Y202" s="57">
        <v>17</v>
      </c>
      <c r="Z202" s="53">
        <v>36</v>
      </c>
      <c r="AA202" s="54">
        <v>10.7</v>
      </c>
      <c r="AB202" s="55">
        <v>0</v>
      </c>
      <c r="AC202" s="55">
        <v>0</v>
      </c>
      <c r="AD202" s="57">
        <v>18.399999999999999</v>
      </c>
      <c r="AE202" s="56">
        <v>35</v>
      </c>
      <c r="AF202" s="54">
        <v>10.4</v>
      </c>
      <c r="AG202" s="55">
        <v>0</v>
      </c>
      <c r="AH202" s="55">
        <v>0</v>
      </c>
      <c r="AI202" s="57">
        <v>13.4</v>
      </c>
      <c r="AJ202" s="56">
        <v>34</v>
      </c>
      <c r="AK202" s="54">
        <v>10.4</v>
      </c>
      <c r="AL202" s="54">
        <v>0</v>
      </c>
      <c r="AM202" s="54">
        <v>0</v>
      </c>
      <c r="AN202" s="57">
        <v>15</v>
      </c>
      <c r="AO202" s="53">
        <v>35</v>
      </c>
      <c r="AP202" s="54">
        <v>10.4</v>
      </c>
      <c r="AQ202" s="54">
        <v>260</v>
      </c>
      <c r="AR202" s="54">
        <v>0</v>
      </c>
      <c r="AS202" s="57">
        <v>11.6</v>
      </c>
      <c r="AT202" s="56">
        <v>26</v>
      </c>
      <c r="AU202" s="57">
        <v>200</v>
      </c>
      <c r="AV202" s="56">
        <v>59.053546910000001</v>
      </c>
      <c r="AW202" s="57">
        <v>380.98210780000005</v>
      </c>
      <c r="AX202" s="8"/>
      <c r="AZ202" s="1">
        <v>90</v>
      </c>
    </row>
    <row r="203" spans="3:52" ht="15" customHeight="1" x14ac:dyDescent="0.25">
      <c r="C203" s="42"/>
      <c r="D203" s="43">
        <f>D196</f>
        <v>45673</v>
      </c>
      <c r="E203" s="44">
        <f t="shared" si="19"/>
        <v>15.833333333333377</v>
      </c>
      <c r="F203" s="45">
        <f t="shared" si="14"/>
        <v>45673.833333333787</v>
      </c>
      <c r="G203" s="52">
        <v>38</v>
      </c>
      <c r="H203" s="53">
        <v>40</v>
      </c>
      <c r="I203" s="54">
        <v>10.7</v>
      </c>
      <c r="J203" s="54">
        <v>300</v>
      </c>
      <c r="K203" s="55">
        <v>0</v>
      </c>
      <c r="L203" s="56">
        <v>38</v>
      </c>
      <c r="M203" s="54">
        <v>10.8</v>
      </c>
      <c r="N203" s="54">
        <v>250</v>
      </c>
      <c r="O203" s="57">
        <v>0</v>
      </c>
      <c r="P203" s="53">
        <v>35</v>
      </c>
      <c r="Q203" s="54">
        <v>11.1</v>
      </c>
      <c r="R203" s="55">
        <v>0</v>
      </c>
      <c r="S203" s="55">
        <v>0</v>
      </c>
      <c r="T203" s="57">
        <v>17</v>
      </c>
      <c r="U203" s="56">
        <v>38</v>
      </c>
      <c r="V203" s="54">
        <v>10.9</v>
      </c>
      <c r="W203" s="55">
        <v>0</v>
      </c>
      <c r="X203" s="55">
        <v>0</v>
      </c>
      <c r="Y203" s="57">
        <v>14</v>
      </c>
      <c r="Z203" s="53">
        <v>41</v>
      </c>
      <c r="AA203" s="54">
        <v>10.7</v>
      </c>
      <c r="AB203" s="55">
        <v>0</v>
      </c>
      <c r="AC203" s="55">
        <v>0</v>
      </c>
      <c r="AD203" s="57">
        <v>18</v>
      </c>
      <c r="AE203" s="56">
        <v>37</v>
      </c>
      <c r="AF203" s="54">
        <v>10.6</v>
      </c>
      <c r="AG203" s="55">
        <v>0</v>
      </c>
      <c r="AH203" s="55">
        <v>0</v>
      </c>
      <c r="AI203" s="57">
        <v>14</v>
      </c>
      <c r="AJ203" s="56">
        <v>34</v>
      </c>
      <c r="AK203" s="54">
        <v>10.4</v>
      </c>
      <c r="AL203" s="54">
        <v>0</v>
      </c>
      <c r="AM203" s="54">
        <v>0</v>
      </c>
      <c r="AN203" s="57">
        <v>15</v>
      </c>
      <c r="AO203" s="53">
        <v>35</v>
      </c>
      <c r="AP203" s="54">
        <v>10.3</v>
      </c>
      <c r="AQ203" s="54">
        <v>290</v>
      </c>
      <c r="AR203" s="54">
        <v>0</v>
      </c>
      <c r="AS203" s="57">
        <v>12</v>
      </c>
      <c r="AT203" s="56">
        <v>28</v>
      </c>
      <c r="AU203" s="57">
        <v>160</v>
      </c>
      <c r="AV203" s="56">
        <v>58.894855499999998</v>
      </c>
      <c r="AW203" s="57">
        <v>378.11655998416683</v>
      </c>
      <c r="AX203" s="8"/>
      <c r="AZ203" s="1">
        <v>90</v>
      </c>
    </row>
    <row r="204" spans="3:52" ht="15" customHeight="1" x14ac:dyDescent="0.25">
      <c r="C204" s="42"/>
      <c r="D204" s="43">
        <f>D196</f>
        <v>45673</v>
      </c>
      <c r="E204" s="44">
        <f t="shared" si="19"/>
        <v>15.91666666666671</v>
      </c>
      <c r="F204" s="45">
        <f t="shared" si="14"/>
        <v>45673.916666667123</v>
      </c>
      <c r="G204" s="52">
        <v>39</v>
      </c>
      <c r="H204" s="53">
        <v>38</v>
      </c>
      <c r="I204" s="54">
        <v>11.1</v>
      </c>
      <c r="J204" s="54">
        <v>300</v>
      </c>
      <c r="K204" s="55">
        <v>0</v>
      </c>
      <c r="L204" s="56">
        <v>37</v>
      </c>
      <c r="M204" s="54">
        <v>11.1</v>
      </c>
      <c r="N204" s="54">
        <v>250</v>
      </c>
      <c r="O204" s="57">
        <v>0</v>
      </c>
      <c r="P204" s="53">
        <v>36</v>
      </c>
      <c r="Q204" s="54">
        <v>11.1</v>
      </c>
      <c r="R204" s="55">
        <v>0</v>
      </c>
      <c r="S204" s="55">
        <v>0</v>
      </c>
      <c r="T204" s="57">
        <v>17.399999999999999</v>
      </c>
      <c r="U204" s="56">
        <v>37</v>
      </c>
      <c r="V204" s="54">
        <v>11</v>
      </c>
      <c r="W204" s="55">
        <v>0</v>
      </c>
      <c r="X204" s="55">
        <v>0</v>
      </c>
      <c r="Y204" s="57">
        <v>14.8</v>
      </c>
      <c r="Z204" s="53">
        <v>40</v>
      </c>
      <c r="AA204" s="54">
        <v>10.7</v>
      </c>
      <c r="AB204" s="55">
        <v>0</v>
      </c>
      <c r="AC204" s="55">
        <v>0</v>
      </c>
      <c r="AD204" s="57">
        <v>17.600000000000001</v>
      </c>
      <c r="AE204" s="56">
        <v>37</v>
      </c>
      <c r="AF204" s="54">
        <v>10.5</v>
      </c>
      <c r="AG204" s="55">
        <v>0</v>
      </c>
      <c r="AH204" s="55">
        <v>0</v>
      </c>
      <c r="AI204" s="57">
        <v>14.6</v>
      </c>
      <c r="AJ204" s="56">
        <v>36</v>
      </c>
      <c r="AK204" s="54">
        <v>10.7</v>
      </c>
      <c r="AL204" s="54">
        <v>0</v>
      </c>
      <c r="AM204" s="54">
        <v>0</v>
      </c>
      <c r="AN204" s="57">
        <v>14.8</v>
      </c>
      <c r="AO204" s="53">
        <v>38</v>
      </c>
      <c r="AP204" s="54">
        <v>10.5</v>
      </c>
      <c r="AQ204" s="54">
        <v>250</v>
      </c>
      <c r="AR204" s="54">
        <v>0</v>
      </c>
      <c r="AS204" s="57">
        <v>12.4</v>
      </c>
      <c r="AT204" s="56">
        <v>30</v>
      </c>
      <c r="AU204" s="57">
        <v>130</v>
      </c>
      <c r="AV204" s="56">
        <v>58.634441379999998</v>
      </c>
      <c r="AW204" s="57">
        <v>378.98992068249999</v>
      </c>
      <c r="AX204" s="8"/>
      <c r="AZ204" s="1">
        <v>90</v>
      </c>
    </row>
    <row r="205" spans="3:52" ht="15" customHeight="1" x14ac:dyDescent="0.25">
      <c r="C205" s="42"/>
      <c r="D205" s="43">
        <f>D196</f>
        <v>45673</v>
      </c>
      <c r="E205" s="44">
        <f t="shared" si="19"/>
        <v>16.000000000000043</v>
      </c>
      <c r="F205" s="45">
        <f t="shared" si="14"/>
        <v>45674.000000000458</v>
      </c>
      <c r="G205" s="52">
        <v>37</v>
      </c>
      <c r="H205" s="53">
        <v>37</v>
      </c>
      <c r="I205" s="54">
        <v>11</v>
      </c>
      <c r="J205" s="54">
        <v>300</v>
      </c>
      <c r="K205" s="55">
        <v>0</v>
      </c>
      <c r="L205" s="56">
        <v>40</v>
      </c>
      <c r="M205" s="54">
        <v>11</v>
      </c>
      <c r="N205" s="54">
        <v>250</v>
      </c>
      <c r="O205" s="57">
        <v>0</v>
      </c>
      <c r="P205" s="53">
        <v>38</v>
      </c>
      <c r="Q205" s="54">
        <v>11</v>
      </c>
      <c r="R205" s="55">
        <v>0</v>
      </c>
      <c r="S205" s="55">
        <v>0</v>
      </c>
      <c r="T205" s="57">
        <v>17.2</v>
      </c>
      <c r="U205" s="56">
        <v>39</v>
      </c>
      <c r="V205" s="54">
        <v>11.2</v>
      </c>
      <c r="W205" s="55">
        <v>0</v>
      </c>
      <c r="X205" s="55">
        <v>0</v>
      </c>
      <c r="Y205" s="57">
        <v>14.6</v>
      </c>
      <c r="Z205" s="53">
        <v>38</v>
      </c>
      <c r="AA205" s="54">
        <v>10.7</v>
      </c>
      <c r="AB205" s="55">
        <v>0</v>
      </c>
      <c r="AC205" s="55">
        <v>0</v>
      </c>
      <c r="AD205" s="57">
        <v>17.8</v>
      </c>
      <c r="AE205" s="56">
        <v>39</v>
      </c>
      <c r="AF205" s="54">
        <v>10.5</v>
      </c>
      <c r="AG205" s="55">
        <v>0</v>
      </c>
      <c r="AH205" s="55">
        <v>0</v>
      </c>
      <c r="AI205" s="57">
        <v>14.6</v>
      </c>
      <c r="AJ205" s="56">
        <v>34</v>
      </c>
      <c r="AK205" s="54">
        <v>10.5</v>
      </c>
      <c r="AL205" s="54">
        <v>0</v>
      </c>
      <c r="AM205" s="54">
        <v>0</v>
      </c>
      <c r="AN205" s="57">
        <v>15</v>
      </c>
      <c r="AO205" s="53">
        <v>35</v>
      </c>
      <c r="AP205" s="54">
        <v>10.4</v>
      </c>
      <c r="AQ205" s="54">
        <v>260</v>
      </c>
      <c r="AR205" s="54">
        <v>0</v>
      </c>
      <c r="AS205" s="57">
        <v>12</v>
      </c>
      <c r="AT205" s="56">
        <v>28</v>
      </c>
      <c r="AU205" s="57">
        <v>140</v>
      </c>
      <c r="AV205" s="56">
        <v>58.687335969999999</v>
      </c>
      <c r="AW205" s="57">
        <v>379.51159846083334</v>
      </c>
      <c r="AX205" s="8"/>
      <c r="AZ205" s="1">
        <v>90</v>
      </c>
    </row>
    <row r="206" spans="3:52" ht="15" customHeight="1" x14ac:dyDescent="0.25">
      <c r="C206" s="42"/>
      <c r="D206" s="43">
        <f>D196</f>
        <v>45673</v>
      </c>
      <c r="E206" s="44">
        <f t="shared" si="19"/>
        <v>16.083333333333375</v>
      </c>
      <c r="F206" s="45">
        <f t="shared" si="14"/>
        <v>45674.083333333794</v>
      </c>
      <c r="G206" s="52">
        <v>40</v>
      </c>
      <c r="H206" s="53">
        <v>39</v>
      </c>
      <c r="I206" s="54">
        <v>11</v>
      </c>
      <c r="J206" s="54">
        <v>350</v>
      </c>
      <c r="K206" s="55">
        <v>0</v>
      </c>
      <c r="L206" s="56">
        <v>40</v>
      </c>
      <c r="M206" s="54">
        <v>11</v>
      </c>
      <c r="N206" s="54">
        <v>300</v>
      </c>
      <c r="O206" s="57">
        <v>0</v>
      </c>
      <c r="P206" s="53">
        <v>39</v>
      </c>
      <c r="Q206" s="54">
        <v>11</v>
      </c>
      <c r="R206" s="55">
        <v>0</v>
      </c>
      <c r="S206" s="55">
        <v>0</v>
      </c>
      <c r="T206" s="57">
        <v>17</v>
      </c>
      <c r="U206" s="56">
        <v>38</v>
      </c>
      <c r="V206" s="54">
        <v>11.2</v>
      </c>
      <c r="W206" s="55">
        <v>0</v>
      </c>
      <c r="X206" s="55">
        <v>0</v>
      </c>
      <c r="Y206" s="57">
        <v>14.2</v>
      </c>
      <c r="Z206" s="53">
        <v>37</v>
      </c>
      <c r="AA206" s="54">
        <v>10.7</v>
      </c>
      <c r="AB206" s="55">
        <v>0</v>
      </c>
      <c r="AC206" s="55">
        <v>0</v>
      </c>
      <c r="AD206" s="57">
        <v>18</v>
      </c>
      <c r="AE206" s="56">
        <v>37</v>
      </c>
      <c r="AF206" s="54">
        <v>10.5</v>
      </c>
      <c r="AG206" s="55">
        <v>0</v>
      </c>
      <c r="AH206" s="55">
        <v>0</v>
      </c>
      <c r="AI206" s="57">
        <v>14</v>
      </c>
      <c r="AJ206" s="56">
        <v>35</v>
      </c>
      <c r="AK206" s="54">
        <v>10.5</v>
      </c>
      <c r="AL206" s="54">
        <v>0</v>
      </c>
      <c r="AM206" s="54">
        <v>0</v>
      </c>
      <c r="AN206" s="57">
        <v>15.2</v>
      </c>
      <c r="AO206" s="53">
        <v>36</v>
      </c>
      <c r="AP206" s="54">
        <v>10.4</v>
      </c>
      <c r="AQ206" s="54">
        <v>260</v>
      </c>
      <c r="AR206" s="54">
        <v>0</v>
      </c>
      <c r="AS206" s="57">
        <v>12</v>
      </c>
      <c r="AT206" s="56">
        <v>26</v>
      </c>
      <c r="AU206" s="57">
        <v>140</v>
      </c>
      <c r="AV206" s="56">
        <v>58.90299606</v>
      </c>
      <c r="AW206" s="57">
        <v>378.13669433500007</v>
      </c>
      <c r="AX206" s="8"/>
      <c r="AZ206" s="1">
        <v>90</v>
      </c>
    </row>
    <row r="207" spans="3:52" ht="15" customHeight="1" x14ac:dyDescent="0.25">
      <c r="C207" s="42"/>
      <c r="D207" s="69">
        <f>D196</f>
        <v>45673</v>
      </c>
      <c r="E207" s="70">
        <f t="shared" si="19"/>
        <v>16.166666666666707</v>
      </c>
      <c r="F207" s="71">
        <f t="shared" si="14"/>
        <v>45674.16666666713</v>
      </c>
      <c r="G207" s="60">
        <v>41</v>
      </c>
      <c r="H207" s="61">
        <v>39</v>
      </c>
      <c r="I207" s="62">
        <v>10.9</v>
      </c>
      <c r="J207" s="62">
        <v>350</v>
      </c>
      <c r="K207" s="63">
        <v>0</v>
      </c>
      <c r="L207" s="64">
        <v>40</v>
      </c>
      <c r="M207" s="62">
        <v>10.9</v>
      </c>
      <c r="N207" s="62">
        <v>300</v>
      </c>
      <c r="O207" s="65">
        <v>0</v>
      </c>
      <c r="P207" s="61">
        <v>40</v>
      </c>
      <c r="Q207" s="62">
        <v>10.9</v>
      </c>
      <c r="R207" s="63">
        <v>0</v>
      </c>
      <c r="S207" s="63">
        <v>0</v>
      </c>
      <c r="T207" s="65">
        <v>17.2</v>
      </c>
      <c r="U207" s="64">
        <v>37</v>
      </c>
      <c r="V207" s="62">
        <v>11</v>
      </c>
      <c r="W207" s="63">
        <v>0</v>
      </c>
      <c r="X207" s="63">
        <v>0</v>
      </c>
      <c r="Y207" s="65">
        <v>14</v>
      </c>
      <c r="Z207" s="61">
        <v>39</v>
      </c>
      <c r="AA207" s="62">
        <v>10.9</v>
      </c>
      <c r="AB207" s="63">
        <v>0</v>
      </c>
      <c r="AC207" s="63">
        <v>0</v>
      </c>
      <c r="AD207" s="65">
        <v>17.8</v>
      </c>
      <c r="AE207" s="64">
        <v>38</v>
      </c>
      <c r="AF207" s="62">
        <v>10.7</v>
      </c>
      <c r="AG207" s="63">
        <v>0</v>
      </c>
      <c r="AH207" s="63">
        <v>0</v>
      </c>
      <c r="AI207" s="65">
        <v>14.2</v>
      </c>
      <c r="AJ207" s="64">
        <v>37</v>
      </c>
      <c r="AK207" s="62">
        <v>10.7</v>
      </c>
      <c r="AL207" s="62">
        <v>0</v>
      </c>
      <c r="AM207" s="62">
        <v>0</v>
      </c>
      <c r="AN207" s="65">
        <v>15</v>
      </c>
      <c r="AO207" s="61">
        <v>37</v>
      </c>
      <c r="AP207" s="62">
        <v>10.7</v>
      </c>
      <c r="AQ207" s="62">
        <v>250</v>
      </c>
      <c r="AR207" s="62">
        <v>0</v>
      </c>
      <c r="AS207" s="65">
        <v>12.2</v>
      </c>
      <c r="AT207" s="64">
        <v>28</v>
      </c>
      <c r="AU207" s="65">
        <v>120</v>
      </c>
      <c r="AV207" s="64">
        <v>59.240722660000003</v>
      </c>
      <c r="AW207" s="65">
        <v>377.21619402583332</v>
      </c>
      <c r="AX207" s="8"/>
      <c r="AZ207" s="1">
        <v>90</v>
      </c>
    </row>
    <row r="208" spans="3:52" ht="15" customHeight="1" x14ac:dyDescent="0.25">
      <c r="C208" s="42">
        <f>C196+1</f>
        <v>17</v>
      </c>
      <c r="D208" s="66">
        <f>DATE([1]Dash!$F$3,VLOOKUP([1]Dash!$E$3,[1]Abb!$C$3:$D$14,2,FALSE),C208)</f>
        <v>45674</v>
      </c>
      <c r="E208" s="67">
        <f>E207+2/24</f>
        <v>16.250000000000039</v>
      </c>
      <c r="F208" s="68">
        <f t="shared" si="14"/>
        <v>45674.250000000466</v>
      </c>
      <c r="G208" s="46">
        <v>39</v>
      </c>
      <c r="H208" s="47">
        <v>40</v>
      </c>
      <c r="I208" s="48">
        <v>10.9</v>
      </c>
      <c r="J208" s="48">
        <v>300</v>
      </c>
      <c r="K208" s="49">
        <v>0</v>
      </c>
      <c r="L208" s="50">
        <v>39</v>
      </c>
      <c r="M208" s="48">
        <v>10.9</v>
      </c>
      <c r="N208" s="48">
        <v>300</v>
      </c>
      <c r="O208" s="51">
        <v>0</v>
      </c>
      <c r="P208" s="47">
        <v>39</v>
      </c>
      <c r="Q208" s="48">
        <v>0.9</v>
      </c>
      <c r="R208" s="49">
        <v>0</v>
      </c>
      <c r="S208" s="49">
        <v>0</v>
      </c>
      <c r="T208" s="51">
        <v>17.399999999999999</v>
      </c>
      <c r="U208" s="50">
        <v>38</v>
      </c>
      <c r="V208" s="48">
        <v>10.9</v>
      </c>
      <c r="W208" s="49">
        <v>0</v>
      </c>
      <c r="X208" s="49">
        <v>0</v>
      </c>
      <c r="Y208" s="51">
        <v>14.2</v>
      </c>
      <c r="Z208" s="47">
        <v>38</v>
      </c>
      <c r="AA208" s="48">
        <v>10.9</v>
      </c>
      <c r="AB208" s="49">
        <v>0</v>
      </c>
      <c r="AC208" s="49">
        <v>0</v>
      </c>
      <c r="AD208" s="51">
        <v>18.2</v>
      </c>
      <c r="AE208" s="50">
        <v>37</v>
      </c>
      <c r="AF208" s="48">
        <v>10.8</v>
      </c>
      <c r="AG208" s="49">
        <v>0</v>
      </c>
      <c r="AH208" s="49">
        <v>0</v>
      </c>
      <c r="AI208" s="51">
        <v>14</v>
      </c>
      <c r="AJ208" s="50">
        <v>35</v>
      </c>
      <c r="AK208" s="48">
        <v>10.8</v>
      </c>
      <c r="AL208" s="48">
        <v>0</v>
      </c>
      <c r="AM208" s="48">
        <v>0</v>
      </c>
      <c r="AN208" s="51">
        <v>15.4</v>
      </c>
      <c r="AO208" s="47">
        <v>38</v>
      </c>
      <c r="AP208" s="48">
        <v>10.7</v>
      </c>
      <c r="AQ208" s="48">
        <v>270</v>
      </c>
      <c r="AR208" s="48">
        <v>0</v>
      </c>
      <c r="AS208" s="51">
        <v>12.4</v>
      </c>
      <c r="AT208" s="50">
        <v>20</v>
      </c>
      <c r="AU208" s="51">
        <v>150</v>
      </c>
      <c r="AV208" s="50">
        <v>59.5703125</v>
      </c>
      <c r="AW208" s="51">
        <v>375.35433553083328</v>
      </c>
      <c r="AX208" s="8"/>
      <c r="AZ208" s="1">
        <v>90</v>
      </c>
    </row>
    <row r="209" spans="3:52" ht="15" customHeight="1" x14ac:dyDescent="0.25">
      <c r="C209" s="42"/>
      <c r="D209" s="43">
        <f>D208</f>
        <v>45674</v>
      </c>
      <c r="E209" s="44">
        <f>E208+2/24</f>
        <v>16.333333333333371</v>
      </c>
      <c r="F209" s="45">
        <f t="shared" si="14"/>
        <v>45674.333333333801</v>
      </c>
      <c r="G209" s="52">
        <v>37</v>
      </c>
      <c r="H209" s="53">
        <v>38</v>
      </c>
      <c r="I209" s="54">
        <v>10.9</v>
      </c>
      <c r="J209" s="54">
        <v>350</v>
      </c>
      <c r="K209" s="55">
        <v>0</v>
      </c>
      <c r="L209" s="56">
        <v>38</v>
      </c>
      <c r="M209" s="54">
        <v>11</v>
      </c>
      <c r="N209" s="54">
        <v>350</v>
      </c>
      <c r="O209" s="57">
        <v>0</v>
      </c>
      <c r="P209" s="53">
        <v>39</v>
      </c>
      <c r="Q209" s="54">
        <v>11</v>
      </c>
      <c r="R209" s="55">
        <v>0</v>
      </c>
      <c r="S209" s="55">
        <v>0</v>
      </c>
      <c r="T209" s="57">
        <v>15.8</v>
      </c>
      <c r="U209" s="56">
        <v>37</v>
      </c>
      <c r="V209" s="54">
        <v>11</v>
      </c>
      <c r="W209" s="55">
        <v>0</v>
      </c>
      <c r="X209" s="55">
        <v>0</v>
      </c>
      <c r="Y209" s="57">
        <v>10.8</v>
      </c>
      <c r="Z209" s="53">
        <v>37</v>
      </c>
      <c r="AA209" s="54">
        <v>11</v>
      </c>
      <c r="AB209" s="55">
        <v>0</v>
      </c>
      <c r="AC209" s="55">
        <v>0</v>
      </c>
      <c r="AD209" s="57">
        <v>14.2</v>
      </c>
      <c r="AE209" s="56">
        <v>36</v>
      </c>
      <c r="AF209" s="54">
        <v>10.9</v>
      </c>
      <c r="AG209" s="55">
        <v>0</v>
      </c>
      <c r="AH209" s="55">
        <v>0</v>
      </c>
      <c r="AI209" s="57">
        <v>14</v>
      </c>
      <c r="AJ209" s="56">
        <v>35</v>
      </c>
      <c r="AK209" s="54">
        <v>10.9</v>
      </c>
      <c r="AL209" s="54">
        <v>0</v>
      </c>
      <c r="AM209" s="54">
        <v>0</v>
      </c>
      <c r="AN209" s="57">
        <v>15.4</v>
      </c>
      <c r="AO209" s="53">
        <v>56</v>
      </c>
      <c r="AP209" s="54">
        <v>10.8</v>
      </c>
      <c r="AQ209" s="54">
        <v>280</v>
      </c>
      <c r="AR209" s="54">
        <v>0</v>
      </c>
      <c r="AS209" s="57">
        <v>10.199999999999999</v>
      </c>
      <c r="AT209" s="56">
        <v>27</v>
      </c>
      <c r="AU209" s="57">
        <v>250</v>
      </c>
      <c r="AV209" s="56">
        <v>59.92431640625</v>
      </c>
      <c r="AW209" s="57">
        <v>374.7755106608073</v>
      </c>
      <c r="AX209" s="8"/>
      <c r="AZ209" s="1">
        <v>90</v>
      </c>
    </row>
    <row r="210" spans="3:52" ht="15" customHeight="1" x14ac:dyDescent="0.25">
      <c r="C210" s="42"/>
      <c r="D210" s="43">
        <f>D208</f>
        <v>45674</v>
      </c>
      <c r="E210" s="44">
        <f t="shared" ref="E210:E219" si="20">E209+2/24</f>
        <v>16.416666666666703</v>
      </c>
      <c r="F210" s="45">
        <f t="shared" ref="F210:F273" si="21">F209+(E210-E209)</f>
        <v>45674.416666667137</v>
      </c>
      <c r="G210" s="52">
        <v>39</v>
      </c>
      <c r="H210" s="53">
        <v>38</v>
      </c>
      <c r="I210" s="54">
        <v>11</v>
      </c>
      <c r="J210" s="54">
        <v>350</v>
      </c>
      <c r="K210" s="55">
        <v>0</v>
      </c>
      <c r="L210" s="56">
        <v>39</v>
      </c>
      <c r="M210" s="54">
        <v>11</v>
      </c>
      <c r="N210" s="54">
        <v>300</v>
      </c>
      <c r="O210" s="57">
        <v>0</v>
      </c>
      <c r="P210" s="53">
        <v>38</v>
      </c>
      <c r="Q210" s="54">
        <v>11</v>
      </c>
      <c r="R210" s="55">
        <v>0</v>
      </c>
      <c r="S210" s="55">
        <v>0</v>
      </c>
      <c r="T210" s="57">
        <v>15.6</v>
      </c>
      <c r="U210" s="56">
        <v>36</v>
      </c>
      <c r="V210" s="54">
        <v>11</v>
      </c>
      <c r="W210" s="55">
        <v>0</v>
      </c>
      <c r="X210" s="55">
        <v>0</v>
      </c>
      <c r="Y210" s="57">
        <v>11.2</v>
      </c>
      <c r="Z210" s="53">
        <v>37</v>
      </c>
      <c r="AA210" s="54">
        <v>10.9</v>
      </c>
      <c r="AB210" s="55">
        <v>0</v>
      </c>
      <c r="AC210" s="55">
        <v>0</v>
      </c>
      <c r="AD210" s="57">
        <v>15</v>
      </c>
      <c r="AE210" s="56">
        <v>35</v>
      </c>
      <c r="AF210" s="54">
        <v>10.9</v>
      </c>
      <c r="AG210" s="55">
        <v>0</v>
      </c>
      <c r="AH210" s="55">
        <v>0</v>
      </c>
      <c r="AI210" s="57">
        <v>14.2</v>
      </c>
      <c r="AJ210" s="56">
        <v>35</v>
      </c>
      <c r="AK210" s="54">
        <v>10.9</v>
      </c>
      <c r="AL210" s="54">
        <v>0</v>
      </c>
      <c r="AM210" s="54">
        <v>0</v>
      </c>
      <c r="AN210" s="57">
        <v>14.6</v>
      </c>
      <c r="AO210" s="53">
        <v>34</v>
      </c>
      <c r="AP210" s="54">
        <v>10.9</v>
      </c>
      <c r="AQ210" s="54">
        <v>260</v>
      </c>
      <c r="AR210" s="54">
        <v>0</v>
      </c>
      <c r="AS210" s="57">
        <v>10.6</v>
      </c>
      <c r="AT210" s="56">
        <v>25</v>
      </c>
      <c r="AU210" s="57">
        <v>216</v>
      </c>
      <c r="AV210" s="56">
        <v>59.43603515625</v>
      </c>
      <c r="AW210" s="57">
        <v>378.58953119913735</v>
      </c>
      <c r="AX210" s="8"/>
      <c r="AZ210" s="1">
        <v>90</v>
      </c>
    </row>
    <row r="211" spans="3:52" ht="15" customHeight="1" x14ac:dyDescent="0.25">
      <c r="C211" s="42"/>
      <c r="D211" s="43">
        <f>D208</f>
        <v>45674</v>
      </c>
      <c r="E211" s="44">
        <f t="shared" si="20"/>
        <v>16.500000000000036</v>
      </c>
      <c r="F211" s="45">
        <f t="shared" si="21"/>
        <v>45674.500000000473</v>
      </c>
      <c r="G211" s="52">
        <v>38</v>
      </c>
      <c r="H211" s="53">
        <v>39</v>
      </c>
      <c r="I211" s="54">
        <v>11.3</v>
      </c>
      <c r="J211" s="54">
        <v>350</v>
      </c>
      <c r="K211" s="55">
        <v>0</v>
      </c>
      <c r="L211" s="56">
        <v>40</v>
      </c>
      <c r="M211" s="54">
        <v>10.9</v>
      </c>
      <c r="N211" s="54">
        <v>300</v>
      </c>
      <c r="O211" s="57">
        <v>0</v>
      </c>
      <c r="P211" s="53">
        <v>36</v>
      </c>
      <c r="Q211" s="54">
        <v>10.9</v>
      </c>
      <c r="R211" s="55">
        <v>0</v>
      </c>
      <c r="S211" s="55">
        <v>0</v>
      </c>
      <c r="T211" s="57">
        <v>15.8</v>
      </c>
      <c r="U211" s="56">
        <v>37</v>
      </c>
      <c r="V211" s="54">
        <v>11</v>
      </c>
      <c r="W211" s="55">
        <v>0</v>
      </c>
      <c r="X211" s="55">
        <v>0</v>
      </c>
      <c r="Y211" s="57">
        <v>10.4</v>
      </c>
      <c r="Z211" s="53">
        <v>38</v>
      </c>
      <c r="AA211" s="54">
        <v>11</v>
      </c>
      <c r="AB211" s="55">
        <v>0</v>
      </c>
      <c r="AC211" s="55">
        <v>0</v>
      </c>
      <c r="AD211" s="57">
        <v>18.2</v>
      </c>
      <c r="AE211" s="56">
        <v>36</v>
      </c>
      <c r="AF211" s="54">
        <v>10.9</v>
      </c>
      <c r="AG211" s="55">
        <v>0</v>
      </c>
      <c r="AH211" s="55">
        <v>0</v>
      </c>
      <c r="AI211" s="57">
        <v>13.6</v>
      </c>
      <c r="AJ211" s="56">
        <v>36</v>
      </c>
      <c r="AK211" s="54">
        <v>11</v>
      </c>
      <c r="AL211" s="54">
        <v>0</v>
      </c>
      <c r="AM211" s="54">
        <v>0</v>
      </c>
      <c r="AN211" s="57">
        <v>15</v>
      </c>
      <c r="AO211" s="53">
        <v>35</v>
      </c>
      <c r="AP211" s="54">
        <v>10.9</v>
      </c>
      <c r="AQ211" s="54">
        <v>260</v>
      </c>
      <c r="AR211" s="54">
        <v>0</v>
      </c>
      <c r="AS211" s="57">
        <v>11.8</v>
      </c>
      <c r="AT211" s="56">
        <v>25</v>
      </c>
      <c r="AU211" s="57">
        <v>210</v>
      </c>
      <c r="AV211" s="56">
        <v>59.224445343017599</v>
      </c>
      <c r="AW211" s="57">
        <v>374.55126355489097</v>
      </c>
      <c r="AX211" s="8"/>
      <c r="AZ211" s="1">
        <v>90</v>
      </c>
    </row>
    <row r="212" spans="3:52" ht="15" customHeight="1" x14ac:dyDescent="0.25">
      <c r="C212" s="42"/>
      <c r="D212" s="43">
        <f>D208</f>
        <v>45674</v>
      </c>
      <c r="E212" s="44">
        <f t="shared" si="20"/>
        <v>16.583333333333368</v>
      </c>
      <c r="F212" s="45">
        <f t="shared" si="21"/>
        <v>45674.583333333809</v>
      </c>
      <c r="G212" s="52">
        <v>39</v>
      </c>
      <c r="H212" s="53">
        <v>40</v>
      </c>
      <c r="I212" s="54">
        <v>11.5</v>
      </c>
      <c r="J212" s="54">
        <v>350</v>
      </c>
      <c r="K212" s="55">
        <v>0</v>
      </c>
      <c r="L212" s="56">
        <v>41</v>
      </c>
      <c r="M212" s="54">
        <v>10.8</v>
      </c>
      <c r="N212" s="54">
        <v>350</v>
      </c>
      <c r="O212" s="57">
        <v>0</v>
      </c>
      <c r="P212" s="53">
        <v>37</v>
      </c>
      <c r="Q212" s="54">
        <v>10.8</v>
      </c>
      <c r="R212" s="55">
        <v>0</v>
      </c>
      <c r="S212" s="55">
        <v>0</v>
      </c>
      <c r="T212" s="57">
        <v>15</v>
      </c>
      <c r="U212" s="56">
        <v>37</v>
      </c>
      <c r="V212" s="54">
        <v>10.9</v>
      </c>
      <c r="W212" s="55">
        <v>0</v>
      </c>
      <c r="X212" s="55">
        <v>0</v>
      </c>
      <c r="Y212" s="57">
        <v>10.199999999999999</v>
      </c>
      <c r="Z212" s="53">
        <v>37</v>
      </c>
      <c r="AA212" s="54">
        <v>11</v>
      </c>
      <c r="AB212" s="55">
        <v>0</v>
      </c>
      <c r="AC212" s="55">
        <v>0</v>
      </c>
      <c r="AD212" s="57">
        <v>18.600000000000001</v>
      </c>
      <c r="AE212" s="56">
        <v>36</v>
      </c>
      <c r="AF212" s="54">
        <v>11</v>
      </c>
      <c r="AG212" s="55">
        <v>0</v>
      </c>
      <c r="AH212" s="55">
        <v>0</v>
      </c>
      <c r="AI212" s="57">
        <v>13</v>
      </c>
      <c r="AJ212" s="56">
        <v>36</v>
      </c>
      <c r="AK212" s="54">
        <v>10.9</v>
      </c>
      <c r="AL212" s="54">
        <v>0</v>
      </c>
      <c r="AM212" s="54">
        <v>0</v>
      </c>
      <c r="AN212" s="57">
        <v>14</v>
      </c>
      <c r="AO212" s="53">
        <v>35</v>
      </c>
      <c r="AP212" s="54">
        <v>10.8</v>
      </c>
      <c r="AQ212" s="54">
        <v>250</v>
      </c>
      <c r="AR212" s="54">
        <v>0</v>
      </c>
      <c r="AS212" s="57">
        <v>12</v>
      </c>
      <c r="AT212" s="56">
        <v>26</v>
      </c>
      <c r="AU212" s="57">
        <v>210</v>
      </c>
      <c r="AV212" s="56">
        <v>58.646648406982401</v>
      </c>
      <c r="AW212" s="57">
        <v>379.36197853088379</v>
      </c>
      <c r="AX212" s="8"/>
      <c r="AZ212" s="1">
        <v>90</v>
      </c>
    </row>
    <row r="213" spans="3:52" ht="15" customHeight="1" x14ac:dyDescent="0.25">
      <c r="C213" s="42"/>
      <c r="D213" s="43">
        <f>D208</f>
        <v>45674</v>
      </c>
      <c r="E213" s="44">
        <f t="shared" si="20"/>
        <v>16.6666666666667</v>
      </c>
      <c r="F213" s="45">
        <f t="shared" si="21"/>
        <v>45674.666666667144</v>
      </c>
      <c r="G213" s="52">
        <v>39</v>
      </c>
      <c r="H213" s="53">
        <v>0</v>
      </c>
      <c r="I213" s="54">
        <v>0</v>
      </c>
      <c r="J213" s="54">
        <v>0</v>
      </c>
      <c r="K213" s="55">
        <v>0</v>
      </c>
      <c r="L213" s="56">
        <v>0</v>
      </c>
      <c r="M213" s="54">
        <v>0</v>
      </c>
      <c r="N213" s="54">
        <v>0</v>
      </c>
      <c r="O213" s="57">
        <v>0</v>
      </c>
      <c r="P213" s="53">
        <v>0</v>
      </c>
      <c r="Q213" s="54">
        <v>0</v>
      </c>
      <c r="R213" s="55">
        <v>0</v>
      </c>
      <c r="S213" s="55">
        <v>0</v>
      </c>
      <c r="T213" s="57">
        <v>0</v>
      </c>
      <c r="U213" s="56">
        <v>0</v>
      </c>
      <c r="V213" s="54">
        <v>0</v>
      </c>
      <c r="W213" s="55">
        <v>0</v>
      </c>
      <c r="X213" s="55">
        <v>0</v>
      </c>
      <c r="Y213" s="57">
        <v>0</v>
      </c>
      <c r="Z213" s="53">
        <v>0</v>
      </c>
      <c r="AA213" s="54">
        <v>0</v>
      </c>
      <c r="AB213" s="55">
        <v>0</v>
      </c>
      <c r="AC213" s="55">
        <v>0</v>
      </c>
      <c r="AD213" s="57">
        <v>0</v>
      </c>
      <c r="AE213" s="56">
        <v>0</v>
      </c>
      <c r="AF213" s="54">
        <v>0</v>
      </c>
      <c r="AG213" s="55">
        <v>0</v>
      </c>
      <c r="AH213" s="55">
        <v>0</v>
      </c>
      <c r="AI213" s="57">
        <v>0</v>
      </c>
      <c r="AJ213" s="56">
        <v>0</v>
      </c>
      <c r="AK213" s="54">
        <v>0</v>
      </c>
      <c r="AL213" s="54">
        <v>0</v>
      </c>
      <c r="AM213" s="54">
        <v>0</v>
      </c>
      <c r="AN213" s="57">
        <v>0</v>
      </c>
      <c r="AO213" s="53">
        <v>0</v>
      </c>
      <c r="AP213" s="54">
        <v>0</v>
      </c>
      <c r="AQ213" s="54">
        <v>0</v>
      </c>
      <c r="AR213" s="54">
        <v>0</v>
      </c>
      <c r="AS213" s="57">
        <v>0</v>
      </c>
      <c r="AT213" s="56">
        <v>0</v>
      </c>
      <c r="AU213" s="57">
        <v>0</v>
      </c>
      <c r="AV213" s="56">
        <v>58.439128875732401</v>
      </c>
      <c r="AW213" s="57">
        <v>382.6259883880615</v>
      </c>
      <c r="AX213" s="8"/>
      <c r="AZ213" s="1">
        <v>90</v>
      </c>
    </row>
    <row r="214" spans="3:52" ht="15" customHeight="1" x14ac:dyDescent="0.25">
      <c r="C214" s="42"/>
      <c r="D214" s="43">
        <f>D208</f>
        <v>45674</v>
      </c>
      <c r="E214" s="44">
        <f t="shared" si="20"/>
        <v>16.750000000000032</v>
      </c>
      <c r="F214" s="45">
        <f t="shared" si="21"/>
        <v>45674.75000000048</v>
      </c>
      <c r="G214" s="52">
        <v>34</v>
      </c>
      <c r="H214" s="53">
        <v>37</v>
      </c>
      <c r="I214" s="54">
        <v>11.1</v>
      </c>
      <c r="J214" s="54">
        <v>400</v>
      </c>
      <c r="K214" s="55">
        <v>0</v>
      </c>
      <c r="L214" s="56">
        <v>37</v>
      </c>
      <c r="M214" s="54">
        <v>11.6</v>
      </c>
      <c r="N214" s="54">
        <v>350</v>
      </c>
      <c r="O214" s="57">
        <v>0</v>
      </c>
      <c r="P214" s="53">
        <v>38</v>
      </c>
      <c r="Q214" s="54">
        <v>10.9</v>
      </c>
      <c r="R214" s="55">
        <v>0</v>
      </c>
      <c r="S214" s="55">
        <v>0</v>
      </c>
      <c r="T214" s="57">
        <v>15.2</v>
      </c>
      <c r="U214" s="56">
        <v>37</v>
      </c>
      <c r="V214" s="54">
        <v>11</v>
      </c>
      <c r="W214" s="55">
        <v>0</v>
      </c>
      <c r="X214" s="55">
        <v>0</v>
      </c>
      <c r="Y214" s="57">
        <v>11</v>
      </c>
      <c r="Z214" s="53">
        <v>38</v>
      </c>
      <c r="AA214" s="54">
        <v>10.8</v>
      </c>
      <c r="AB214" s="55">
        <v>0</v>
      </c>
      <c r="AC214" s="55">
        <v>0</v>
      </c>
      <c r="AD214" s="57">
        <v>18</v>
      </c>
      <c r="AE214" s="56">
        <v>35</v>
      </c>
      <c r="AF214" s="54">
        <v>10.9</v>
      </c>
      <c r="AG214" s="55">
        <v>0</v>
      </c>
      <c r="AH214" s="55">
        <v>0</v>
      </c>
      <c r="AI214" s="57">
        <v>13.4</v>
      </c>
      <c r="AJ214" s="56">
        <v>35</v>
      </c>
      <c r="AK214" s="54">
        <v>11</v>
      </c>
      <c r="AL214" s="54">
        <v>0</v>
      </c>
      <c r="AM214" s="54">
        <v>0</v>
      </c>
      <c r="AN214" s="57">
        <v>14.2</v>
      </c>
      <c r="AO214" s="53">
        <v>34</v>
      </c>
      <c r="AP214" s="54">
        <v>10.8</v>
      </c>
      <c r="AQ214" s="54">
        <v>240</v>
      </c>
      <c r="AR214" s="54">
        <v>0</v>
      </c>
      <c r="AS214" s="57">
        <v>11.8</v>
      </c>
      <c r="AT214" s="56">
        <v>25</v>
      </c>
      <c r="AU214" s="57">
        <v>200</v>
      </c>
      <c r="AV214" s="56">
        <v>58.1787109375</v>
      </c>
      <c r="AW214" s="57">
        <v>375.90446554819744</v>
      </c>
      <c r="AX214" s="8"/>
      <c r="AZ214" s="1">
        <v>90</v>
      </c>
    </row>
    <row r="215" spans="3:52" ht="15" customHeight="1" x14ac:dyDescent="0.25">
      <c r="C215" s="42"/>
      <c r="D215" s="43">
        <f>D208</f>
        <v>45674</v>
      </c>
      <c r="E215" s="44">
        <f t="shared" si="20"/>
        <v>16.833333333333364</v>
      </c>
      <c r="F215" s="45">
        <f t="shared" si="21"/>
        <v>45674.833333333816</v>
      </c>
      <c r="G215" s="52">
        <v>38</v>
      </c>
      <c r="H215" s="53">
        <v>37</v>
      </c>
      <c r="I215" s="54">
        <v>11.1</v>
      </c>
      <c r="J215" s="54">
        <v>350</v>
      </c>
      <c r="K215" s="55">
        <v>0</v>
      </c>
      <c r="L215" s="56">
        <v>38</v>
      </c>
      <c r="M215" s="54">
        <v>11</v>
      </c>
      <c r="N215" s="54">
        <v>350</v>
      </c>
      <c r="O215" s="57">
        <v>0</v>
      </c>
      <c r="P215" s="53">
        <v>35</v>
      </c>
      <c r="Q215" s="54">
        <v>10.8</v>
      </c>
      <c r="R215" s="55">
        <v>0</v>
      </c>
      <c r="S215" s="55">
        <v>0</v>
      </c>
      <c r="T215" s="57">
        <v>16</v>
      </c>
      <c r="U215" s="56">
        <v>38</v>
      </c>
      <c r="V215" s="54">
        <v>10.9</v>
      </c>
      <c r="W215" s="55">
        <v>0</v>
      </c>
      <c r="X215" s="55">
        <v>0</v>
      </c>
      <c r="Y215" s="57">
        <v>13</v>
      </c>
      <c r="Z215" s="53">
        <v>34</v>
      </c>
      <c r="AA215" s="54">
        <v>10.9</v>
      </c>
      <c r="AB215" s="55">
        <v>0</v>
      </c>
      <c r="AC215" s="55">
        <v>0</v>
      </c>
      <c r="AD215" s="57">
        <v>18</v>
      </c>
      <c r="AE215" s="56">
        <v>37</v>
      </c>
      <c r="AF215" s="54">
        <v>10.8</v>
      </c>
      <c r="AG215" s="55">
        <v>0</v>
      </c>
      <c r="AH215" s="55">
        <v>0</v>
      </c>
      <c r="AI215" s="57">
        <v>14</v>
      </c>
      <c r="AJ215" s="56">
        <v>38</v>
      </c>
      <c r="AK215" s="54">
        <v>10.6</v>
      </c>
      <c r="AL215" s="54">
        <v>0</v>
      </c>
      <c r="AM215" s="54">
        <v>0</v>
      </c>
      <c r="AN215" s="57">
        <v>16</v>
      </c>
      <c r="AO215" s="53">
        <v>38</v>
      </c>
      <c r="AP215" s="54">
        <v>10.7</v>
      </c>
      <c r="AQ215" s="54">
        <v>310</v>
      </c>
      <c r="AR215" s="54">
        <v>0</v>
      </c>
      <c r="AS215" s="57">
        <v>12</v>
      </c>
      <c r="AT215" s="56">
        <v>25</v>
      </c>
      <c r="AU215" s="57">
        <v>130</v>
      </c>
      <c r="AV215" s="56">
        <v>58.219402313232401</v>
      </c>
      <c r="AW215" s="57">
        <v>385.22087237040199</v>
      </c>
      <c r="AX215" s="8"/>
      <c r="AZ215" s="1">
        <v>90</v>
      </c>
    </row>
    <row r="216" spans="3:52" ht="15" customHeight="1" x14ac:dyDescent="0.25">
      <c r="C216" s="42"/>
      <c r="D216" s="43">
        <f>D208</f>
        <v>45674</v>
      </c>
      <c r="E216" s="44">
        <f t="shared" si="20"/>
        <v>16.916666666666696</v>
      </c>
      <c r="F216" s="45">
        <f t="shared" si="21"/>
        <v>45674.916666667152</v>
      </c>
      <c r="G216" s="52">
        <v>33</v>
      </c>
      <c r="H216" s="53">
        <v>38</v>
      </c>
      <c r="I216" s="54">
        <v>11</v>
      </c>
      <c r="J216" s="54">
        <v>400</v>
      </c>
      <c r="K216" s="55">
        <v>0</v>
      </c>
      <c r="L216" s="56">
        <v>35</v>
      </c>
      <c r="M216" s="54">
        <v>10.9</v>
      </c>
      <c r="N216" s="54">
        <v>350</v>
      </c>
      <c r="O216" s="57">
        <v>0</v>
      </c>
      <c r="P216" s="53">
        <v>36</v>
      </c>
      <c r="Q216" s="54">
        <v>10.8</v>
      </c>
      <c r="R216" s="55">
        <v>0</v>
      </c>
      <c r="S216" s="55">
        <v>0</v>
      </c>
      <c r="T216" s="57">
        <v>16.8</v>
      </c>
      <c r="U216" s="56">
        <v>37</v>
      </c>
      <c r="V216" s="54">
        <v>10.9</v>
      </c>
      <c r="W216" s="55">
        <v>0</v>
      </c>
      <c r="X216" s="55">
        <v>0</v>
      </c>
      <c r="Y216" s="57">
        <v>14</v>
      </c>
      <c r="Z216" s="53">
        <v>35</v>
      </c>
      <c r="AA216" s="54">
        <v>10.9</v>
      </c>
      <c r="AB216" s="55">
        <v>0</v>
      </c>
      <c r="AC216" s="55">
        <v>0</v>
      </c>
      <c r="AD216" s="57">
        <v>17.600000000000001</v>
      </c>
      <c r="AE216" s="56">
        <v>37</v>
      </c>
      <c r="AF216" s="54">
        <v>10.8</v>
      </c>
      <c r="AG216" s="55">
        <v>0</v>
      </c>
      <c r="AH216" s="55">
        <v>0</v>
      </c>
      <c r="AI216" s="57">
        <v>14.2</v>
      </c>
      <c r="AJ216" s="56">
        <v>35</v>
      </c>
      <c r="AK216" s="54">
        <v>10.7</v>
      </c>
      <c r="AL216" s="54">
        <v>0</v>
      </c>
      <c r="AM216" s="54">
        <v>0</v>
      </c>
      <c r="AN216" s="57">
        <v>16.2</v>
      </c>
      <c r="AO216" s="53">
        <v>36</v>
      </c>
      <c r="AP216" s="54">
        <v>10.7</v>
      </c>
      <c r="AQ216" s="54">
        <v>270</v>
      </c>
      <c r="AR216" s="54">
        <v>0</v>
      </c>
      <c r="AS216" s="57">
        <v>12.6</v>
      </c>
      <c r="AT216" s="56">
        <v>24</v>
      </c>
      <c r="AU216" s="57">
        <v>100</v>
      </c>
      <c r="AV216" s="56">
        <v>58.463542938232401</v>
      </c>
      <c r="AW216" s="57">
        <v>386.53995437622069</v>
      </c>
      <c r="AX216" s="8"/>
      <c r="AZ216" s="1">
        <v>90</v>
      </c>
    </row>
    <row r="217" spans="3:52" ht="15" customHeight="1" x14ac:dyDescent="0.25">
      <c r="C217" s="42"/>
      <c r="D217" s="43">
        <f>D208</f>
        <v>45674</v>
      </c>
      <c r="E217" s="44">
        <f t="shared" si="20"/>
        <v>17.000000000000028</v>
      </c>
      <c r="F217" s="45">
        <f t="shared" si="21"/>
        <v>45675.000000000487</v>
      </c>
      <c r="G217" s="52">
        <v>38</v>
      </c>
      <c r="H217" s="53">
        <v>37</v>
      </c>
      <c r="I217" s="54">
        <v>11.1</v>
      </c>
      <c r="J217" s="54">
        <v>400</v>
      </c>
      <c r="K217" s="55">
        <v>0</v>
      </c>
      <c r="L217" s="56">
        <v>38</v>
      </c>
      <c r="M217" s="54">
        <v>10.9</v>
      </c>
      <c r="N217" s="54">
        <v>350</v>
      </c>
      <c r="O217" s="57">
        <v>0</v>
      </c>
      <c r="P217" s="53">
        <v>38</v>
      </c>
      <c r="Q217" s="54">
        <v>10.9</v>
      </c>
      <c r="R217" s="55">
        <v>0</v>
      </c>
      <c r="S217" s="55">
        <v>0</v>
      </c>
      <c r="T217" s="57">
        <v>16.600000000000001</v>
      </c>
      <c r="U217" s="56">
        <v>39</v>
      </c>
      <c r="V217" s="54">
        <v>10.8</v>
      </c>
      <c r="W217" s="55">
        <v>0</v>
      </c>
      <c r="X217" s="55">
        <v>0</v>
      </c>
      <c r="Y217" s="57">
        <v>13.4</v>
      </c>
      <c r="Z217" s="53">
        <v>37</v>
      </c>
      <c r="AA217" s="54">
        <v>10.8</v>
      </c>
      <c r="AB217" s="55">
        <v>0</v>
      </c>
      <c r="AC217" s="55">
        <v>0</v>
      </c>
      <c r="AD217" s="57">
        <v>18.2</v>
      </c>
      <c r="AE217" s="56">
        <v>36</v>
      </c>
      <c r="AF217" s="54">
        <v>10.8</v>
      </c>
      <c r="AG217" s="55">
        <v>0</v>
      </c>
      <c r="AH217" s="55">
        <v>0</v>
      </c>
      <c r="AI217" s="57">
        <v>14.4</v>
      </c>
      <c r="AJ217" s="56">
        <v>37</v>
      </c>
      <c r="AK217" s="54">
        <v>10.8</v>
      </c>
      <c r="AL217" s="54">
        <v>0</v>
      </c>
      <c r="AM217" s="54">
        <v>0</v>
      </c>
      <c r="AN217" s="57">
        <v>16</v>
      </c>
      <c r="AO217" s="53">
        <v>37</v>
      </c>
      <c r="AP217" s="54">
        <v>10.8</v>
      </c>
      <c r="AQ217" s="54">
        <v>300</v>
      </c>
      <c r="AR217" s="54">
        <v>0</v>
      </c>
      <c r="AS217" s="57">
        <v>12.4</v>
      </c>
      <c r="AT217" s="56">
        <v>25</v>
      </c>
      <c r="AU217" s="57">
        <v>120</v>
      </c>
      <c r="AV217" s="56">
        <v>58.272296905517599</v>
      </c>
      <c r="AW217" s="57">
        <v>386.35995407104491</v>
      </c>
      <c r="AX217" s="8"/>
      <c r="AZ217" s="1">
        <v>90</v>
      </c>
    </row>
    <row r="218" spans="3:52" ht="15" customHeight="1" x14ac:dyDescent="0.25">
      <c r="C218" s="42"/>
      <c r="D218" s="43">
        <f>D208</f>
        <v>45674</v>
      </c>
      <c r="E218" s="44">
        <f t="shared" si="20"/>
        <v>17.083333333333361</v>
      </c>
      <c r="F218" s="45">
        <f t="shared" si="21"/>
        <v>45675.083333333823</v>
      </c>
      <c r="G218" s="52">
        <v>37</v>
      </c>
      <c r="H218" s="53">
        <v>37</v>
      </c>
      <c r="I218" s="54">
        <v>11</v>
      </c>
      <c r="J218" s="54">
        <v>400</v>
      </c>
      <c r="K218" s="55">
        <v>0</v>
      </c>
      <c r="L218" s="56">
        <v>37</v>
      </c>
      <c r="M218" s="54">
        <v>11</v>
      </c>
      <c r="N218" s="54">
        <v>350</v>
      </c>
      <c r="O218" s="57">
        <v>0</v>
      </c>
      <c r="P218" s="53">
        <v>37</v>
      </c>
      <c r="Q218" s="54">
        <v>10.9</v>
      </c>
      <c r="R218" s="55">
        <v>0</v>
      </c>
      <c r="S218" s="55">
        <v>0</v>
      </c>
      <c r="T218" s="57">
        <v>16</v>
      </c>
      <c r="U218" s="56">
        <v>38</v>
      </c>
      <c r="V218" s="54">
        <v>10.9</v>
      </c>
      <c r="W218" s="55">
        <v>0</v>
      </c>
      <c r="X218" s="55">
        <v>0</v>
      </c>
      <c r="Y218" s="57">
        <v>13.2</v>
      </c>
      <c r="Z218" s="53">
        <v>37</v>
      </c>
      <c r="AA218" s="54">
        <v>10.8</v>
      </c>
      <c r="AB218" s="55">
        <v>0</v>
      </c>
      <c r="AC218" s="55">
        <v>0</v>
      </c>
      <c r="AD218" s="57">
        <v>18</v>
      </c>
      <c r="AE218" s="56">
        <v>37</v>
      </c>
      <c r="AF218" s="54">
        <v>10.8</v>
      </c>
      <c r="AG218" s="55">
        <v>0</v>
      </c>
      <c r="AH218" s="55">
        <v>0</v>
      </c>
      <c r="AI218" s="57">
        <v>14</v>
      </c>
      <c r="AJ218" s="56">
        <v>36</v>
      </c>
      <c r="AK218" s="54">
        <v>10.8</v>
      </c>
      <c r="AL218" s="54">
        <v>0</v>
      </c>
      <c r="AM218" s="54">
        <v>0</v>
      </c>
      <c r="AN218" s="57">
        <v>16.399999999999999</v>
      </c>
      <c r="AO218" s="53">
        <v>36</v>
      </c>
      <c r="AP218" s="54">
        <v>10.7</v>
      </c>
      <c r="AQ218" s="54">
        <v>290</v>
      </c>
      <c r="AR218" s="54">
        <v>0</v>
      </c>
      <c r="AS218" s="57">
        <v>12</v>
      </c>
      <c r="AT218" s="56">
        <v>26</v>
      </c>
      <c r="AU218" s="57">
        <v>140</v>
      </c>
      <c r="AV218" s="56">
        <v>58.524578094482401</v>
      </c>
      <c r="AW218" s="57">
        <v>387.34194183349609</v>
      </c>
      <c r="AX218" s="8"/>
      <c r="AZ218" s="1">
        <v>90</v>
      </c>
    </row>
    <row r="219" spans="3:52" ht="15" customHeight="1" x14ac:dyDescent="0.25">
      <c r="C219" s="42"/>
      <c r="D219" s="69">
        <f>D208</f>
        <v>45674</v>
      </c>
      <c r="E219" s="70">
        <f t="shared" si="20"/>
        <v>17.166666666666693</v>
      </c>
      <c r="F219" s="71">
        <f t="shared" si="21"/>
        <v>45675.166666667159</v>
      </c>
      <c r="G219" s="60">
        <v>39</v>
      </c>
      <c r="H219" s="61">
        <v>38</v>
      </c>
      <c r="I219" s="62">
        <v>11.1</v>
      </c>
      <c r="J219" s="62">
        <v>400</v>
      </c>
      <c r="K219" s="63">
        <v>0</v>
      </c>
      <c r="L219" s="64">
        <v>38</v>
      </c>
      <c r="M219" s="62">
        <v>10.9</v>
      </c>
      <c r="N219" s="62">
        <v>350</v>
      </c>
      <c r="O219" s="65">
        <v>0</v>
      </c>
      <c r="P219" s="61">
        <v>38</v>
      </c>
      <c r="Q219" s="62">
        <v>10.8</v>
      </c>
      <c r="R219" s="63">
        <v>0</v>
      </c>
      <c r="S219" s="63">
        <v>0</v>
      </c>
      <c r="T219" s="65">
        <v>16</v>
      </c>
      <c r="U219" s="64">
        <v>37</v>
      </c>
      <c r="V219" s="62">
        <v>10.8</v>
      </c>
      <c r="W219" s="63">
        <v>0</v>
      </c>
      <c r="X219" s="63">
        <v>0</v>
      </c>
      <c r="Y219" s="65">
        <v>13.2</v>
      </c>
      <c r="Z219" s="61">
        <v>37</v>
      </c>
      <c r="AA219" s="62">
        <v>10.7</v>
      </c>
      <c r="AB219" s="63">
        <v>0</v>
      </c>
      <c r="AC219" s="63">
        <v>0</v>
      </c>
      <c r="AD219" s="65">
        <v>18.2</v>
      </c>
      <c r="AE219" s="64">
        <v>37</v>
      </c>
      <c r="AF219" s="62">
        <v>10.7</v>
      </c>
      <c r="AG219" s="63">
        <v>0</v>
      </c>
      <c r="AH219" s="63">
        <v>0</v>
      </c>
      <c r="AI219" s="65">
        <v>14.2</v>
      </c>
      <c r="AJ219" s="64">
        <v>37</v>
      </c>
      <c r="AK219" s="62">
        <v>10.7</v>
      </c>
      <c r="AL219" s="62">
        <v>0</v>
      </c>
      <c r="AM219" s="62">
        <v>0</v>
      </c>
      <c r="AN219" s="65">
        <v>16</v>
      </c>
      <c r="AO219" s="61">
        <v>36</v>
      </c>
      <c r="AP219" s="62">
        <v>10.8</v>
      </c>
      <c r="AQ219" s="62">
        <v>270</v>
      </c>
      <c r="AR219" s="62">
        <v>0</v>
      </c>
      <c r="AS219" s="65">
        <v>12.4</v>
      </c>
      <c r="AT219" s="64">
        <v>27</v>
      </c>
      <c r="AU219" s="65">
        <v>110</v>
      </c>
      <c r="AV219" s="64">
        <v>58.292644500732401</v>
      </c>
      <c r="AW219" s="65">
        <v>384.71957015991211</v>
      </c>
      <c r="AX219" s="8"/>
      <c r="AZ219" s="1">
        <v>90</v>
      </c>
    </row>
    <row r="220" spans="3:52" ht="15" customHeight="1" x14ac:dyDescent="0.25">
      <c r="C220" s="42">
        <f>C208+1</f>
        <v>18</v>
      </c>
      <c r="D220" s="66">
        <f>DATE([1]Dash!$F$3,VLOOKUP([1]Dash!$E$3,[1]Abb!$C$3:$D$14,2,FALSE),C220)</f>
        <v>45675</v>
      </c>
      <c r="E220" s="67">
        <f>E219+2/24</f>
        <v>17.250000000000025</v>
      </c>
      <c r="F220" s="68">
        <f t="shared" si="21"/>
        <v>45675.250000000495</v>
      </c>
      <c r="G220" s="46">
        <v>38</v>
      </c>
      <c r="H220" s="47">
        <v>37</v>
      </c>
      <c r="I220" s="48">
        <v>10.9</v>
      </c>
      <c r="J220" s="48">
        <v>400</v>
      </c>
      <c r="K220" s="49">
        <v>0</v>
      </c>
      <c r="L220" s="50">
        <v>37</v>
      </c>
      <c r="M220" s="48">
        <v>10.9</v>
      </c>
      <c r="N220" s="48">
        <v>350</v>
      </c>
      <c r="O220" s="51">
        <v>0</v>
      </c>
      <c r="P220" s="47">
        <v>38</v>
      </c>
      <c r="Q220" s="48">
        <v>11</v>
      </c>
      <c r="R220" s="49">
        <v>0</v>
      </c>
      <c r="S220" s="49">
        <v>0</v>
      </c>
      <c r="T220" s="51">
        <v>17</v>
      </c>
      <c r="U220" s="50">
        <v>37</v>
      </c>
      <c r="V220" s="48">
        <v>11</v>
      </c>
      <c r="W220" s="49">
        <v>0</v>
      </c>
      <c r="X220" s="49">
        <v>0</v>
      </c>
      <c r="Y220" s="51">
        <v>14</v>
      </c>
      <c r="Z220" s="47">
        <v>39</v>
      </c>
      <c r="AA220" s="48">
        <v>11</v>
      </c>
      <c r="AB220" s="49">
        <v>0</v>
      </c>
      <c r="AC220" s="49">
        <v>0</v>
      </c>
      <c r="AD220" s="51">
        <v>17</v>
      </c>
      <c r="AE220" s="50">
        <v>39</v>
      </c>
      <c r="AF220" s="48">
        <v>10.7</v>
      </c>
      <c r="AG220" s="49">
        <v>0</v>
      </c>
      <c r="AH220" s="49">
        <v>0</v>
      </c>
      <c r="AI220" s="51">
        <v>15</v>
      </c>
      <c r="AJ220" s="50">
        <v>37</v>
      </c>
      <c r="AK220" s="48">
        <v>10.8</v>
      </c>
      <c r="AL220" s="48">
        <v>0</v>
      </c>
      <c r="AM220" s="48">
        <v>0</v>
      </c>
      <c r="AN220" s="51">
        <v>16</v>
      </c>
      <c r="AO220" s="47">
        <v>37</v>
      </c>
      <c r="AP220" s="48">
        <v>10.8</v>
      </c>
      <c r="AQ220" s="48">
        <v>250</v>
      </c>
      <c r="AR220" s="48">
        <v>0</v>
      </c>
      <c r="AS220" s="51">
        <v>17</v>
      </c>
      <c r="AT220" s="50">
        <v>28</v>
      </c>
      <c r="AU220" s="51">
        <v>100</v>
      </c>
      <c r="AV220" s="50">
        <v>62.63427734375</v>
      </c>
      <c r="AW220" s="51">
        <v>383.10233459472659</v>
      </c>
      <c r="AX220" s="8"/>
      <c r="AZ220" s="1">
        <v>90</v>
      </c>
    </row>
    <row r="221" spans="3:52" ht="15" customHeight="1" x14ac:dyDescent="0.25">
      <c r="C221" s="42"/>
      <c r="D221" s="43">
        <f>D220</f>
        <v>45675</v>
      </c>
      <c r="E221" s="44">
        <f>E220+2/24</f>
        <v>17.333333333333357</v>
      </c>
      <c r="F221" s="45">
        <f t="shared" si="21"/>
        <v>45675.333333333831</v>
      </c>
      <c r="G221" s="52">
        <v>38</v>
      </c>
      <c r="H221" s="53">
        <v>40</v>
      </c>
      <c r="I221" s="54">
        <v>11.2</v>
      </c>
      <c r="J221" s="54">
        <v>350</v>
      </c>
      <c r="K221" s="55">
        <v>0</v>
      </c>
      <c r="L221" s="56">
        <v>42</v>
      </c>
      <c r="M221" s="54">
        <v>11</v>
      </c>
      <c r="N221" s="54">
        <v>400</v>
      </c>
      <c r="O221" s="57">
        <v>0</v>
      </c>
      <c r="P221" s="53">
        <v>35</v>
      </c>
      <c r="Q221" s="54">
        <v>11</v>
      </c>
      <c r="R221" s="55">
        <v>0</v>
      </c>
      <c r="S221" s="55">
        <v>0</v>
      </c>
      <c r="T221" s="57">
        <v>15.38</v>
      </c>
      <c r="U221" s="56">
        <v>34</v>
      </c>
      <c r="V221" s="54">
        <v>11</v>
      </c>
      <c r="W221" s="55">
        <v>0</v>
      </c>
      <c r="X221" s="55">
        <v>0</v>
      </c>
      <c r="Y221" s="57">
        <v>13.46</v>
      </c>
      <c r="Z221" s="53">
        <v>34</v>
      </c>
      <c r="AA221" s="54">
        <v>11</v>
      </c>
      <c r="AB221" s="55">
        <v>0</v>
      </c>
      <c r="AC221" s="55">
        <v>0</v>
      </c>
      <c r="AD221" s="57">
        <v>13.46</v>
      </c>
      <c r="AE221" s="56">
        <v>36</v>
      </c>
      <c r="AF221" s="54">
        <v>11</v>
      </c>
      <c r="AG221" s="55">
        <v>0</v>
      </c>
      <c r="AH221" s="55">
        <v>0</v>
      </c>
      <c r="AI221" s="57">
        <v>12.3</v>
      </c>
      <c r="AJ221" s="56">
        <v>35</v>
      </c>
      <c r="AK221" s="54">
        <v>10.8</v>
      </c>
      <c r="AL221" s="54">
        <v>0</v>
      </c>
      <c r="AM221" s="54">
        <v>0</v>
      </c>
      <c r="AN221" s="57">
        <v>13.46</v>
      </c>
      <c r="AO221" s="53">
        <v>33</v>
      </c>
      <c r="AP221" s="54">
        <v>10.9</v>
      </c>
      <c r="AQ221" s="54">
        <v>280</v>
      </c>
      <c r="AR221" s="54">
        <v>0</v>
      </c>
      <c r="AS221" s="57">
        <v>12.5</v>
      </c>
      <c r="AT221" s="56">
        <v>25</v>
      </c>
      <c r="AU221" s="57">
        <v>230</v>
      </c>
      <c r="AV221" s="56">
        <v>58.809406280517599</v>
      </c>
      <c r="AW221" s="57">
        <v>365.15263315836586</v>
      </c>
      <c r="AX221" s="8"/>
      <c r="AZ221" s="1">
        <v>90</v>
      </c>
    </row>
    <row r="222" spans="3:52" ht="15" customHeight="1" x14ac:dyDescent="0.25">
      <c r="C222" s="42"/>
      <c r="D222" s="43">
        <f>D220</f>
        <v>45675</v>
      </c>
      <c r="E222" s="44">
        <f t="shared" ref="E222:E231" si="22">E221+2/24</f>
        <v>17.416666666666689</v>
      </c>
      <c r="F222" s="45">
        <f t="shared" si="21"/>
        <v>45675.416666667166</v>
      </c>
      <c r="G222" s="52">
        <v>37</v>
      </c>
      <c r="H222" s="53">
        <v>39</v>
      </c>
      <c r="I222" s="54">
        <v>11.3</v>
      </c>
      <c r="J222" s="54">
        <v>350</v>
      </c>
      <c r="K222" s="55">
        <v>0</v>
      </c>
      <c r="L222" s="56">
        <v>40</v>
      </c>
      <c r="M222" s="54">
        <v>11</v>
      </c>
      <c r="N222" s="54">
        <v>350</v>
      </c>
      <c r="O222" s="57">
        <v>0</v>
      </c>
      <c r="P222" s="53">
        <v>37</v>
      </c>
      <c r="Q222" s="54">
        <v>11</v>
      </c>
      <c r="R222" s="55">
        <v>0</v>
      </c>
      <c r="S222" s="55">
        <v>0</v>
      </c>
      <c r="T222" s="57">
        <v>15.57</v>
      </c>
      <c r="U222" s="56">
        <v>35</v>
      </c>
      <c r="V222" s="54">
        <v>11.1</v>
      </c>
      <c r="W222" s="55">
        <v>0</v>
      </c>
      <c r="X222" s="55">
        <v>0</v>
      </c>
      <c r="Y222" s="57">
        <v>13.26</v>
      </c>
      <c r="Z222" s="53">
        <v>36</v>
      </c>
      <c r="AA222" s="54">
        <v>11</v>
      </c>
      <c r="AB222" s="55">
        <v>0</v>
      </c>
      <c r="AC222" s="55">
        <v>0</v>
      </c>
      <c r="AD222" s="57">
        <v>14.23</v>
      </c>
      <c r="AE222" s="56">
        <v>35</v>
      </c>
      <c r="AF222" s="54">
        <v>11</v>
      </c>
      <c r="AG222" s="55">
        <v>0</v>
      </c>
      <c r="AH222" s="55">
        <v>0</v>
      </c>
      <c r="AI222" s="57">
        <v>11.53</v>
      </c>
      <c r="AJ222" s="56">
        <v>34</v>
      </c>
      <c r="AK222" s="54">
        <v>10.9</v>
      </c>
      <c r="AL222" s="54">
        <v>0</v>
      </c>
      <c r="AM222" s="54">
        <v>0</v>
      </c>
      <c r="AN222" s="57">
        <v>14.03</v>
      </c>
      <c r="AO222" s="53">
        <v>34</v>
      </c>
      <c r="AP222" s="54">
        <v>10.9</v>
      </c>
      <c r="AQ222" s="54">
        <v>270</v>
      </c>
      <c r="AR222" s="54">
        <v>0</v>
      </c>
      <c r="AS222" s="57">
        <v>12.69</v>
      </c>
      <c r="AT222" s="56">
        <v>22</v>
      </c>
      <c r="AU222" s="57">
        <v>220</v>
      </c>
      <c r="AV222" s="56">
        <v>58.14208984375</v>
      </c>
      <c r="AW222" s="57">
        <v>381.93130327860513</v>
      </c>
      <c r="AX222" s="8"/>
      <c r="AZ222" s="1">
        <v>90</v>
      </c>
    </row>
    <row r="223" spans="3:52" ht="15" customHeight="1" x14ac:dyDescent="0.25">
      <c r="C223" s="42"/>
      <c r="D223" s="43">
        <f>D220</f>
        <v>45675</v>
      </c>
      <c r="E223" s="44">
        <f t="shared" si="22"/>
        <v>17.500000000000021</v>
      </c>
      <c r="F223" s="45">
        <f t="shared" si="21"/>
        <v>45675.500000000502</v>
      </c>
      <c r="G223" s="52">
        <v>37</v>
      </c>
      <c r="H223" s="53">
        <v>38</v>
      </c>
      <c r="I223" s="54">
        <v>11</v>
      </c>
      <c r="J223" s="54">
        <v>400</v>
      </c>
      <c r="K223" s="55">
        <v>0</v>
      </c>
      <c r="L223" s="56">
        <v>38</v>
      </c>
      <c r="M223" s="54">
        <v>10.7</v>
      </c>
      <c r="N223" s="54">
        <v>350</v>
      </c>
      <c r="O223" s="57">
        <v>0</v>
      </c>
      <c r="P223" s="53">
        <v>36</v>
      </c>
      <c r="Q223" s="54">
        <v>10.7</v>
      </c>
      <c r="R223" s="55">
        <v>0</v>
      </c>
      <c r="S223" s="55">
        <v>0</v>
      </c>
      <c r="T223" s="57">
        <v>14.42</v>
      </c>
      <c r="U223" s="56">
        <v>36</v>
      </c>
      <c r="V223" s="54">
        <v>10.6</v>
      </c>
      <c r="W223" s="55">
        <v>0</v>
      </c>
      <c r="X223" s="55">
        <v>0</v>
      </c>
      <c r="Y223" s="57">
        <v>14.23</v>
      </c>
      <c r="Z223" s="53">
        <v>34</v>
      </c>
      <c r="AA223" s="54">
        <v>10.6</v>
      </c>
      <c r="AB223" s="55">
        <v>0</v>
      </c>
      <c r="AC223" s="55">
        <v>0</v>
      </c>
      <c r="AD223" s="57">
        <v>14.42</v>
      </c>
      <c r="AE223" s="56">
        <v>36</v>
      </c>
      <c r="AF223" s="54">
        <v>10.6</v>
      </c>
      <c r="AG223" s="55">
        <v>0</v>
      </c>
      <c r="AH223" s="55">
        <v>0</v>
      </c>
      <c r="AI223" s="57">
        <v>12.5</v>
      </c>
      <c r="AJ223" s="56">
        <v>35</v>
      </c>
      <c r="AK223" s="54">
        <v>10.7</v>
      </c>
      <c r="AL223" s="54">
        <v>0</v>
      </c>
      <c r="AM223" s="54">
        <v>0</v>
      </c>
      <c r="AN223" s="57">
        <v>15.38</v>
      </c>
      <c r="AO223" s="53">
        <v>34</v>
      </c>
      <c r="AP223" s="54">
        <v>10.7</v>
      </c>
      <c r="AQ223" s="54">
        <v>270</v>
      </c>
      <c r="AR223" s="54">
        <v>0</v>
      </c>
      <c r="AS223" s="57">
        <v>12.3</v>
      </c>
      <c r="AT223" s="56">
        <v>26</v>
      </c>
      <c r="AU223" s="57">
        <v>220</v>
      </c>
      <c r="AV223" s="56">
        <v>58.7158203125</v>
      </c>
      <c r="AW223" s="57">
        <v>381.90067939758302</v>
      </c>
      <c r="AX223" s="8"/>
      <c r="AZ223" s="1">
        <v>90</v>
      </c>
    </row>
    <row r="224" spans="3:52" ht="15" customHeight="1" x14ac:dyDescent="0.25">
      <c r="C224" s="42"/>
      <c r="D224" s="43">
        <f>D220</f>
        <v>45675</v>
      </c>
      <c r="E224" s="44">
        <f t="shared" si="22"/>
        <v>17.583333333333353</v>
      </c>
      <c r="F224" s="45">
        <f t="shared" si="21"/>
        <v>45675.583333333838</v>
      </c>
      <c r="G224" s="52">
        <v>35</v>
      </c>
      <c r="H224" s="53">
        <v>38</v>
      </c>
      <c r="I224" s="54">
        <v>11.2</v>
      </c>
      <c r="J224" s="54">
        <v>350</v>
      </c>
      <c r="K224" s="55">
        <v>9.1</v>
      </c>
      <c r="L224" s="56">
        <v>37</v>
      </c>
      <c r="M224" s="54">
        <v>10.7</v>
      </c>
      <c r="N224" s="54">
        <v>300</v>
      </c>
      <c r="O224" s="57">
        <v>9</v>
      </c>
      <c r="P224" s="53">
        <v>37</v>
      </c>
      <c r="Q224" s="54">
        <v>10.8</v>
      </c>
      <c r="R224" s="55">
        <v>0</v>
      </c>
      <c r="S224" s="55">
        <v>8.4</v>
      </c>
      <c r="T224" s="57">
        <v>15.38</v>
      </c>
      <c r="U224" s="56">
        <v>35</v>
      </c>
      <c r="V224" s="54">
        <v>10.6</v>
      </c>
      <c r="W224" s="55">
        <v>0</v>
      </c>
      <c r="X224" s="55">
        <v>8.6</v>
      </c>
      <c r="Y224" s="57">
        <v>13.46</v>
      </c>
      <c r="Z224" s="53">
        <v>35</v>
      </c>
      <c r="AA224" s="54">
        <v>10.6</v>
      </c>
      <c r="AB224" s="55">
        <v>0</v>
      </c>
      <c r="AC224" s="55">
        <v>8.4</v>
      </c>
      <c r="AD224" s="57">
        <v>14.23</v>
      </c>
      <c r="AE224" s="56">
        <v>34</v>
      </c>
      <c r="AF224" s="54">
        <v>10.7</v>
      </c>
      <c r="AG224" s="55">
        <v>0</v>
      </c>
      <c r="AH224" s="55">
        <v>8.5</v>
      </c>
      <c r="AI224" s="57">
        <v>12.5</v>
      </c>
      <c r="AJ224" s="56">
        <v>34</v>
      </c>
      <c r="AK224" s="54">
        <v>10.7</v>
      </c>
      <c r="AL224" s="54">
        <v>0</v>
      </c>
      <c r="AM224" s="54">
        <v>8.5</v>
      </c>
      <c r="AN224" s="57">
        <v>14.42</v>
      </c>
      <c r="AO224" s="53">
        <v>35</v>
      </c>
      <c r="AP224" s="54">
        <v>10.6</v>
      </c>
      <c r="AQ224" s="54">
        <v>300</v>
      </c>
      <c r="AR224" s="54">
        <v>8.3000000000000007</v>
      </c>
      <c r="AS224" s="57">
        <v>12.5</v>
      </c>
      <c r="AT224" s="56">
        <v>23</v>
      </c>
      <c r="AU224" s="57">
        <v>260</v>
      </c>
      <c r="AV224" s="56">
        <v>58.353679656982401</v>
      </c>
      <c r="AW224" s="57">
        <v>383.98039601643882</v>
      </c>
      <c r="AX224" s="8"/>
      <c r="AZ224" s="1">
        <v>90</v>
      </c>
    </row>
    <row r="225" spans="3:52" ht="15" customHeight="1" x14ac:dyDescent="0.25">
      <c r="C225" s="42"/>
      <c r="D225" s="43">
        <f>D220</f>
        <v>45675</v>
      </c>
      <c r="E225" s="44">
        <f t="shared" si="22"/>
        <v>17.666666666666686</v>
      </c>
      <c r="F225" s="45">
        <f t="shared" si="21"/>
        <v>45675.666666667174</v>
      </c>
      <c r="G225" s="52">
        <v>34</v>
      </c>
      <c r="H225" s="53">
        <v>38</v>
      </c>
      <c r="I225" s="54">
        <v>11.1</v>
      </c>
      <c r="J225" s="54">
        <v>350</v>
      </c>
      <c r="K225" s="55">
        <v>9</v>
      </c>
      <c r="L225" s="56">
        <v>38</v>
      </c>
      <c r="M225" s="54">
        <v>10.9</v>
      </c>
      <c r="N225" s="54">
        <v>350</v>
      </c>
      <c r="O225" s="57">
        <v>8.8000000000000007</v>
      </c>
      <c r="P225" s="53">
        <v>38</v>
      </c>
      <c r="Q225" s="54">
        <v>10.9</v>
      </c>
      <c r="R225" s="55">
        <v>0</v>
      </c>
      <c r="S225" s="55">
        <v>9.1</v>
      </c>
      <c r="T225" s="57">
        <v>14.42</v>
      </c>
      <c r="U225" s="56">
        <v>37</v>
      </c>
      <c r="V225" s="54">
        <v>10.6</v>
      </c>
      <c r="W225" s="55">
        <v>0</v>
      </c>
      <c r="X225" s="55">
        <v>8.4</v>
      </c>
      <c r="Y225" s="57">
        <v>13.26</v>
      </c>
      <c r="Z225" s="53">
        <v>37</v>
      </c>
      <c r="AA225" s="54">
        <v>10.7</v>
      </c>
      <c r="AB225" s="55">
        <v>0</v>
      </c>
      <c r="AC225" s="55">
        <v>8.9</v>
      </c>
      <c r="AD225" s="57">
        <v>14.23</v>
      </c>
      <c r="AE225" s="56">
        <v>36</v>
      </c>
      <c r="AF225" s="54">
        <v>10.7</v>
      </c>
      <c r="AG225" s="55">
        <v>0</v>
      </c>
      <c r="AH225" s="55">
        <v>8.3000000000000007</v>
      </c>
      <c r="AI225" s="57">
        <v>13.46</v>
      </c>
      <c r="AJ225" s="56">
        <v>35</v>
      </c>
      <c r="AK225" s="54">
        <v>10.8</v>
      </c>
      <c r="AL225" s="54">
        <v>0</v>
      </c>
      <c r="AM225" s="54">
        <v>8.4</v>
      </c>
      <c r="AN225" s="57">
        <v>15.57</v>
      </c>
      <c r="AO225" s="53">
        <v>36</v>
      </c>
      <c r="AP225" s="54">
        <v>10.8</v>
      </c>
      <c r="AQ225" s="54">
        <v>280</v>
      </c>
      <c r="AR225" s="54">
        <v>8.5</v>
      </c>
      <c r="AS225" s="57">
        <v>12.3</v>
      </c>
      <c r="AT225" s="56">
        <v>0</v>
      </c>
      <c r="AU225" s="57">
        <v>0</v>
      </c>
      <c r="AV225" s="56">
        <v>73.98681640625</v>
      </c>
      <c r="AW225" s="57">
        <v>384.29337870279949</v>
      </c>
      <c r="AX225" s="8"/>
      <c r="AZ225" s="1">
        <v>90</v>
      </c>
    </row>
    <row r="226" spans="3:52" ht="15" customHeight="1" x14ac:dyDescent="0.25">
      <c r="C226" s="42"/>
      <c r="D226" s="43">
        <f>D220</f>
        <v>45675</v>
      </c>
      <c r="E226" s="44">
        <f t="shared" si="22"/>
        <v>17.750000000000018</v>
      </c>
      <c r="F226" s="45">
        <f t="shared" si="21"/>
        <v>45675.750000000509</v>
      </c>
      <c r="G226" s="52">
        <v>0</v>
      </c>
      <c r="H226" s="53">
        <v>37</v>
      </c>
      <c r="I226" s="54">
        <v>11.2</v>
      </c>
      <c r="J226" s="54">
        <v>400</v>
      </c>
      <c r="K226" s="55">
        <v>8.9</v>
      </c>
      <c r="L226" s="56">
        <v>36</v>
      </c>
      <c r="M226" s="54">
        <v>11</v>
      </c>
      <c r="N226" s="54">
        <v>350</v>
      </c>
      <c r="O226" s="57">
        <v>9.1</v>
      </c>
      <c r="P226" s="53">
        <v>40</v>
      </c>
      <c r="Q226" s="54">
        <v>10.8</v>
      </c>
      <c r="R226" s="55">
        <v>0</v>
      </c>
      <c r="S226" s="55">
        <v>9</v>
      </c>
      <c r="T226" s="57">
        <v>15.57</v>
      </c>
      <c r="U226" s="56">
        <v>38</v>
      </c>
      <c r="V226" s="54">
        <v>10.7</v>
      </c>
      <c r="W226" s="55">
        <v>0</v>
      </c>
      <c r="X226" s="55">
        <v>8.8000000000000007</v>
      </c>
      <c r="Y226" s="57">
        <v>14.42</v>
      </c>
      <c r="Z226" s="53">
        <v>36</v>
      </c>
      <c r="AA226" s="54">
        <v>10.8</v>
      </c>
      <c r="AB226" s="55">
        <v>0</v>
      </c>
      <c r="AC226" s="55">
        <v>8.8000000000000007</v>
      </c>
      <c r="AD226" s="57">
        <v>13.46</v>
      </c>
      <c r="AE226" s="56">
        <v>35</v>
      </c>
      <c r="AF226" s="54">
        <v>10.8</v>
      </c>
      <c r="AG226" s="55">
        <v>0</v>
      </c>
      <c r="AH226" s="55">
        <v>8.6999999999999993</v>
      </c>
      <c r="AI226" s="57">
        <v>12.5</v>
      </c>
      <c r="AJ226" s="56">
        <v>38</v>
      </c>
      <c r="AK226" s="54">
        <v>10.8</v>
      </c>
      <c r="AL226" s="54">
        <v>0</v>
      </c>
      <c r="AM226" s="54">
        <v>8.6999999999999993</v>
      </c>
      <c r="AN226" s="57">
        <v>15.38</v>
      </c>
      <c r="AO226" s="53">
        <v>35</v>
      </c>
      <c r="AP226" s="54">
        <v>10.7</v>
      </c>
      <c r="AQ226" s="54">
        <v>280</v>
      </c>
      <c r="AR226" s="54">
        <v>8.2100000000000009</v>
      </c>
      <c r="AS226" s="57">
        <v>11.53</v>
      </c>
      <c r="AT226" s="56">
        <v>0</v>
      </c>
      <c r="AU226" s="57">
        <v>0</v>
      </c>
      <c r="AV226" s="56">
        <v>94.881179809570298</v>
      </c>
      <c r="AW226" s="57">
        <v>277.8496332751044</v>
      </c>
      <c r="AX226" s="8"/>
      <c r="AZ226" s="1">
        <v>90</v>
      </c>
    </row>
    <row r="227" spans="3:52" ht="15" customHeight="1" x14ac:dyDescent="0.25">
      <c r="C227" s="42"/>
      <c r="D227" s="43">
        <f>D220</f>
        <v>45675</v>
      </c>
      <c r="E227" s="44">
        <f t="shared" si="22"/>
        <v>17.83333333333335</v>
      </c>
      <c r="F227" s="45">
        <f t="shared" si="21"/>
        <v>45675.833333333845</v>
      </c>
      <c r="G227" s="52">
        <v>41</v>
      </c>
      <c r="H227" s="53">
        <v>38</v>
      </c>
      <c r="I227" s="54">
        <v>11.3</v>
      </c>
      <c r="J227" s="54">
        <v>400</v>
      </c>
      <c r="K227" s="55">
        <v>8.9</v>
      </c>
      <c r="L227" s="56">
        <v>39</v>
      </c>
      <c r="M227" s="54">
        <v>11</v>
      </c>
      <c r="N227" s="54">
        <v>350</v>
      </c>
      <c r="O227" s="57">
        <v>8.6999999999999993</v>
      </c>
      <c r="P227" s="53">
        <v>38</v>
      </c>
      <c r="Q227" s="54">
        <v>10.8</v>
      </c>
      <c r="R227" s="55">
        <v>0</v>
      </c>
      <c r="S227" s="55">
        <v>8.9</v>
      </c>
      <c r="T227" s="57">
        <v>17</v>
      </c>
      <c r="U227" s="56">
        <v>37</v>
      </c>
      <c r="V227" s="54">
        <v>10.8</v>
      </c>
      <c r="W227" s="55">
        <v>0</v>
      </c>
      <c r="X227" s="55">
        <v>8.8000000000000007</v>
      </c>
      <c r="Y227" s="57">
        <v>15</v>
      </c>
      <c r="Z227" s="53">
        <v>37</v>
      </c>
      <c r="AA227" s="54">
        <v>10.7</v>
      </c>
      <c r="AB227" s="55">
        <v>0</v>
      </c>
      <c r="AC227" s="55">
        <v>8.6999999999999993</v>
      </c>
      <c r="AD227" s="57">
        <v>16</v>
      </c>
      <c r="AE227" s="56">
        <v>29</v>
      </c>
      <c r="AF227" s="54">
        <v>10.7</v>
      </c>
      <c r="AG227" s="55">
        <v>0</v>
      </c>
      <c r="AH227" s="55">
        <v>8.8000000000000007</v>
      </c>
      <c r="AI227" s="57">
        <v>8</v>
      </c>
      <c r="AJ227" s="56">
        <v>30</v>
      </c>
      <c r="AK227" s="54">
        <v>10.6</v>
      </c>
      <c r="AL227" s="54">
        <v>0</v>
      </c>
      <c r="AM227" s="54">
        <v>8.9</v>
      </c>
      <c r="AN227" s="57">
        <v>15</v>
      </c>
      <c r="AO227" s="53">
        <v>32</v>
      </c>
      <c r="AP227" s="54">
        <v>10.6</v>
      </c>
      <c r="AQ227" s="54">
        <v>300</v>
      </c>
      <c r="AR227" s="54">
        <v>8.8000000000000007</v>
      </c>
      <c r="AS227" s="57">
        <v>6</v>
      </c>
      <c r="AT227" s="56">
        <v>29</v>
      </c>
      <c r="AU227" s="57">
        <v>230</v>
      </c>
      <c r="AV227" s="56">
        <v>94.868972778320298</v>
      </c>
      <c r="AW227" s="57">
        <v>282.77223219638688</v>
      </c>
      <c r="AX227" s="8"/>
      <c r="AZ227" s="1">
        <v>90</v>
      </c>
    </row>
    <row r="228" spans="3:52" ht="15" customHeight="1" x14ac:dyDescent="0.25">
      <c r="C228" s="42"/>
      <c r="D228" s="43">
        <f>D220</f>
        <v>45675</v>
      </c>
      <c r="E228" s="44">
        <f t="shared" si="22"/>
        <v>17.916666666666682</v>
      </c>
      <c r="F228" s="45">
        <f t="shared" si="21"/>
        <v>45675.916666667181</v>
      </c>
      <c r="G228" s="52">
        <v>39</v>
      </c>
      <c r="H228" s="53">
        <v>39</v>
      </c>
      <c r="I228" s="54">
        <v>11.1</v>
      </c>
      <c r="J228" s="54">
        <v>300</v>
      </c>
      <c r="K228" s="55">
        <v>8.8000000000000007</v>
      </c>
      <c r="L228" s="56">
        <v>38</v>
      </c>
      <c r="M228" s="54">
        <v>10.9</v>
      </c>
      <c r="N228" s="54">
        <v>250</v>
      </c>
      <c r="O228" s="57">
        <v>8.6999999999999993</v>
      </c>
      <c r="P228" s="53">
        <v>38</v>
      </c>
      <c r="Q228" s="54">
        <v>10.9</v>
      </c>
      <c r="R228" s="55">
        <v>0</v>
      </c>
      <c r="S228" s="55">
        <v>8.9</v>
      </c>
      <c r="T228" s="57">
        <v>17.2</v>
      </c>
      <c r="U228" s="56">
        <v>38</v>
      </c>
      <c r="V228" s="54">
        <v>10.8</v>
      </c>
      <c r="W228" s="55">
        <v>0</v>
      </c>
      <c r="X228" s="55">
        <v>8.6999999999999993</v>
      </c>
      <c r="Y228" s="57">
        <v>14.8</v>
      </c>
      <c r="Z228" s="53">
        <v>38</v>
      </c>
      <c r="AA228" s="54">
        <v>10.7</v>
      </c>
      <c r="AB228" s="55">
        <v>0</v>
      </c>
      <c r="AC228" s="55">
        <v>8.6999999999999993</v>
      </c>
      <c r="AD228" s="57">
        <v>16.399999999999999</v>
      </c>
      <c r="AE228" s="56">
        <v>32</v>
      </c>
      <c r="AF228" s="54">
        <v>10.7</v>
      </c>
      <c r="AG228" s="55">
        <v>0</v>
      </c>
      <c r="AH228" s="55">
        <v>8.8000000000000007</v>
      </c>
      <c r="AI228" s="57">
        <v>13</v>
      </c>
      <c r="AJ228" s="56">
        <v>35</v>
      </c>
      <c r="AK228" s="54">
        <v>10.6</v>
      </c>
      <c r="AL228" s="54">
        <v>0</v>
      </c>
      <c r="AM228" s="54">
        <v>8.8000000000000007</v>
      </c>
      <c r="AN228" s="57">
        <v>15.6</v>
      </c>
      <c r="AO228" s="53">
        <v>35</v>
      </c>
      <c r="AP228" s="54">
        <v>10.7</v>
      </c>
      <c r="AQ228" s="54">
        <v>280</v>
      </c>
      <c r="AR228" s="54">
        <v>8.8000000000000007</v>
      </c>
      <c r="AS228" s="57">
        <v>13</v>
      </c>
      <c r="AT228" s="56">
        <v>28</v>
      </c>
      <c r="AU228" s="57">
        <v>200</v>
      </c>
      <c r="AV228" s="56">
        <v>94.90966796875</v>
      </c>
      <c r="AW228" s="57">
        <v>287.22306688747682</v>
      </c>
      <c r="AX228" s="8"/>
      <c r="AZ228" s="1">
        <v>90</v>
      </c>
    </row>
    <row r="229" spans="3:52" ht="15" customHeight="1" x14ac:dyDescent="0.25">
      <c r="C229" s="42"/>
      <c r="D229" s="43">
        <f>D220</f>
        <v>45675</v>
      </c>
      <c r="E229" s="44">
        <f t="shared" si="22"/>
        <v>18.000000000000014</v>
      </c>
      <c r="F229" s="45">
        <f t="shared" si="21"/>
        <v>45676.000000000517</v>
      </c>
      <c r="G229" s="52">
        <v>40</v>
      </c>
      <c r="H229" s="53">
        <v>38</v>
      </c>
      <c r="I229" s="54">
        <v>11</v>
      </c>
      <c r="J229" s="54">
        <v>300</v>
      </c>
      <c r="K229" s="55">
        <v>9.1</v>
      </c>
      <c r="L229" s="56">
        <v>37</v>
      </c>
      <c r="M229" s="54">
        <v>10.9</v>
      </c>
      <c r="N229" s="54">
        <v>300</v>
      </c>
      <c r="O229" s="57">
        <v>8.9</v>
      </c>
      <c r="P229" s="53">
        <v>37</v>
      </c>
      <c r="Q229" s="54">
        <v>10.9</v>
      </c>
      <c r="R229" s="55">
        <v>0</v>
      </c>
      <c r="S229" s="55">
        <v>9.1999999999999993</v>
      </c>
      <c r="T229" s="57">
        <v>17</v>
      </c>
      <c r="U229" s="56">
        <v>39</v>
      </c>
      <c r="V229" s="54">
        <v>10.8</v>
      </c>
      <c r="W229" s="55">
        <v>0</v>
      </c>
      <c r="X229" s="55">
        <v>8.8000000000000007</v>
      </c>
      <c r="Y229" s="57">
        <v>15</v>
      </c>
      <c r="Z229" s="53">
        <v>39</v>
      </c>
      <c r="AA229" s="54">
        <v>10.8</v>
      </c>
      <c r="AB229" s="55">
        <v>0</v>
      </c>
      <c r="AC229" s="55">
        <v>8.6</v>
      </c>
      <c r="AD229" s="57">
        <v>16.600000000000001</v>
      </c>
      <c r="AE229" s="56">
        <v>36</v>
      </c>
      <c r="AF229" s="54">
        <v>10.7</v>
      </c>
      <c r="AG229" s="55">
        <v>0</v>
      </c>
      <c r="AH229" s="55">
        <v>8.5</v>
      </c>
      <c r="AI229" s="57">
        <v>14</v>
      </c>
      <c r="AJ229" s="56">
        <v>36</v>
      </c>
      <c r="AK229" s="54">
        <v>10.6</v>
      </c>
      <c r="AL229" s="54">
        <v>0</v>
      </c>
      <c r="AM229" s="54">
        <v>8.9</v>
      </c>
      <c r="AN229" s="57">
        <v>15.4</v>
      </c>
      <c r="AO229" s="53">
        <v>36</v>
      </c>
      <c r="AP229" s="54">
        <v>10.6</v>
      </c>
      <c r="AQ229" s="54">
        <v>300</v>
      </c>
      <c r="AR229" s="54">
        <v>8.6</v>
      </c>
      <c r="AS229" s="57">
        <v>14</v>
      </c>
      <c r="AT229" s="56">
        <v>27</v>
      </c>
      <c r="AU229" s="57">
        <v>210</v>
      </c>
      <c r="AV229" s="56">
        <v>95.048011779785199</v>
      </c>
      <c r="AW229" s="57">
        <v>289.90981837739236</v>
      </c>
      <c r="AX229" s="8"/>
      <c r="AZ229" s="1">
        <v>90</v>
      </c>
    </row>
    <row r="230" spans="3:52" ht="15" customHeight="1" x14ac:dyDescent="0.25">
      <c r="C230" s="42"/>
      <c r="D230" s="43">
        <f>D220</f>
        <v>45675</v>
      </c>
      <c r="E230" s="44">
        <f t="shared" si="22"/>
        <v>18.083333333333346</v>
      </c>
      <c r="F230" s="45">
        <f t="shared" si="21"/>
        <v>45676.083333333852</v>
      </c>
      <c r="G230" s="52">
        <v>41</v>
      </c>
      <c r="H230" s="53">
        <v>39</v>
      </c>
      <c r="I230" s="54">
        <v>11</v>
      </c>
      <c r="J230" s="54">
        <v>350</v>
      </c>
      <c r="K230" s="55">
        <v>9.4</v>
      </c>
      <c r="L230" s="56">
        <v>38</v>
      </c>
      <c r="M230" s="54">
        <v>10.9</v>
      </c>
      <c r="N230" s="54">
        <v>300</v>
      </c>
      <c r="O230" s="57">
        <v>9.1</v>
      </c>
      <c r="P230" s="53">
        <v>38</v>
      </c>
      <c r="Q230" s="54">
        <v>11</v>
      </c>
      <c r="R230" s="55">
        <v>0</v>
      </c>
      <c r="S230" s="55">
        <v>9.1999999999999993</v>
      </c>
      <c r="T230" s="57">
        <v>17.2</v>
      </c>
      <c r="U230" s="56">
        <v>39</v>
      </c>
      <c r="V230" s="54">
        <v>10.9</v>
      </c>
      <c r="W230" s="55">
        <v>0</v>
      </c>
      <c r="X230" s="55">
        <v>9.1999999999999993</v>
      </c>
      <c r="Y230" s="57">
        <v>15</v>
      </c>
      <c r="Z230" s="53">
        <v>38</v>
      </c>
      <c r="AA230" s="54">
        <v>10.8</v>
      </c>
      <c r="AB230" s="55">
        <v>0</v>
      </c>
      <c r="AC230" s="55">
        <v>8.8000000000000007</v>
      </c>
      <c r="AD230" s="57">
        <v>16.399999999999999</v>
      </c>
      <c r="AE230" s="56">
        <v>36</v>
      </c>
      <c r="AF230" s="54">
        <v>10.5</v>
      </c>
      <c r="AG230" s="55">
        <v>0</v>
      </c>
      <c r="AH230" s="55">
        <v>8.9</v>
      </c>
      <c r="AI230" s="57">
        <v>14</v>
      </c>
      <c r="AJ230" s="56">
        <v>35</v>
      </c>
      <c r="AK230" s="54">
        <v>10.6</v>
      </c>
      <c r="AL230" s="54">
        <v>0</v>
      </c>
      <c r="AM230" s="54">
        <v>8.6999999999999993</v>
      </c>
      <c r="AN230" s="57">
        <v>15.2</v>
      </c>
      <c r="AO230" s="53">
        <v>35</v>
      </c>
      <c r="AP230" s="54">
        <v>10.6</v>
      </c>
      <c r="AQ230" s="54">
        <v>290</v>
      </c>
      <c r="AR230" s="54">
        <v>8.6999999999999993</v>
      </c>
      <c r="AS230" s="57">
        <v>14</v>
      </c>
      <c r="AT230" s="56">
        <v>26</v>
      </c>
      <c r="AU230" s="57">
        <v>300</v>
      </c>
      <c r="AV230" s="56">
        <v>95.023597717285199</v>
      </c>
      <c r="AW230" s="57">
        <v>291.06481545773954</v>
      </c>
      <c r="AX230" s="8"/>
      <c r="AZ230" s="1">
        <v>90</v>
      </c>
    </row>
    <row r="231" spans="3:52" ht="15" customHeight="1" x14ac:dyDescent="0.25">
      <c r="C231" s="42"/>
      <c r="D231" s="69">
        <f>D220</f>
        <v>45675</v>
      </c>
      <c r="E231" s="70">
        <f t="shared" si="22"/>
        <v>18.166666666666679</v>
      </c>
      <c r="F231" s="71">
        <f t="shared" si="21"/>
        <v>45676.166666667188</v>
      </c>
      <c r="G231" s="60">
        <v>37</v>
      </c>
      <c r="H231" s="61">
        <v>39</v>
      </c>
      <c r="I231" s="62">
        <v>11</v>
      </c>
      <c r="J231" s="62">
        <v>350</v>
      </c>
      <c r="K231" s="63">
        <v>8.9</v>
      </c>
      <c r="L231" s="64">
        <v>37</v>
      </c>
      <c r="M231" s="62">
        <v>10.9</v>
      </c>
      <c r="N231" s="62">
        <v>350</v>
      </c>
      <c r="O231" s="65">
        <v>8.8000000000000007</v>
      </c>
      <c r="P231" s="61">
        <v>37</v>
      </c>
      <c r="Q231" s="62">
        <v>11</v>
      </c>
      <c r="R231" s="63">
        <v>0</v>
      </c>
      <c r="S231" s="63">
        <v>9.6999999999999993</v>
      </c>
      <c r="T231" s="65">
        <v>17</v>
      </c>
      <c r="U231" s="64">
        <v>38</v>
      </c>
      <c r="V231" s="62">
        <v>10.9</v>
      </c>
      <c r="W231" s="63">
        <v>0</v>
      </c>
      <c r="X231" s="63">
        <v>9.5</v>
      </c>
      <c r="Y231" s="65">
        <v>15</v>
      </c>
      <c r="Z231" s="61">
        <v>38</v>
      </c>
      <c r="AA231" s="62">
        <v>10.8</v>
      </c>
      <c r="AB231" s="63">
        <v>0</v>
      </c>
      <c r="AC231" s="63">
        <v>9.1999999999999993</v>
      </c>
      <c r="AD231" s="65">
        <v>16.399999999999999</v>
      </c>
      <c r="AE231" s="64">
        <v>35</v>
      </c>
      <c r="AF231" s="62">
        <v>10.5</v>
      </c>
      <c r="AG231" s="63">
        <v>0</v>
      </c>
      <c r="AH231" s="63">
        <v>9</v>
      </c>
      <c r="AI231" s="65">
        <v>14.2</v>
      </c>
      <c r="AJ231" s="64">
        <v>36</v>
      </c>
      <c r="AK231" s="62">
        <v>10.6</v>
      </c>
      <c r="AL231" s="62">
        <v>0</v>
      </c>
      <c r="AM231" s="62">
        <v>9.1999999999999993</v>
      </c>
      <c r="AN231" s="65">
        <v>15</v>
      </c>
      <c r="AO231" s="61">
        <v>34</v>
      </c>
      <c r="AP231" s="62">
        <v>10.6</v>
      </c>
      <c r="AQ231" s="62">
        <v>290</v>
      </c>
      <c r="AR231" s="62">
        <v>8.6999999999999993</v>
      </c>
      <c r="AS231" s="65">
        <v>14</v>
      </c>
      <c r="AT231" s="64">
        <v>28</v>
      </c>
      <c r="AU231" s="65">
        <v>200</v>
      </c>
      <c r="AV231" s="64">
        <v>95.060218811035199</v>
      </c>
      <c r="AW231" s="65">
        <v>293.45570430175866</v>
      </c>
      <c r="AX231" s="8"/>
      <c r="AZ231" s="1">
        <v>90</v>
      </c>
    </row>
    <row r="232" spans="3:52" ht="15" customHeight="1" x14ac:dyDescent="0.25">
      <c r="C232" s="42">
        <f>C220+1</f>
        <v>19</v>
      </c>
      <c r="D232" s="66">
        <f>DATE([1]Dash!$F$3,VLOOKUP([1]Dash!$E$3,[1]Abb!$C$3:$D$14,2,FALSE),C232)</f>
        <v>45676</v>
      </c>
      <c r="E232" s="67">
        <f>E231+2/24</f>
        <v>18.250000000000011</v>
      </c>
      <c r="F232" s="68">
        <f t="shared" si="21"/>
        <v>45676.250000000524</v>
      </c>
      <c r="G232" s="46">
        <v>32</v>
      </c>
      <c r="H232" s="47">
        <v>39</v>
      </c>
      <c r="I232" s="48">
        <v>11.4</v>
      </c>
      <c r="J232" s="48">
        <v>350</v>
      </c>
      <c r="K232" s="49">
        <v>9.1999999999999993</v>
      </c>
      <c r="L232" s="50">
        <v>38</v>
      </c>
      <c r="M232" s="48">
        <v>11.1</v>
      </c>
      <c r="N232" s="48">
        <v>350</v>
      </c>
      <c r="O232" s="51">
        <v>9.3000000000000007</v>
      </c>
      <c r="P232" s="47">
        <v>38</v>
      </c>
      <c r="Q232" s="48">
        <v>10.7</v>
      </c>
      <c r="R232" s="49">
        <v>0</v>
      </c>
      <c r="S232" s="49">
        <v>9.5</v>
      </c>
      <c r="T232" s="51">
        <v>17.72</v>
      </c>
      <c r="U232" s="50">
        <v>39</v>
      </c>
      <c r="V232" s="48">
        <v>10.9</v>
      </c>
      <c r="W232" s="49">
        <v>0</v>
      </c>
      <c r="X232" s="49">
        <v>9.3000000000000007</v>
      </c>
      <c r="Y232" s="51">
        <v>15</v>
      </c>
      <c r="Z232" s="47">
        <v>40</v>
      </c>
      <c r="AA232" s="48">
        <v>10.7</v>
      </c>
      <c r="AB232" s="49">
        <v>0</v>
      </c>
      <c r="AC232" s="49">
        <v>8.9</v>
      </c>
      <c r="AD232" s="51">
        <v>16</v>
      </c>
      <c r="AE232" s="50">
        <v>35</v>
      </c>
      <c r="AF232" s="48">
        <v>10.8</v>
      </c>
      <c r="AG232" s="49">
        <v>0</v>
      </c>
      <c r="AH232" s="49">
        <v>9.1</v>
      </c>
      <c r="AI232" s="51">
        <v>14.6</v>
      </c>
      <c r="AJ232" s="50">
        <v>34</v>
      </c>
      <c r="AK232" s="48">
        <v>10.8</v>
      </c>
      <c r="AL232" s="48">
        <v>0</v>
      </c>
      <c r="AM232" s="48">
        <v>9.1</v>
      </c>
      <c r="AN232" s="51">
        <v>15.2</v>
      </c>
      <c r="AO232" s="47">
        <v>35</v>
      </c>
      <c r="AP232" s="48">
        <v>10.8</v>
      </c>
      <c r="AQ232" s="48">
        <v>280</v>
      </c>
      <c r="AR232" s="48">
        <v>8.8000000000000007</v>
      </c>
      <c r="AS232" s="51">
        <v>17</v>
      </c>
      <c r="AT232" s="50">
        <v>29</v>
      </c>
      <c r="AU232" s="51">
        <v>190</v>
      </c>
      <c r="AV232" s="50">
        <v>95.015457153320298</v>
      </c>
      <c r="AW232" s="51">
        <v>294.39019065697988</v>
      </c>
      <c r="AX232" s="8"/>
      <c r="AZ232" s="1">
        <v>90</v>
      </c>
    </row>
    <row r="233" spans="3:52" ht="15" customHeight="1" x14ac:dyDescent="0.25">
      <c r="C233" s="42"/>
      <c r="D233" s="43">
        <f>D232</f>
        <v>45676</v>
      </c>
      <c r="E233" s="44">
        <f>E232+2/24</f>
        <v>18.333333333333343</v>
      </c>
      <c r="F233" s="45">
        <f t="shared" si="21"/>
        <v>45676.33333333386</v>
      </c>
      <c r="G233" s="52">
        <v>32</v>
      </c>
      <c r="H233" s="53">
        <v>34</v>
      </c>
      <c r="I233" s="54">
        <v>11.4</v>
      </c>
      <c r="J233" s="54">
        <v>350</v>
      </c>
      <c r="K233" s="55">
        <v>9.1</v>
      </c>
      <c r="L233" s="56">
        <v>36</v>
      </c>
      <c r="M233" s="54">
        <v>11.2</v>
      </c>
      <c r="N233" s="54">
        <v>350</v>
      </c>
      <c r="O233" s="57">
        <v>8.1</v>
      </c>
      <c r="P233" s="53">
        <v>35</v>
      </c>
      <c r="Q233" s="54">
        <v>11</v>
      </c>
      <c r="R233" s="55">
        <v>0</v>
      </c>
      <c r="S233" s="55">
        <v>8.6</v>
      </c>
      <c r="T233" s="57">
        <v>14.42</v>
      </c>
      <c r="U233" s="56">
        <v>33</v>
      </c>
      <c r="V233" s="54">
        <v>11</v>
      </c>
      <c r="W233" s="55">
        <v>0</v>
      </c>
      <c r="X233" s="55">
        <v>7.6</v>
      </c>
      <c r="Y233" s="57">
        <v>12.5</v>
      </c>
      <c r="Z233" s="53">
        <v>34</v>
      </c>
      <c r="AA233" s="54">
        <v>11</v>
      </c>
      <c r="AB233" s="55">
        <v>0</v>
      </c>
      <c r="AC233" s="55">
        <v>7.4</v>
      </c>
      <c r="AD233" s="57">
        <v>15.38</v>
      </c>
      <c r="AE233" s="56">
        <v>32</v>
      </c>
      <c r="AF233" s="54">
        <v>10.9</v>
      </c>
      <c r="AG233" s="55">
        <v>0</v>
      </c>
      <c r="AH233" s="55">
        <v>7.4</v>
      </c>
      <c r="AI233" s="57">
        <v>12.5</v>
      </c>
      <c r="AJ233" s="56">
        <v>31</v>
      </c>
      <c r="AK233" s="54">
        <v>10.8</v>
      </c>
      <c r="AL233" s="54">
        <v>0</v>
      </c>
      <c r="AM233" s="54">
        <v>6.5</v>
      </c>
      <c r="AN233" s="57">
        <v>15.38</v>
      </c>
      <c r="AO233" s="53">
        <v>32</v>
      </c>
      <c r="AP233" s="54">
        <v>10.8</v>
      </c>
      <c r="AQ233" s="54">
        <v>280</v>
      </c>
      <c r="AR233" s="54">
        <v>6</v>
      </c>
      <c r="AS233" s="57">
        <v>14.42</v>
      </c>
      <c r="AT233" s="56">
        <v>23</v>
      </c>
      <c r="AU233" s="57">
        <v>250</v>
      </c>
      <c r="AV233" s="56">
        <v>94.925941467285199</v>
      </c>
      <c r="AW233" s="57">
        <v>295.50250832891714</v>
      </c>
      <c r="AX233" s="8"/>
      <c r="AZ233" s="1">
        <v>90</v>
      </c>
    </row>
    <row r="234" spans="3:52" ht="15" customHeight="1" x14ac:dyDescent="0.25">
      <c r="C234" s="42"/>
      <c r="D234" s="43">
        <f>D232</f>
        <v>45676</v>
      </c>
      <c r="E234" s="44">
        <f t="shared" ref="E234:E243" si="23">E233+2/24</f>
        <v>18.416666666666675</v>
      </c>
      <c r="F234" s="45">
        <f t="shared" si="21"/>
        <v>45676.416666667195</v>
      </c>
      <c r="G234" s="52">
        <v>34</v>
      </c>
      <c r="H234" s="53">
        <v>36</v>
      </c>
      <c r="I234" s="54">
        <v>11.3</v>
      </c>
      <c r="J234" s="54">
        <v>350</v>
      </c>
      <c r="K234" s="55">
        <v>9</v>
      </c>
      <c r="L234" s="56">
        <v>36</v>
      </c>
      <c r="M234" s="54">
        <v>11.2</v>
      </c>
      <c r="N234" s="54">
        <v>350</v>
      </c>
      <c r="O234" s="57">
        <v>9</v>
      </c>
      <c r="P234" s="53">
        <v>34</v>
      </c>
      <c r="Q234" s="54">
        <v>11.1</v>
      </c>
      <c r="R234" s="55">
        <v>0</v>
      </c>
      <c r="S234" s="55">
        <v>8.9</v>
      </c>
      <c r="T234" s="57">
        <v>14.8</v>
      </c>
      <c r="U234" s="56">
        <v>34</v>
      </c>
      <c r="V234" s="54">
        <v>11</v>
      </c>
      <c r="W234" s="55">
        <v>0</v>
      </c>
      <c r="X234" s="55">
        <v>7.5</v>
      </c>
      <c r="Y234" s="57">
        <v>12.3</v>
      </c>
      <c r="Z234" s="53">
        <v>35</v>
      </c>
      <c r="AA234" s="54">
        <v>11</v>
      </c>
      <c r="AB234" s="55">
        <v>0</v>
      </c>
      <c r="AC234" s="55">
        <v>7.5</v>
      </c>
      <c r="AD234" s="57">
        <v>15.76</v>
      </c>
      <c r="AE234" s="56">
        <v>32</v>
      </c>
      <c r="AF234" s="54">
        <v>11</v>
      </c>
      <c r="AG234" s="55">
        <v>0</v>
      </c>
      <c r="AH234" s="55">
        <v>7.6</v>
      </c>
      <c r="AI234" s="57">
        <v>12.5</v>
      </c>
      <c r="AJ234" s="56">
        <v>33</v>
      </c>
      <c r="AK234" s="54">
        <v>10.8</v>
      </c>
      <c r="AL234" s="54">
        <v>0</v>
      </c>
      <c r="AM234" s="54">
        <v>6.7</v>
      </c>
      <c r="AN234" s="57">
        <v>15.19</v>
      </c>
      <c r="AO234" s="53">
        <v>33</v>
      </c>
      <c r="AP234" s="54">
        <v>10.9</v>
      </c>
      <c r="AQ234" s="54">
        <v>280</v>
      </c>
      <c r="AR234" s="54">
        <v>6.4</v>
      </c>
      <c r="AS234" s="57">
        <v>14.8</v>
      </c>
      <c r="AT234" s="56">
        <v>23</v>
      </c>
      <c r="AU234" s="57">
        <v>240</v>
      </c>
      <c r="AV234" s="56">
        <v>94.999183654785199</v>
      </c>
      <c r="AW234" s="57">
        <v>294.95454791809124</v>
      </c>
      <c r="AX234" s="8"/>
      <c r="AZ234" s="1">
        <v>90</v>
      </c>
    </row>
    <row r="235" spans="3:52" ht="15" customHeight="1" x14ac:dyDescent="0.25">
      <c r="C235" s="42"/>
      <c r="D235" s="43">
        <f>D232</f>
        <v>45676</v>
      </c>
      <c r="E235" s="44">
        <f t="shared" si="23"/>
        <v>18.500000000000007</v>
      </c>
      <c r="F235" s="45">
        <f t="shared" si="21"/>
        <v>45676.500000000531</v>
      </c>
      <c r="G235" s="52">
        <v>37</v>
      </c>
      <c r="H235" s="53">
        <v>35</v>
      </c>
      <c r="I235" s="54">
        <v>11.3</v>
      </c>
      <c r="J235" s="54">
        <v>350</v>
      </c>
      <c r="K235" s="55">
        <v>8.9</v>
      </c>
      <c r="L235" s="56">
        <v>36</v>
      </c>
      <c r="M235" s="54">
        <v>11.1</v>
      </c>
      <c r="N235" s="54">
        <v>350</v>
      </c>
      <c r="O235" s="57">
        <v>9.3000000000000007</v>
      </c>
      <c r="P235" s="53">
        <v>35</v>
      </c>
      <c r="Q235" s="54">
        <v>11.1</v>
      </c>
      <c r="R235" s="55">
        <v>0</v>
      </c>
      <c r="S235" s="55">
        <v>8.9</v>
      </c>
      <c r="T235" s="57">
        <v>15</v>
      </c>
      <c r="U235" s="56">
        <v>34</v>
      </c>
      <c r="V235" s="54">
        <v>11.1</v>
      </c>
      <c r="W235" s="55">
        <v>0</v>
      </c>
      <c r="X235" s="55">
        <v>7.8</v>
      </c>
      <c r="Y235" s="57">
        <v>12.88</v>
      </c>
      <c r="Z235" s="53">
        <v>33</v>
      </c>
      <c r="AA235" s="54">
        <v>11</v>
      </c>
      <c r="AB235" s="55">
        <v>0</v>
      </c>
      <c r="AC235" s="55">
        <v>7.5</v>
      </c>
      <c r="AD235" s="57">
        <v>13.07</v>
      </c>
      <c r="AE235" s="56">
        <v>33</v>
      </c>
      <c r="AF235" s="54">
        <v>10.9</v>
      </c>
      <c r="AG235" s="55">
        <v>0</v>
      </c>
      <c r="AH235" s="55">
        <v>7.6</v>
      </c>
      <c r="AI235" s="57">
        <v>13.83</v>
      </c>
      <c r="AJ235" s="56">
        <v>31</v>
      </c>
      <c r="AK235" s="54">
        <v>10.7</v>
      </c>
      <c r="AL235" s="54">
        <v>0</v>
      </c>
      <c r="AM235" s="54">
        <v>7.2</v>
      </c>
      <c r="AN235" s="57">
        <v>15.76</v>
      </c>
      <c r="AO235" s="53">
        <v>32</v>
      </c>
      <c r="AP235" s="54">
        <v>10.8</v>
      </c>
      <c r="AQ235" s="54">
        <v>290</v>
      </c>
      <c r="AR235" s="54">
        <v>7.1</v>
      </c>
      <c r="AS235" s="57">
        <v>15.76</v>
      </c>
      <c r="AT235" s="56">
        <v>25</v>
      </c>
      <c r="AU235" s="57">
        <v>240</v>
      </c>
      <c r="AV235" s="56">
        <v>95.060218811035199</v>
      </c>
      <c r="AW235" s="57">
        <v>294.19053778412439</v>
      </c>
      <c r="AX235" s="8"/>
      <c r="AZ235" s="1">
        <v>90</v>
      </c>
    </row>
    <row r="236" spans="3:52" ht="15" customHeight="1" x14ac:dyDescent="0.25">
      <c r="C236" s="42"/>
      <c r="D236" s="43">
        <f>D232</f>
        <v>45676</v>
      </c>
      <c r="E236" s="44">
        <f t="shared" si="23"/>
        <v>18.583333333333339</v>
      </c>
      <c r="F236" s="45">
        <f t="shared" si="21"/>
        <v>45676.583333333867</v>
      </c>
      <c r="G236" s="52">
        <v>40</v>
      </c>
      <c r="H236" s="53">
        <v>36</v>
      </c>
      <c r="I236" s="54">
        <v>11.1</v>
      </c>
      <c r="J236" s="54">
        <v>400</v>
      </c>
      <c r="K236" s="55">
        <v>9</v>
      </c>
      <c r="L236" s="56">
        <v>35</v>
      </c>
      <c r="M236" s="54">
        <v>11.1</v>
      </c>
      <c r="N236" s="54">
        <v>350</v>
      </c>
      <c r="O236" s="57">
        <v>9.1999999999999993</v>
      </c>
      <c r="P236" s="53">
        <v>36</v>
      </c>
      <c r="Q236" s="54">
        <v>11.1</v>
      </c>
      <c r="R236" s="55">
        <v>0</v>
      </c>
      <c r="S236" s="55">
        <v>8.6999999999999993</v>
      </c>
      <c r="T236" s="57">
        <v>14.42</v>
      </c>
      <c r="U236" s="56">
        <v>36</v>
      </c>
      <c r="V236" s="54">
        <v>11</v>
      </c>
      <c r="W236" s="55">
        <v>0</v>
      </c>
      <c r="X236" s="55">
        <v>7.8</v>
      </c>
      <c r="Y236" s="57">
        <v>12.5</v>
      </c>
      <c r="Z236" s="53">
        <v>35</v>
      </c>
      <c r="AA236" s="54">
        <v>10.9</v>
      </c>
      <c r="AB236" s="55">
        <v>0</v>
      </c>
      <c r="AC236" s="55">
        <v>7.8</v>
      </c>
      <c r="AD236" s="57">
        <v>11.92</v>
      </c>
      <c r="AE236" s="56">
        <v>35</v>
      </c>
      <c r="AF236" s="54">
        <v>10.8</v>
      </c>
      <c r="AG236" s="55">
        <v>0</v>
      </c>
      <c r="AH236" s="55">
        <v>7.8</v>
      </c>
      <c r="AI236" s="57">
        <v>13.46</v>
      </c>
      <c r="AJ236" s="56">
        <v>31</v>
      </c>
      <c r="AK236" s="54">
        <v>10.6</v>
      </c>
      <c r="AL236" s="54">
        <v>0</v>
      </c>
      <c r="AM236" s="54">
        <v>7.3</v>
      </c>
      <c r="AN236" s="57">
        <v>15.38</v>
      </c>
      <c r="AO236" s="53">
        <v>34</v>
      </c>
      <c r="AP236" s="54">
        <v>10.6</v>
      </c>
      <c r="AQ236" s="54">
        <v>280</v>
      </c>
      <c r="AR236" s="54">
        <v>6.8</v>
      </c>
      <c r="AS236" s="57">
        <v>16.34</v>
      </c>
      <c r="AT236" s="56">
        <v>24</v>
      </c>
      <c r="AU236" s="57">
        <v>250</v>
      </c>
      <c r="AV236" s="56">
        <v>94.98291015625</v>
      </c>
      <c r="AW236" s="57">
        <v>297.81599627087513</v>
      </c>
      <c r="AX236" s="8"/>
      <c r="AZ236" s="1">
        <v>90</v>
      </c>
    </row>
    <row r="237" spans="3:52" ht="15" customHeight="1" x14ac:dyDescent="0.25">
      <c r="C237" s="42"/>
      <c r="D237" s="43">
        <f>D232</f>
        <v>45676</v>
      </c>
      <c r="E237" s="44">
        <f t="shared" si="23"/>
        <v>18.666666666666671</v>
      </c>
      <c r="F237" s="45">
        <f t="shared" si="21"/>
        <v>45676.666666667203</v>
      </c>
      <c r="G237" s="52">
        <v>39</v>
      </c>
      <c r="H237" s="53">
        <v>37</v>
      </c>
      <c r="I237" s="54">
        <v>11.2</v>
      </c>
      <c r="J237" s="54">
        <v>400</v>
      </c>
      <c r="K237" s="55">
        <v>9.1</v>
      </c>
      <c r="L237" s="56">
        <v>36</v>
      </c>
      <c r="M237" s="54">
        <v>11.4</v>
      </c>
      <c r="N237" s="54">
        <v>300</v>
      </c>
      <c r="O237" s="57">
        <v>8.9</v>
      </c>
      <c r="P237" s="53">
        <v>34</v>
      </c>
      <c r="Q237" s="54">
        <v>11.4</v>
      </c>
      <c r="R237" s="55">
        <v>0</v>
      </c>
      <c r="S237" s="55">
        <v>8.8000000000000007</v>
      </c>
      <c r="T237" s="57">
        <v>6.73</v>
      </c>
      <c r="U237" s="56">
        <v>35</v>
      </c>
      <c r="V237" s="54">
        <v>10.9</v>
      </c>
      <c r="W237" s="55">
        <v>0</v>
      </c>
      <c r="X237" s="55">
        <v>7.6</v>
      </c>
      <c r="Y237" s="57">
        <v>12.88</v>
      </c>
      <c r="Z237" s="53">
        <v>34</v>
      </c>
      <c r="AA237" s="54">
        <v>10.9</v>
      </c>
      <c r="AB237" s="55">
        <v>0</v>
      </c>
      <c r="AC237" s="55">
        <v>7.8</v>
      </c>
      <c r="AD237" s="57">
        <v>14.42</v>
      </c>
      <c r="AE237" s="56">
        <v>34</v>
      </c>
      <c r="AF237" s="54">
        <v>10.8</v>
      </c>
      <c r="AG237" s="55">
        <v>0</v>
      </c>
      <c r="AH237" s="55">
        <v>7.8</v>
      </c>
      <c r="AI237" s="57">
        <v>13.46</v>
      </c>
      <c r="AJ237" s="56">
        <v>32</v>
      </c>
      <c r="AK237" s="54">
        <v>10.6</v>
      </c>
      <c r="AL237" s="54">
        <v>0</v>
      </c>
      <c r="AM237" s="54">
        <v>7</v>
      </c>
      <c r="AN237" s="57">
        <v>15.19</v>
      </c>
      <c r="AO237" s="53">
        <v>33</v>
      </c>
      <c r="AP237" s="54">
        <v>10.7</v>
      </c>
      <c r="AQ237" s="54">
        <v>270</v>
      </c>
      <c r="AR237" s="54">
        <v>6.9</v>
      </c>
      <c r="AS237" s="57">
        <v>15.38</v>
      </c>
      <c r="AT237" s="56">
        <v>22</v>
      </c>
      <c r="AU237" s="57">
        <v>230</v>
      </c>
      <c r="AV237" s="56">
        <v>94.942214965820298</v>
      </c>
      <c r="AW237" s="57">
        <v>293.90154856523344</v>
      </c>
      <c r="AX237" s="8"/>
      <c r="AZ237" s="1">
        <v>90</v>
      </c>
    </row>
    <row r="238" spans="3:52" ht="15" customHeight="1" x14ac:dyDescent="0.25">
      <c r="C238" s="42"/>
      <c r="D238" s="43">
        <f>D232</f>
        <v>45676</v>
      </c>
      <c r="E238" s="44">
        <f t="shared" si="23"/>
        <v>18.750000000000004</v>
      </c>
      <c r="F238" s="45">
        <f t="shared" si="21"/>
        <v>45676.750000000538</v>
      </c>
      <c r="G238" s="52">
        <v>37</v>
      </c>
      <c r="H238" s="53">
        <v>38</v>
      </c>
      <c r="I238" s="54">
        <v>11.2</v>
      </c>
      <c r="J238" s="54">
        <v>500</v>
      </c>
      <c r="K238" s="55">
        <v>9.6</v>
      </c>
      <c r="L238" s="56">
        <v>35</v>
      </c>
      <c r="M238" s="54">
        <v>11.3</v>
      </c>
      <c r="N238" s="54">
        <v>550</v>
      </c>
      <c r="O238" s="57">
        <v>9.1</v>
      </c>
      <c r="P238" s="53">
        <v>34</v>
      </c>
      <c r="Q238" s="54">
        <v>11.2</v>
      </c>
      <c r="R238" s="55">
        <v>0</v>
      </c>
      <c r="S238" s="55">
        <v>8.3000000000000007</v>
      </c>
      <c r="T238" s="57">
        <v>7.69</v>
      </c>
      <c r="U238" s="56">
        <v>34</v>
      </c>
      <c r="V238" s="54">
        <v>11.1</v>
      </c>
      <c r="W238" s="55">
        <v>0</v>
      </c>
      <c r="X238" s="55">
        <v>8.6999999999999993</v>
      </c>
      <c r="Y238" s="57">
        <v>12.88</v>
      </c>
      <c r="Z238" s="53">
        <v>34</v>
      </c>
      <c r="AA238" s="54">
        <v>10.9</v>
      </c>
      <c r="AB238" s="55">
        <v>0</v>
      </c>
      <c r="AC238" s="55">
        <v>7.7</v>
      </c>
      <c r="AD238" s="57">
        <v>13.07</v>
      </c>
      <c r="AE238" s="56">
        <v>34</v>
      </c>
      <c r="AF238" s="54">
        <v>10.9</v>
      </c>
      <c r="AG238" s="55">
        <v>0</v>
      </c>
      <c r="AH238" s="55">
        <v>7.4</v>
      </c>
      <c r="AI238" s="57">
        <v>13.46</v>
      </c>
      <c r="AJ238" s="56">
        <v>32</v>
      </c>
      <c r="AK238" s="54">
        <v>10.7</v>
      </c>
      <c r="AL238" s="54">
        <v>0</v>
      </c>
      <c r="AM238" s="54">
        <v>7.1</v>
      </c>
      <c r="AN238" s="57">
        <v>15.76</v>
      </c>
      <c r="AO238" s="53">
        <v>33</v>
      </c>
      <c r="AP238" s="54">
        <v>10.8</v>
      </c>
      <c r="AQ238" s="54">
        <v>270</v>
      </c>
      <c r="AR238" s="54">
        <v>6.8</v>
      </c>
      <c r="AS238" s="57">
        <v>10.34</v>
      </c>
      <c r="AT238" s="56">
        <v>23</v>
      </c>
      <c r="AU238" s="57">
        <v>220</v>
      </c>
      <c r="AV238" s="56">
        <v>95.133460998535199</v>
      </c>
      <c r="AW238" s="57">
        <v>318.77592099273267</v>
      </c>
      <c r="AX238" s="8"/>
      <c r="AZ238" s="1">
        <v>90</v>
      </c>
    </row>
    <row r="239" spans="3:52" ht="15" customHeight="1" x14ac:dyDescent="0.25">
      <c r="C239" s="42"/>
      <c r="D239" s="43">
        <f>D232</f>
        <v>45676</v>
      </c>
      <c r="E239" s="44">
        <f t="shared" si="23"/>
        <v>18.833333333333336</v>
      </c>
      <c r="F239" s="45">
        <f t="shared" si="21"/>
        <v>45676.833333333874</v>
      </c>
      <c r="G239" s="52">
        <v>41</v>
      </c>
      <c r="H239" s="53">
        <v>39</v>
      </c>
      <c r="I239" s="54">
        <v>11.2</v>
      </c>
      <c r="J239" s="54">
        <v>400</v>
      </c>
      <c r="K239" s="55">
        <v>9.4</v>
      </c>
      <c r="L239" s="56">
        <v>37</v>
      </c>
      <c r="M239" s="54">
        <v>11.3</v>
      </c>
      <c r="N239" s="54">
        <v>500</v>
      </c>
      <c r="O239" s="57">
        <v>9.3000000000000007</v>
      </c>
      <c r="P239" s="53">
        <v>34</v>
      </c>
      <c r="Q239" s="54">
        <v>11.2</v>
      </c>
      <c r="R239" s="55">
        <v>0</v>
      </c>
      <c r="S239" s="55">
        <v>9.3000000000000007</v>
      </c>
      <c r="T239" s="57">
        <v>7</v>
      </c>
      <c r="U239" s="56">
        <v>35</v>
      </c>
      <c r="V239" s="54">
        <v>11.1</v>
      </c>
      <c r="W239" s="55">
        <v>0</v>
      </c>
      <c r="X239" s="55">
        <v>8.6999999999999993</v>
      </c>
      <c r="Y239" s="57">
        <v>13</v>
      </c>
      <c r="Z239" s="53">
        <v>38</v>
      </c>
      <c r="AA239" s="54">
        <v>11</v>
      </c>
      <c r="AB239" s="55">
        <v>0</v>
      </c>
      <c r="AC239" s="55">
        <v>8.8000000000000007</v>
      </c>
      <c r="AD239" s="57">
        <v>18</v>
      </c>
      <c r="AE239" s="56">
        <v>35</v>
      </c>
      <c r="AF239" s="54">
        <v>11</v>
      </c>
      <c r="AG239" s="55">
        <v>0</v>
      </c>
      <c r="AH239" s="55">
        <v>8.1999999999999993</v>
      </c>
      <c r="AI239" s="57">
        <v>14</v>
      </c>
      <c r="AJ239" s="56">
        <v>36</v>
      </c>
      <c r="AK239" s="54">
        <v>10.8</v>
      </c>
      <c r="AL239" s="54">
        <v>0</v>
      </c>
      <c r="AM239" s="54">
        <v>8.3000000000000007</v>
      </c>
      <c r="AN239" s="57">
        <v>16</v>
      </c>
      <c r="AO239" s="53">
        <v>35</v>
      </c>
      <c r="AP239" s="54">
        <v>10.8</v>
      </c>
      <c r="AQ239" s="54">
        <v>290</v>
      </c>
      <c r="AR239" s="54">
        <v>7.8</v>
      </c>
      <c r="AS239" s="57">
        <v>18</v>
      </c>
      <c r="AT239" s="56">
        <v>26</v>
      </c>
      <c r="AU239" s="57">
        <v>220</v>
      </c>
      <c r="AV239" s="56">
        <v>94.999183654785199</v>
      </c>
      <c r="AW239" s="57">
        <v>292.70459546471636</v>
      </c>
      <c r="AX239" s="8"/>
      <c r="AZ239" s="1">
        <v>90</v>
      </c>
    </row>
    <row r="240" spans="3:52" ht="15" customHeight="1" x14ac:dyDescent="0.25">
      <c r="C240" s="42"/>
      <c r="D240" s="43">
        <f>D232</f>
        <v>45676</v>
      </c>
      <c r="E240" s="44">
        <f t="shared" si="23"/>
        <v>18.916666666666668</v>
      </c>
      <c r="F240" s="45">
        <f t="shared" si="21"/>
        <v>45676.91666666721</v>
      </c>
      <c r="G240" s="52">
        <v>37</v>
      </c>
      <c r="H240" s="53">
        <v>39</v>
      </c>
      <c r="I240" s="54">
        <v>10.9</v>
      </c>
      <c r="J240" s="54">
        <v>450</v>
      </c>
      <c r="K240" s="55">
        <v>10.199999999999999</v>
      </c>
      <c r="L240" s="56">
        <v>37</v>
      </c>
      <c r="M240" s="54">
        <v>11.1</v>
      </c>
      <c r="N240" s="54">
        <v>450</v>
      </c>
      <c r="O240" s="57">
        <v>10.1</v>
      </c>
      <c r="P240" s="53">
        <v>34</v>
      </c>
      <c r="Q240" s="54">
        <v>11.2</v>
      </c>
      <c r="R240" s="55">
        <v>0</v>
      </c>
      <c r="S240" s="55">
        <v>9.5</v>
      </c>
      <c r="T240" s="57">
        <v>5</v>
      </c>
      <c r="U240" s="56">
        <v>36</v>
      </c>
      <c r="V240" s="54">
        <v>11</v>
      </c>
      <c r="W240" s="55">
        <v>0</v>
      </c>
      <c r="X240" s="55">
        <v>9.1</v>
      </c>
      <c r="Y240" s="57">
        <v>14</v>
      </c>
      <c r="Z240" s="53">
        <v>37</v>
      </c>
      <c r="AA240" s="54">
        <v>11</v>
      </c>
      <c r="AB240" s="55">
        <v>0</v>
      </c>
      <c r="AC240" s="55">
        <v>8.6999999999999993</v>
      </c>
      <c r="AD240" s="57">
        <v>18</v>
      </c>
      <c r="AE240" s="56">
        <v>36</v>
      </c>
      <c r="AF240" s="54">
        <v>11</v>
      </c>
      <c r="AG240" s="55">
        <v>0</v>
      </c>
      <c r="AH240" s="55">
        <v>8.5</v>
      </c>
      <c r="AI240" s="57">
        <v>14.2</v>
      </c>
      <c r="AJ240" s="56">
        <v>35</v>
      </c>
      <c r="AK240" s="54">
        <v>10.8</v>
      </c>
      <c r="AL240" s="54">
        <v>0</v>
      </c>
      <c r="AM240" s="54">
        <v>8.6999999999999993</v>
      </c>
      <c r="AN240" s="57">
        <v>16.600000000000001</v>
      </c>
      <c r="AO240" s="53">
        <v>34</v>
      </c>
      <c r="AP240" s="54">
        <v>10.7</v>
      </c>
      <c r="AQ240" s="54">
        <v>280</v>
      </c>
      <c r="AR240" s="54">
        <v>9.5</v>
      </c>
      <c r="AS240" s="57">
        <v>18.2</v>
      </c>
      <c r="AT240" s="56">
        <v>24</v>
      </c>
      <c r="AU240" s="57">
        <v>200</v>
      </c>
      <c r="AV240" s="56">
        <v>94.925941467285199</v>
      </c>
      <c r="AW240" s="57">
        <v>291.67293640181111</v>
      </c>
      <c r="AX240" s="8"/>
      <c r="AZ240" s="1">
        <v>90</v>
      </c>
    </row>
    <row r="241" spans="3:52" ht="15" customHeight="1" x14ac:dyDescent="0.25">
      <c r="C241" s="42"/>
      <c r="D241" s="43">
        <f>D232</f>
        <v>45676</v>
      </c>
      <c r="E241" s="44">
        <f t="shared" si="23"/>
        <v>19</v>
      </c>
      <c r="F241" s="45">
        <f t="shared" si="21"/>
        <v>45677.000000000546</v>
      </c>
      <c r="G241" s="52">
        <v>38</v>
      </c>
      <c r="H241" s="53">
        <v>39</v>
      </c>
      <c r="I241" s="54">
        <v>10.9</v>
      </c>
      <c r="J241" s="54">
        <v>450</v>
      </c>
      <c r="K241" s="55">
        <v>9.8000000000000007</v>
      </c>
      <c r="L241" s="56">
        <v>37</v>
      </c>
      <c r="M241" s="54">
        <v>11.1</v>
      </c>
      <c r="N241" s="54">
        <v>400</v>
      </c>
      <c r="O241" s="57">
        <v>9.6999999999999993</v>
      </c>
      <c r="P241" s="53">
        <v>36</v>
      </c>
      <c r="Q241" s="54">
        <v>11</v>
      </c>
      <c r="R241" s="55">
        <v>0</v>
      </c>
      <c r="S241" s="55">
        <v>9.1999999999999993</v>
      </c>
      <c r="T241" s="57">
        <v>12</v>
      </c>
      <c r="U241" s="56">
        <v>36</v>
      </c>
      <c r="V241" s="54">
        <v>11</v>
      </c>
      <c r="W241" s="55">
        <v>0</v>
      </c>
      <c r="X241" s="55">
        <v>9.3000000000000007</v>
      </c>
      <c r="Y241" s="57">
        <v>7</v>
      </c>
      <c r="Z241" s="53">
        <v>37</v>
      </c>
      <c r="AA241" s="54">
        <v>11</v>
      </c>
      <c r="AB241" s="55">
        <v>0</v>
      </c>
      <c r="AC241" s="55">
        <v>8.5</v>
      </c>
      <c r="AD241" s="57">
        <v>17</v>
      </c>
      <c r="AE241" s="56">
        <v>36</v>
      </c>
      <c r="AF241" s="54">
        <v>11</v>
      </c>
      <c r="AG241" s="55">
        <v>0</v>
      </c>
      <c r="AH241" s="55">
        <v>8.1999999999999993</v>
      </c>
      <c r="AI241" s="57">
        <v>14.4</v>
      </c>
      <c r="AJ241" s="56">
        <v>35</v>
      </c>
      <c r="AK241" s="54">
        <v>10.9</v>
      </c>
      <c r="AL241" s="54">
        <v>0</v>
      </c>
      <c r="AM241" s="54">
        <v>8.5</v>
      </c>
      <c r="AN241" s="57">
        <v>16.3</v>
      </c>
      <c r="AO241" s="53">
        <v>35</v>
      </c>
      <c r="AP241" s="54">
        <v>10.9</v>
      </c>
      <c r="AQ241" s="54">
        <v>270</v>
      </c>
      <c r="AR241" s="54">
        <v>9.3000000000000007</v>
      </c>
      <c r="AS241" s="57">
        <v>17.8</v>
      </c>
      <c r="AT241" s="56">
        <v>24</v>
      </c>
      <c r="AU241" s="57">
        <v>190</v>
      </c>
      <c r="AV241" s="56">
        <v>94.95849609375</v>
      </c>
      <c r="AW241" s="57">
        <v>284.90632259535295</v>
      </c>
      <c r="AX241" s="8"/>
      <c r="AZ241" s="1">
        <v>90</v>
      </c>
    </row>
    <row r="242" spans="3:52" ht="15" customHeight="1" x14ac:dyDescent="0.25">
      <c r="C242" s="42"/>
      <c r="D242" s="43">
        <f>D232</f>
        <v>45676</v>
      </c>
      <c r="E242" s="44">
        <f t="shared" si="23"/>
        <v>19.083333333333332</v>
      </c>
      <c r="F242" s="45">
        <f t="shared" si="21"/>
        <v>45677.083333333881</v>
      </c>
      <c r="G242" s="52">
        <v>38</v>
      </c>
      <c r="H242" s="53">
        <v>39</v>
      </c>
      <c r="I242" s="54">
        <v>11</v>
      </c>
      <c r="J242" s="54">
        <v>450</v>
      </c>
      <c r="K242" s="55">
        <v>10.4</v>
      </c>
      <c r="L242" s="56">
        <v>37</v>
      </c>
      <c r="M242" s="54">
        <v>10.9</v>
      </c>
      <c r="N242" s="54">
        <v>350</v>
      </c>
      <c r="O242" s="57">
        <v>10.199999999999999</v>
      </c>
      <c r="P242" s="53">
        <v>34</v>
      </c>
      <c r="Q242" s="54">
        <v>10.9</v>
      </c>
      <c r="R242" s="55">
        <v>0</v>
      </c>
      <c r="S242" s="55">
        <v>9.3000000000000007</v>
      </c>
      <c r="T242" s="57">
        <v>14</v>
      </c>
      <c r="U242" s="56">
        <v>35</v>
      </c>
      <c r="V242" s="54">
        <v>11.1</v>
      </c>
      <c r="W242" s="55">
        <v>0</v>
      </c>
      <c r="X242" s="55">
        <v>8.8000000000000007</v>
      </c>
      <c r="Y242" s="57">
        <v>3</v>
      </c>
      <c r="Z242" s="53">
        <v>35</v>
      </c>
      <c r="AA242" s="54">
        <v>11.1</v>
      </c>
      <c r="AB242" s="55">
        <v>0</v>
      </c>
      <c r="AC242" s="55">
        <v>8.9</v>
      </c>
      <c r="AD242" s="57">
        <v>18.2</v>
      </c>
      <c r="AE242" s="56">
        <v>36</v>
      </c>
      <c r="AF242" s="54">
        <v>11</v>
      </c>
      <c r="AG242" s="55">
        <v>0</v>
      </c>
      <c r="AH242" s="55">
        <v>8.5</v>
      </c>
      <c r="AI242" s="57">
        <v>14.2</v>
      </c>
      <c r="AJ242" s="56">
        <v>36</v>
      </c>
      <c r="AK242" s="54">
        <v>10.9</v>
      </c>
      <c r="AL242" s="54">
        <v>0</v>
      </c>
      <c r="AM242" s="54">
        <v>8.8000000000000007</v>
      </c>
      <c r="AN242" s="57">
        <v>16</v>
      </c>
      <c r="AO242" s="53">
        <v>36</v>
      </c>
      <c r="AP242" s="54">
        <v>10.9</v>
      </c>
      <c r="AQ242" s="54">
        <v>320</v>
      </c>
      <c r="AR242" s="54">
        <v>9.1999999999999993</v>
      </c>
      <c r="AS242" s="57">
        <v>18</v>
      </c>
      <c r="AT242" s="56">
        <v>26</v>
      </c>
      <c r="AU242" s="57">
        <v>240</v>
      </c>
      <c r="AV242" s="56">
        <v>94.962562561035199</v>
      </c>
      <c r="AW242" s="57">
        <v>284.10542032085357</v>
      </c>
      <c r="AX242" s="8"/>
      <c r="AZ242" s="1">
        <v>90</v>
      </c>
    </row>
    <row r="243" spans="3:52" ht="15" customHeight="1" x14ac:dyDescent="0.25">
      <c r="C243" s="42"/>
      <c r="D243" s="69">
        <f>D232</f>
        <v>45676</v>
      </c>
      <c r="E243" s="70">
        <f t="shared" si="23"/>
        <v>19.166666666666664</v>
      </c>
      <c r="F243" s="71">
        <f t="shared" si="21"/>
        <v>45677.166666667217</v>
      </c>
      <c r="G243" s="60">
        <v>39</v>
      </c>
      <c r="H243" s="61">
        <v>39</v>
      </c>
      <c r="I243" s="62">
        <v>10.6</v>
      </c>
      <c r="J243" s="62">
        <v>400</v>
      </c>
      <c r="K243" s="63">
        <v>10.199999999999999</v>
      </c>
      <c r="L243" s="64">
        <v>38</v>
      </c>
      <c r="M243" s="62">
        <v>10.9</v>
      </c>
      <c r="N243" s="62">
        <v>350</v>
      </c>
      <c r="O243" s="65">
        <v>9.8000000000000007</v>
      </c>
      <c r="P243" s="61">
        <v>35</v>
      </c>
      <c r="Q243" s="62">
        <v>10.9</v>
      </c>
      <c r="R243" s="63">
        <v>0</v>
      </c>
      <c r="S243" s="63">
        <v>8.9</v>
      </c>
      <c r="T243" s="65">
        <v>15</v>
      </c>
      <c r="U243" s="64">
        <v>34</v>
      </c>
      <c r="V243" s="62">
        <v>11.1</v>
      </c>
      <c r="W243" s="63">
        <v>0</v>
      </c>
      <c r="X243" s="63">
        <v>9.1</v>
      </c>
      <c r="Y243" s="65">
        <v>12</v>
      </c>
      <c r="Z243" s="61">
        <v>35</v>
      </c>
      <c r="AA243" s="62">
        <v>11</v>
      </c>
      <c r="AB243" s="63">
        <v>0</v>
      </c>
      <c r="AC243" s="63">
        <v>8.6999999999999993</v>
      </c>
      <c r="AD243" s="65">
        <v>10</v>
      </c>
      <c r="AE243" s="64">
        <v>36</v>
      </c>
      <c r="AF243" s="62">
        <v>11</v>
      </c>
      <c r="AG243" s="63">
        <v>0</v>
      </c>
      <c r="AH243" s="63">
        <v>8.9</v>
      </c>
      <c r="AI243" s="65">
        <v>14</v>
      </c>
      <c r="AJ243" s="64">
        <v>35</v>
      </c>
      <c r="AK243" s="62">
        <v>10.9</v>
      </c>
      <c r="AL243" s="62">
        <v>0</v>
      </c>
      <c r="AM243" s="62">
        <v>8.1999999999999993</v>
      </c>
      <c r="AN243" s="65">
        <v>16.399999999999999</v>
      </c>
      <c r="AO243" s="61">
        <v>34</v>
      </c>
      <c r="AP243" s="62">
        <v>10.9</v>
      </c>
      <c r="AQ243" s="62">
        <v>310</v>
      </c>
      <c r="AR243" s="62">
        <v>9.4</v>
      </c>
      <c r="AS243" s="65">
        <v>18.399999999999999</v>
      </c>
      <c r="AT243" s="64">
        <v>23</v>
      </c>
      <c r="AU243" s="65">
        <v>250</v>
      </c>
      <c r="AV243" s="64">
        <v>94.9462890625</v>
      </c>
      <c r="AW243" s="65">
        <v>279.59792092403706</v>
      </c>
      <c r="AX243" s="8"/>
      <c r="AZ243" s="1">
        <v>90</v>
      </c>
    </row>
    <row r="244" spans="3:52" ht="15" customHeight="1" x14ac:dyDescent="0.25">
      <c r="C244" s="42">
        <f>C232+1</f>
        <v>20</v>
      </c>
      <c r="D244" s="66">
        <f>DATE([1]Dash!$F$3,VLOOKUP([1]Dash!$E$3,[1]Abb!$C$3:$D$14,2,FALSE),C244)</f>
        <v>45677</v>
      </c>
      <c r="E244" s="67">
        <f>E243+2/24</f>
        <v>19.249999999999996</v>
      </c>
      <c r="F244" s="68">
        <f t="shared" si="21"/>
        <v>45677.250000000553</v>
      </c>
      <c r="G244" s="46">
        <v>39</v>
      </c>
      <c r="H244" s="47">
        <v>38</v>
      </c>
      <c r="I244" s="48">
        <v>10.6</v>
      </c>
      <c r="J244" s="48">
        <v>400</v>
      </c>
      <c r="K244" s="49">
        <v>9.6999999999999993</v>
      </c>
      <c r="L244" s="50">
        <v>37</v>
      </c>
      <c r="M244" s="48">
        <v>10.9</v>
      </c>
      <c r="N244" s="48">
        <v>350</v>
      </c>
      <c r="O244" s="51">
        <v>9.3000000000000007</v>
      </c>
      <c r="P244" s="47">
        <v>35</v>
      </c>
      <c r="Q244" s="48">
        <v>10.9</v>
      </c>
      <c r="R244" s="49">
        <v>0</v>
      </c>
      <c r="S244" s="49">
        <v>9.1</v>
      </c>
      <c r="T244" s="51">
        <v>15</v>
      </c>
      <c r="U244" s="50">
        <v>35</v>
      </c>
      <c r="V244" s="48">
        <v>11.1</v>
      </c>
      <c r="W244" s="49">
        <v>0</v>
      </c>
      <c r="X244" s="49">
        <v>9.3000000000000007</v>
      </c>
      <c r="Y244" s="51">
        <v>16</v>
      </c>
      <c r="Z244" s="47">
        <v>35</v>
      </c>
      <c r="AA244" s="48">
        <v>11</v>
      </c>
      <c r="AB244" s="49">
        <v>0</v>
      </c>
      <c r="AC244" s="49">
        <v>8.9</v>
      </c>
      <c r="AD244" s="51">
        <v>5</v>
      </c>
      <c r="AE244" s="50">
        <v>35</v>
      </c>
      <c r="AF244" s="48">
        <v>11</v>
      </c>
      <c r="AG244" s="49">
        <v>0</v>
      </c>
      <c r="AH244" s="49">
        <v>9.1</v>
      </c>
      <c r="AI244" s="51">
        <v>14.4</v>
      </c>
      <c r="AJ244" s="50">
        <v>36</v>
      </c>
      <c r="AK244" s="48">
        <v>10.9</v>
      </c>
      <c r="AL244" s="48">
        <v>0</v>
      </c>
      <c r="AM244" s="48">
        <v>8.6999999999999993</v>
      </c>
      <c r="AN244" s="51">
        <v>16</v>
      </c>
      <c r="AO244" s="47">
        <v>35</v>
      </c>
      <c r="AP244" s="48">
        <v>10.9</v>
      </c>
      <c r="AQ244" s="48">
        <v>300</v>
      </c>
      <c r="AR244" s="48">
        <v>9.6999999999999993</v>
      </c>
      <c r="AS244" s="51">
        <v>18.2</v>
      </c>
      <c r="AT244" s="50">
        <v>25</v>
      </c>
      <c r="AU244" s="51">
        <v>240</v>
      </c>
      <c r="AV244" s="50">
        <v>95.05615234375</v>
      </c>
      <c r="AW244" s="51">
        <v>278.19577156819867</v>
      </c>
      <c r="AX244" s="8"/>
      <c r="AZ244" s="1">
        <v>90</v>
      </c>
    </row>
    <row r="245" spans="3:52" ht="15" customHeight="1" x14ac:dyDescent="0.25">
      <c r="C245" s="42"/>
      <c r="D245" s="43">
        <f>D244</f>
        <v>45677</v>
      </c>
      <c r="E245" s="44">
        <f>E244+2/24</f>
        <v>19.333333333333329</v>
      </c>
      <c r="F245" s="45">
        <f t="shared" si="21"/>
        <v>45677.333333333889</v>
      </c>
      <c r="G245" s="52">
        <v>37</v>
      </c>
      <c r="H245" s="53">
        <v>36</v>
      </c>
      <c r="I245" s="54">
        <v>10.4</v>
      </c>
      <c r="J245" s="54">
        <v>350</v>
      </c>
      <c r="K245" s="55">
        <v>9.1999999999999993</v>
      </c>
      <c r="L245" s="56">
        <v>34</v>
      </c>
      <c r="M245" s="54">
        <v>10.9</v>
      </c>
      <c r="N245" s="54">
        <v>400</v>
      </c>
      <c r="O245" s="57">
        <v>9.6</v>
      </c>
      <c r="P245" s="53">
        <v>36</v>
      </c>
      <c r="Q245" s="54">
        <v>11.1</v>
      </c>
      <c r="R245" s="55">
        <v>0</v>
      </c>
      <c r="S245" s="55">
        <v>9.3000000000000007</v>
      </c>
      <c r="T245" s="57">
        <v>13.46</v>
      </c>
      <c r="U245" s="56">
        <v>35</v>
      </c>
      <c r="V245" s="54">
        <v>11.2</v>
      </c>
      <c r="W245" s="55">
        <v>0</v>
      </c>
      <c r="X245" s="55">
        <v>7.5</v>
      </c>
      <c r="Y245" s="57">
        <v>15.38</v>
      </c>
      <c r="Z245" s="53">
        <v>34</v>
      </c>
      <c r="AA245" s="54">
        <v>11.2</v>
      </c>
      <c r="AB245" s="55">
        <v>0</v>
      </c>
      <c r="AC245" s="55">
        <v>6.8</v>
      </c>
      <c r="AD245" s="57">
        <v>6.73</v>
      </c>
      <c r="AE245" s="56">
        <v>34</v>
      </c>
      <c r="AF245" s="54">
        <v>11.2</v>
      </c>
      <c r="AG245" s="55">
        <v>0</v>
      </c>
      <c r="AH245" s="55">
        <v>6.7</v>
      </c>
      <c r="AI245" s="57">
        <v>11.53</v>
      </c>
      <c r="AJ245" s="56">
        <v>33</v>
      </c>
      <c r="AK245" s="54">
        <v>11.1</v>
      </c>
      <c r="AL245" s="54">
        <v>0</v>
      </c>
      <c r="AM245" s="54">
        <v>6.8</v>
      </c>
      <c r="AN245" s="57">
        <v>15.38</v>
      </c>
      <c r="AO245" s="53">
        <v>32</v>
      </c>
      <c r="AP245" s="54">
        <v>11.1</v>
      </c>
      <c r="AQ245" s="54">
        <v>330</v>
      </c>
      <c r="AR245" s="54">
        <v>6.5</v>
      </c>
      <c r="AS245" s="57">
        <v>15.38</v>
      </c>
      <c r="AT245" s="56">
        <v>23</v>
      </c>
      <c r="AU245" s="57">
        <v>290</v>
      </c>
      <c r="AV245" s="56">
        <v>94.913734436035199</v>
      </c>
      <c r="AW245" s="57">
        <v>288.90817962928367</v>
      </c>
      <c r="AX245" s="8"/>
      <c r="AZ245" s="1">
        <v>90</v>
      </c>
    </row>
    <row r="246" spans="3:52" ht="15" customHeight="1" x14ac:dyDescent="0.25">
      <c r="C246" s="42"/>
      <c r="D246" s="43">
        <f>D244</f>
        <v>45677</v>
      </c>
      <c r="E246" s="44">
        <f t="shared" ref="E246:E255" si="24">E245+2/24</f>
        <v>19.416666666666661</v>
      </c>
      <c r="F246" s="45">
        <f t="shared" si="21"/>
        <v>45677.416666667224</v>
      </c>
      <c r="G246" s="52">
        <v>37</v>
      </c>
      <c r="H246" s="53">
        <v>35</v>
      </c>
      <c r="I246" s="54">
        <v>10.7</v>
      </c>
      <c r="J246" s="54">
        <v>350</v>
      </c>
      <c r="K246" s="55">
        <v>9.4</v>
      </c>
      <c r="L246" s="56">
        <v>35</v>
      </c>
      <c r="M246" s="54">
        <v>11</v>
      </c>
      <c r="N246" s="54">
        <v>400</v>
      </c>
      <c r="O246" s="57">
        <v>9.5</v>
      </c>
      <c r="P246" s="53">
        <v>34</v>
      </c>
      <c r="Q246" s="54">
        <v>11.2</v>
      </c>
      <c r="R246" s="55">
        <v>0</v>
      </c>
      <c r="S246" s="55">
        <v>9.3000000000000007</v>
      </c>
      <c r="T246" s="57">
        <v>16.920000000000002</v>
      </c>
      <c r="U246" s="56">
        <v>36</v>
      </c>
      <c r="V246" s="54">
        <v>11.2</v>
      </c>
      <c r="W246" s="55">
        <v>0</v>
      </c>
      <c r="X246" s="55">
        <v>7.4</v>
      </c>
      <c r="Y246" s="57">
        <v>11.53</v>
      </c>
      <c r="Z246" s="53">
        <v>36</v>
      </c>
      <c r="AA246" s="54">
        <v>11.2</v>
      </c>
      <c r="AB246" s="55">
        <v>0</v>
      </c>
      <c r="AC246" s="55">
        <v>6.7</v>
      </c>
      <c r="AD246" s="57">
        <v>9.61</v>
      </c>
      <c r="AE246" s="56">
        <v>33</v>
      </c>
      <c r="AF246" s="54">
        <v>11.1</v>
      </c>
      <c r="AG246" s="55">
        <v>0</v>
      </c>
      <c r="AH246" s="55">
        <v>6.7</v>
      </c>
      <c r="AI246" s="57">
        <v>5.19</v>
      </c>
      <c r="AJ246" s="56">
        <v>32</v>
      </c>
      <c r="AK246" s="54">
        <v>11.1</v>
      </c>
      <c r="AL246" s="54">
        <v>0</v>
      </c>
      <c r="AM246" s="54">
        <v>6.8</v>
      </c>
      <c r="AN246" s="57">
        <v>14.8</v>
      </c>
      <c r="AO246" s="53">
        <v>32</v>
      </c>
      <c r="AP246" s="54">
        <v>11</v>
      </c>
      <c r="AQ246" s="54">
        <v>330</v>
      </c>
      <c r="AR246" s="54">
        <v>6.5</v>
      </c>
      <c r="AS246" s="57">
        <v>15.38</v>
      </c>
      <c r="AT246" s="56">
        <v>25</v>
      </c>
      <c r="AU246" s="57">
        <v>300</v>
      </c>
      <c r="AV246" s="56">
        <v>95.060218811035199</v>
      </c>
      <c r="AW246" s="57">
        <v>267.09297739914621</v>
      </c>
      <c r="AX246" s="8"/>
      <c r="AZ246" s="1">
        <v>90</v>
      </c>
    </row>
    <row r="247" spans="3:52" ht="15" customHeight="1" x14ac:dyDescent="0.25">
      <c r="C247" s="42"/>
      <c r="D247" s="43">
        <f>D244</f>
        <v>45677</v>
      </c>
      <c r="E247" s="44">
        <f t="shared" si="24"/>
        <v>19.499999999999993</v>
      </c>
      <c r="F247" s="45">
        <f t="shared" si="21"/>
        <v>45677.50000000056</v>
      </c>
      <c r="G247" s="52">
        <v>38</v>
      </c>
      <c r="H247" s="53">
        <v>36</v>
      </c>
      <c r="I247" s="54">
        <v>10.6</v>
      </c>
      <c r="J247" s="54">
        <v>350</v>
      </c>
      <c r="K247" s="55">
        <v>9.6999999999999993</v>
      </c>
      <c r="L247" s="56">
        <v>35</v>
      </c>
      <c r="M247" s="54">
        <v>11</v>
      </c>
      <c r="N247" s="54">
        <v>400</v>
      </c>
      <c r="O247" s="57">
        <v>9</v>
      </c>
      <c r="P247" s="53">
        <v>35</v>
      </c>
      <c r="Q247" s="54">
        <v>11.1</v>
      </c>
      <c r="R247" s="55">
        <v>0</v>
      </c>
      <c r="S247" s="55">
        <v>9.1</v>
      </c>
      <c r="T247" s="57">
        <v>16.34</v>
      </c>
      <c r="U247" s="56">
        <v>36</v>
      </c>
      <c r="V247" s="54">
        <v>11.2</v>
      </c>
      <c r="W247" s="55">
        <v>0</v>
      </c>
      <c r="X247" s="55">
        <v>7.4</v>
      </c>
      <c r="Y247" s="57">
        <v>13.46</v>
      </c>
      <c r="Z247" s="53">
        <v>36</v>
      </c>
      <c r="AA247" s="54">
        <v>11.2</v>
      </c>
      <c r="AB247" s="55">
        <v>0</v>
      </c>
      <c r="AC247" s="55">
        <v>6.9</v>
      </c>
      <c r="AD247" s="57">
        <v>10.57</v>
      </c>
      <c r="AE247" s="56">
        <v>34</v>
      </c>
      <c r="AF247" s="54">
        <v>11.2</v>
      </c>
      <c r="AG247" s="55">
        <v>0</v>
      </c>
      <c r="AH247" s="55">
        <v>6.5</v>
      </c>
      <c r="AI247" s="57">
        <v>13.46</v>
      </c>
      <c r="AJ247" s="56">
        <v>33</v>
      </c>
      <c r="AK247" s="54">
        <v>11</v>
      </c>
      <c r="AL247" s="54">
        <v>0</v>
      </c>
      <c r="AM247" s="54">
        <v>6.8</v>
      </c>
      <c r="AN247" s="57">
        <v>7.69</v>
      </c>
      <c r="AO247" s="53">
        <v>34</v>
      </c>
      <c r="AP247" s="54">
        <v>11</v>
      </c>
      <c r="AQ247" s="54">
        <v>330</v>
      </c>
      <c r="AR247" s="54">
        <v>6.6</v>
      </c>
      <c r="AS247" s="57">
        <v>14.8</v>
      </c>
      <c r="AT247" s="56">
        <v>22</v>
      </c>
      <c r="AU247" s="57">
        <v>300</v>
      </c>
      <c r="AV247" s="56">
        <v>95.109046936035199</v>
      </c>
      <c r="AW247" s="57">
        <v>258.74132055883916</v>
      </c>
      <c r="AX247" s="8"/>
      <c r="AZ247" s="1">
        <v>90</v>
      </c>
    </row>
    <row r="248" spans="3:52" ht="15" customHeight="1" x14ac:dyDescent="0.25">
      <c r="C248" s="42"/>
      <c r="D248" s="43">
        <f>D244</f>
        <v>45677</v>
      </c>
      <c r="E248" s="44">
        <f t="shared" si="24"/>
        <v>19.583333333333325</v>
      </c>
      <c r="F248" s="45">
        <f t="shared" si="21"/>
        <v>45677.583333333896</v>
      </c>
      <c r="G248" s="52">
        <v>0</v>
      </c>
      <c r="H248" s="53">
        <v>37</v>
      </c>
      <c r="I248" s="54">
        <v>10.9</v>
      </c>
      <c r="J248" s="54">
        <v>350</v>
      </c>
      <c r="K248" s="55">
        <v>9.1</v>
      </c>
      <c r="L248" s="56">
        <v>36</v>
      </c>
      <c r="M248" s="54">
        <v>10.9</v>
      </c>
      <c r="N248" s="54">
        <v>400</v>
      </c>
      <c r="O248" s="57">
        <v>9.1</v>
      </c>
      <c r="P248" s="53">
        <v>37</v>
      </c>
      <c r="Q248" s="54">
        <v>11.1</v>
      </c>
      <c r="R248" s="55">
        <v>0</v>
      </c>
      <c r="S248" s="55">
        <v>9.1</v>
      </c>
      <c r="T248" s="57">
        <v>16.920000000000002</v>
      </c>
      <c r="U248" s="56">
        <v>36</v>
      </c>
      <c r="V248" s="54">
        <v>11.1</v>
      </c>
      <c r="W248" s="55">
        <v>0</v>
      </c>
      <c r="X248" s="55">
        <v>7.5</v>
      </c>
      <c r="Y248" s="57">
        <v>13.46</v>
      </c>
      <c r="Z248" s="53">
        <v>35</v>
      </c>
      <c r="AA248" s="54">
        <v>11.2</v>
      </c>
      <c r="AB248" s="55">
        <v>0</v>
      </c>
      <c r="AC248" s="55">
        <v>6.8</v>
      </c>
      <c r="AD248" s="57">
        <v>13.07</v>
      </c>
      <c r="AE248" s="56">
        <v>33</v>
      </c>
      <c r="AF248" s="54">
        <v>11.1</v>
      </c>
      <c r="AG248" s="55">
        <v>0</v>
      </c>
      <c r="AH248" s="55">
        <v>6.9</v>
      </c>
      <c r="AI248" s="57">
        <v>13.07</v>
      </c>
      <c r="AJ248" s="56">
        <v>32</v>
      </c>
      <c r="AK248" s="54">
        <v>10.9</v>
      </c>
      <c r="AL248" s="54">
        <v>0</v>
      </c>
      <c r="AM248" s="54">
        <v>6.7</v>
      </c>
      <c r="AN248" s="57">
        <v>11.53</v>
      </c>
      <c r="AO248" s="53">
        <v>33</v>
      </c>
      <c r="AP248" s="54">
        <v>11.1</v>
      </c>
      <c r="AQ248" s="54">
        <v>340</v>
      </c>
      <c r="AR248" s="54">
        <v>6.6</v>
      </c>
      <c r="AS248" s="57">
        <v>14.42</v>
      </c>
      <c r="AT248" s="56">
        <v>0</v>
      </c>
      <c r="AU248" s="57">
        <v>0</v>
      </c>
      <c r="AV248" s="56">
        <v>80.936683654785199</v>
      </c>
      <c r="AW248" s="57">
        <v>277.16929448046722</v>
      </c>
      <c r="AX248" s="8"/>
      <c r="AZ248" s="1">
        <v>90</v>
      </c>
    </row>
    <row r="249" spans="3:52" ht="15" customHeight="1" x14ac:dyDescent="0.25">
      <c r="C249" s="42"/>
      <c r="D249" s="43">
        <f>D244</f>
        <v>45677</v>
      </c>
      <c r="E249" s="44">
        <f t="shared" si="24"/>
        <v>19.666666666666657</v>
      </c>
      <c r="F249" s="45">
        <f t="shared" si="21"/>
        <v>45677.666666667232</v>
      </c>
      <c r="G249" s="52">
        <v>0</v>
      </c>
      <c r="H249" s="53">
        <v>38</v>
      </c>
      <c r="I249" s="54">
        <v>10.9</v>
      </c>
      <c r="J249" s="54">
        <v>350</v>
      </c>
      <c r="K249" s="55">
        <v>9.8000000000000007</v>
      </c>
      <c r="L249" s="56">
        <v>35</v>
      </c>
      <c r="M249" s="54">
        <v>10.8</v>
      </c>
      <c r="N249" s="54">
        <v>400</v>
      </c>
      <c r="O249" s="57">
        <v>9.6999999999999993</v>
      </c>
      <c r="P249" s="53">
        <v>35</v>
      </c>
      <c r="Q249" s="54">
        <v>10.9</v>
      </c>
      <c r="R249" s="55">
        <v>0</v>
      </c>
      <c r="S249" s="55">
        <v>9.4</v>
      </c>
      <c r="T249" s="57">
        <v>17.11</v>
      </c>
      <c r="U249" s="56">
        <v>35</v>
      </c>
      <c r="V249" s="54">
        <v>10.9</v>
      </c>
      <c r="W249" s="55">
        <v>0</v>
      </c>
      <c r="X249" s="55">
        <v>7.8</v>
      </c>
      <c r="Y249" s="57">
        <v>14.03</v>
      </c>
      <c r="Z249" s="53">
        <v>36</v>
      </c>
      <c r="AA249" s="54">
        <v>11.1</v>
      </c>
      <c r="AB249" s="55">
        <v>0</v>
      </c>
      <c r="AC249" s="55">
        <v>6.8</v>
      </c>
      <c r="AD249" s="57">
        <v>13.84</v>
      </c>
      <c r="AE249" s="56">
        <v>32</v>
      </c>
      <c r="AF249" s="54">
        <v>11</v>
      </c>
      <c r="AG249" s="55">
        <v>0</v>
      </c>
      <c r="AH249" s="55">
        <v>6.8</v>
      </c>
      <c r="AI249" s="57">
        <v>13.84</v>
      </c>
      <c r="AJ249" s="56">
        <v>32</v>
      </c>
      <c r="AK249" s="54">
        <v>10.9</v>
      </c>
      <c r="AL249" s="54">
        <v>0</v>
      </c>
      <c r="AM249" s="54">
        <v>6.8</v>
      </c>
      <c r="AN249" s="57">
        <v>11.92</v>
      </c>
      <c r="AO249" s="53">
        <v>33</v>
      </c>
      <c r="AP249" s="54">
        <v>11</v>
      </c>
      <c r="AQ249" s="54">
        <v>340</v>
      </c>
      <c r="AR249" s="54">
        <v>6.5</v>
      </c>
      <c r="AS249" s="57">
        <v>10.57</v>
      </c>
      <c r="AT249" s="56">
        <v>0</v>
      </c>
      <c r="AU249" s="57">
        <v>0</v>
      </c>
      <c r="AV249" s="56">
        <v>94.78759765625</v>
      </c>
      <c r="AW249" s="57">
        <v>279.97456160650279</v>
      </c>
      <c r="AX249" s="8"/>
      <c r="AZ249" s="1">
        <v>90</v>
      </c>
    </row>
    <row r="250" spans="3:52" ht="15" customHeight="1" x14ac:dyDescent="0.25">
      <c r="C250" s="42"/>
      <c r="D250" s="43">
        <f>D244</f>
        <v>45677</v>
      </c>
      <c r="E250" s="44">
        <f t="shared" si="24"/>
        <v>19.749999999999989</v>
      </c>
      <c r="F250" s="45">
        <f t="shared" si="21"/>
        <v>45677.750000000568</v>
      </c>
      <c r="G250" s="52">
        <v>0</v>
      </c>
      <c r="H250" s="53">
        <v>37</v>
      </c>
      <c r="I250" s="54">
        <v>10.9</v>
      </c>
      <c r="J250" s="54">
        <v>350</v>
      </c>
      <c r="K250" s="55">
        <v>9.9</v>
      </c>
      <c r="L250" s="56">
        <v>37</v>
      </c>
      <c r="M250" s="54">
        <v>10.6</v>
      </c>
      <c r="N250" s="54">
        <v>400</v>
      </c>
      <c r="O250" s="57">
        <v>9.9</v>
      </c>
      <c r="P250" s="53">
        <v>33</v>
      </c>
      <c r="Q250" s="54">
        <v>10.8</v>
      </c>
      <c r="R250" s="55">
        <v>0</v>
      </c>
      <c r="S250" s="55">
        <v>9.1</v>
      </c>
      <c r="T250" s="57">
        <v>17.309999999999999</v>
      </c>
      <c r="U250" s="56">
        <v>34</v>
      </c>
      <c r="V250" s="54">
        <v>10.8</v>
      </c>
      <c r="W250" s="55">
        <v>0</v>
      </c>
      <c r="X250" s="55">
        <v>7</v>
      </c>
      <c r="Y250" s="57">
        <v>14.42</v>
      </c>
      <c r="Z250" s="53">
        <v>33</v>
      </c>
      <c r="AA250" s="54">
        <v>10.8</v>
      </c>
      <c r="AB250" s="55">
        <v>0</v>
      </c>
      <c r="AC250" s="55">
        <v>6.9</v>
      </c>
      <c r="AD250" s="57">
        <v>13.46</v>
      </c>
      <c r="AE250" s="56">
        <v>31</v>
      </c>
      <c r="AF250" s="54">
        <v>10.9</v>
      </c>
      <c r="AG250" s="55">
        <v>0</v>
      </c>
      <c r="AH250" s="55">
        <v>6.7</v>
      </c>
      <c r="AI250" s="57">
        <v>14.42</v>
      </c>
      <c r="AJ250" s="56">
        <v>30</v>
      </c>
      <c r="AK250" s="54">
        <v>10.9</v>
      </c>
      <c r="AL250" s="54">
        <v>0</v>
      </c>
      <c r="AM250" s="54">
        <v>6.7</v>
      </c>
      <c r="AN250" s="57">
        <v>12.25</v>
      </c>
      <c r="AO250" s="53">
        <v>32</v>
      </c>
      <c r="AP250" s="54">
        <v>10.9</v>
      </c>
      <c r="AQ250" s="54">
        <v>350</v>
      </c>
      <c r="AR250" s="54">
        <v>6.5</v>
      </c>
      <c r="AS250" s="57">
        <v>8.65</v>
      </c>
      <c r="AT250" s="56">
        <v>0</v>
      </c>
      <c r="AU250" s="57">
        <v>0</v>
      </c>
      <c r="AV250" s="56">
        <v>95.01953125</v>
      </c>
      <c r="AW250" s="57">
        <v>294.5888788224043</v>
      </c>
      <c r="AX250" s="8"/>
      <c r="AZ250" s="1">
        <v>90</v>
      </c>
    </row>
    <row r="251" spans="3:52" ht="15" customHeight="1" x14ac:dyDescent="0.25">
      <c r="C251" s="42"/>
      <c r="D251" s="43">
        <f>D244</f>
        <v>45677</v>
      </c>
      <c r="E251" s="44">
        <f t="shared" si="24"/>
        <v>19.833333333333321</v>
      </c>
      <c r="F251" s="45">
        <f t="shared" si="21"/>
        <v>45677.833333333903</v>
      </c>
      <c r="G251" s="52">
        <v>0</v>
      </c>
      <c r="H251" s="53">
        <v>0</v>
      </c>
      <c r="I251" s="54">
        <v>0</v>
      </c>
      <c r="J251" s="54">
        <v>0</v>
      </c>
      <c r="K251" s="55">
        <v>0</v>
      </c>
      <c r="L251" s="56">
        <v>0</v>
      </c>
      <c r="M251" s="54">
        <v>0</v>
      </c>
      <c r="N251" s="54">
        <v>0</v>
      </c>
      <c r="O251" s="57">
        <v>0</v>
      </c>
      <c r="P251" s="53">
        <v>0</v>
      </c>
      <c r="Q251" s="54">
        <v>0</v>
      </c>
      <c r="R251" s="55">
        <v>0</v>
      </c>
      <c r="S251" s="55">
        <v>0</v>
      </c>
      <c r="T251" s="57">
        <v>0</v>
      </c>
      <c r="U251" s="56">
        <v>0</v>
      </c>
      <c r="V251" s="54">
        <v>0</v>
      </c>
      <c r="W251" s="55">
        <v>0</v>
      </c>
      <c r="X251" s="55">
        <v>0</v>
      </c>
      <c r="Y251" s="57">
        <v>0</v>
      </c>
      <c r="Z251" s="53">
        <v>0</v>
      </c>
      <c r="AA251" s="54">
        <v>0</v>
      </c>
      <c r="AB251" s="55">
        <v>0</v>
      </c>
      <c r="AC251" s="55">
        <v>0</v>
      </c>
      <c r="AD251" s="57">
        <v>0</v>
      </c>
      <c r="AE251" s="56">
        <v>0</v>
      </c>
      <c r="AF251" s="54">
        <v>0</v>
      </c>
      <c r="AG251" s="55">
        <v>0</v>
      </c>
      <c r="AH251" s="55">
        <v>0</v>
      </c>
      <c r="AI251" s="57">
        <v>0</v>
      </c>
      <c r="AJ251" s="56">
        <v>0</v>
      </c>
      <c r="AK251" s="54">
        <v>0</v>
      </c>
      <c r="AL251" s="54">
        <v>0</v>
      </c>
      <c r="AM251" s="54">
        <v>0</v>
      </c>
      <c r="AN251" s="57">
        <v>0</v>
      </c>
      <c r="AO251" s="53">
        <v>0</v>
      </c>
      <c r="AP251" s="54">
        <v>0</v>
      </c>
      <c r="AQ251" s="54">
        <v>0</v>
      </c>
      <c r="AR251" s="54">
        <v>0</v>
      </c>
      <c r="AS251" s="57">
        <v>0</v>
      </c>
      <c r="AT251" s="56">
        <v>0</v>
      </c>
      <c r="AU251" s="57">
        <v>0</v>
      </c>
      <c r="AV251" s="56">
        <v>94.974769592285199</v>
      </c>
      <c r="AW251" s="57">
        <v>299.22610475574618</v>
      </c>
      <c r="AX251" s="8"/>
      <c r="AZ251" s="1">
        <v>90</v>
      </c>
    </row>
    <row r="252" spans="3:52" ht="15" customHeight="1" x14ac:dyDescent="0.25">
      <c r="C252" s="42"/>
      <c r="D252" s="43">
        <f>D244</f>
        <v>45677</v>
      </c>
      <c r="E252" s="44">
        <f t="shared" si="24"/>
        <v>19.916666666666654</v>
      </c>
      <c r="F252" s="45">
        <f t="shared" si="21"/>
        <v>45677.916666667239</v>
      </c>
      <c r="G252" s="52">
        <v>41</v>
      </c>
      <c r="H252" s="53">
        <v>39</v>
      </c>
      <c r="I252" s="54">
        <v>10</v>
      </c>
      <c r="J252" s="54">
        <v>350</v>
      </c>
      <c r="K252" s="55">
        <v>9.5</v>
      </c>
      <c r="L252" s="56">
        <v>37</v>
      </c>
      <c r="M252" s="54">
        <v>10.3</v>
      </c>
      <c r="N252" s="54">
        <v>350</v>
      </c>
      <c r="O252" s="57">
        <v>9.1999999999999993</v>
      </c>
      <c r="P252" s="53">
        <v>35</v>
      </c>
      <c r="Q252" s="54">
        <v>10.4</v>
      </c>
      <c r="R252" s="55">
        <v>0</v>
      </c>
      <c r="S252" s="55">
        <v>9</v>
      </c>
      <c r="T252" s="57">
        <v>18</v>
      </c>
      <c r="U252" s="56">
        <v>35</v>
      </c>
      <c r="V252" s="54">
        <v>10.8</v>
      </c>
      <c r="W252" s="55">
        <v>0</v>
      </c>
      <c r="X252" s="55">
        <v>8.4</v>
      </c>
      <c r="Y252" s="57">
        <v>14</v>
      </c>
      <c r="Z252" s="53">
        <v>36</v>
      </c>
      <c r="AA252" s="54">
        <v>10.9</v>
      </c>
      <c r="AB252" s="55">
        <v>0</v>
      </c>
      <c r="AC252" s="55">
        <v>8.6</v>
      </c>
      <c r="AD252" s="57">
        <v>15</v>
      </c>
      <c r="AE252" s="56">
        <v>33</v>
      </c>
      <c r="AF252" s="54">
        <v>11</v>
      </c>
      <c r="AG252" s="55">
        <v>0</v>
      </c>
      <c r="AH252" s="55">
        <v>7.4</v>
      </c>
      <c r="AI252" s="57">
        <v>15</v>
      </c>
      <c r="AJ252" s="56">
        <v>34</v>
      </c>
      <c r="AK252" s="54">
        <v>11</v>
      </c>
      <c r="AL252" s="54">
        <v>0</v>
      </c>
      <c r="AM252" s="54">
        <v>8.6999999999999993</v>
      </c>
      <c r="AN252" s="57">
        <v>14</v>
      </c>
      <c r="AO252" s="53">
        <v>34</v>
      </c>
      <c r="AP252" s="54">
        <v>11</v>
      </c>
      <c r="AQ252" s="54">
        <v>350</v>
      </c>
      <c r="AR252" s="54">
        <v>8.5</v>
      </c>
      <c r="AS252" s="57">
        <v>8</v>
      </c>
      <c r="AT252" s="56">
        <v>0</v>
      </c>
      <c r="AU252" s="57">
        <v>0</v>
      </c>
      <c r="AV252" s="56">
        <v>94.954421997070298</v>
      </c>
      <c r="AW252" s="57">
        <v>298.09377396665514</v>
      </c>
      <c r="AX252" s="8"/>
      <c r="AZ252" s="1">
        <v>90</v>
      </c>
    </row>
    <row r="253" spans="3:52" ht="15" customHeight="1" x14ac:dyDescent="0.25">
      <c r="C253" s="42"/>
      <c r="D253" s="43">
        <f>D244</f>
        <v>45677</v>
      </c>
      <c r="E253" s="44">
        <f t="shared" si="24"/>
        <v>19.999999999999986</v>
      </c>
      <c r="F253" s="45">
        <f t="shared" si="21"/>
        <v>45678.000000000575</v>
      </c>
      <c r="G253" s="52">
        <v>40</v>
      </c>
      <c r="H253" s="53">
        <v>39</v>
      </c>
      <c r="I253" s="54">
        <v>10</v>
      </c>
      <c r="J253" s="54">
        <v>300</v>
      </c>
      <c r="K253" s="55">
        <v>9.6999999999999993</v>
      </c>
      <c r="L253" s="56">
        <v>37</v>
      </c>
      <c r="M253" s="54">
        <v>10.3</v>
      </c>
      <c r="N253" s="54">
        <v>350</v>
      </c>
      <c r="O253" s="57">
        <v>9.5</v>
      </c>
      <c r="P253" s="53">
        <v>35</v>
      </c>
      <c r="Q253" s="54">
        <v>10.4</v>
      </c>
      <c r="R253" s="55">
        <v>0</v>
      </c>
      <c r="S253" s="55">
        <v>9.1999999999999993</v>
      </c>
      <c r="T253" s="57">
        <v>18</v>
      </c>
      <c r="U253" s="56">
        <v>36</v>
      </c>
      <c r="V253" s="54">
        <v>10.8</v>
      </c>
      <c r="W253" s="55">
        <v>0</v>
      </c>
      <c r="X253" s="55">
        <v>8.6</v>
      </c>
      <c r="Y253" s="57">
        <v>14</v>
      </c>
      <c r="Z253" s="53">
        <v>36</v>
      </c>
      <c r="AA253" s="54">
        <v>10.9</v>
      </c>
      <c r="AB253" s="55">
        <v>0</v>
      </c>
      <c r="AC253" s="55">
        <v>8.6</v>
      </c>
      <c r="AD253" s="57">
        <v>15</v>
      </c>
      <c r="AE253" s="56">
        <v>33</v>
      </c>
      <c r="AF253" s="54">
        <v>11</v>
      </c>
      <c r="AG253" s="55">
        <v>0</v>
      </c>
      <c r="AH253" s="55">
        <v>7.8</v>
      </c>
      <c r="AI253" s="57">
        <v>15</v>
      </c>
      <c r="AJ253" s="56">
        <v>34</v>
      </c>
      <c r="AK253" s="54">
        <v>11</v>
      </c>
      <c r="AL253" s="54">
        <v>0</v>
      </c>
      <c r="AM253" s="54">
        <v>8.1999999999999993</v>
      </c>
      <c r="AN253" s="57">
        <v>14</v>
      </c>
      <c r="AO253" s="53">
        <v>34</v>
      </c>
      <c r="AP253" s="54">
        <v>11</v>
      </c>
      <c r="AQ253" s="54">
        <v>350</v>
      </c>
      <c r="AR253" s="54">
        <v>8.5</v>
      </c>
      <c r="AS253" s="57">
        <v>8</v>
      </c>
      <c r="AT253" s="56">
        <v>22</v>
      </c>
      <c r="AU253" s="57">
        <v>270</v>
      </c>
      <c r="AV253" s="56">
        <v>94.8974609375</v>
      </c>
      <c r="AW253" s="57">
        <v>299.10686718093541</v>
      </c>
      <c r="AX253" s="8"/>
      <c r="AZ253" s="1">
        <v>90</v>
      </c>
    </row>
    <row r="254" spans="3:52" ht="15" customHeight="1" x14ac:dyDescent="0.25">
      <c r="C254" s="42"/>
      <c r="D254" s="43">
        <f>D244</f>
        <v>45677</v>
      </c>
      <c r="E254" s="44">
        <f t="shared" si="24"/>
        <v>20.083333333333318</v>
      </c>
      <c r="F254" s="45">
        <f t="shared" si="21"/>
        <v>45678.083333333911</v>
      </c>
      <c r="G254" s="52">
        <v>0</v>
      </c>
      <c r="H254" s="53">
        <v>40</v>
      </c>
      <c r="I254" s="54">
        <v>10.199999999999999</v>
      </c>
      <c r="J254" s="54">
        <v>300</v>
      </c>
      <c r="K254" s="55">
        <v>9.5</v>
      </c>
      <c r="L254" s="56">
        <v>38</v>
      </c>
      <c r="M254" s="54">
        <v>10.3</v>
      </c>
      <c r="N254" s="54">
        <v>350</v>
      </c>
      <c r="O254" s="57">
        <v>9.8000000000000007</v>
      </c>
      <c r="P254" s="53">
        <v>34</v>
      </c>
      <c r="Q254" s="54">
        <v>10.4</v>
      </c>
      <c r="R254" s="55">
        <v>0</v>
      </c>
      <c r="S254" s="55">
        <v>9.5</v>
      </c>
      <c r="T254" s="57">
        <v>17.8</v>
      </c>
      <c r="U254" s="56">
        <v>36</v>
      </c>
      <c r="V254" s="54">
        <v>10.8</v>
      </c>
      <c r="W254" s="55">
        <v>0</v>
      </c>
      <c r="X254" s="55">
        <v>8.3000000000000007</v>
      </c>
      <c r="Y254" s="57">
        <v>14.2</v>
      </c>
      <c r="Z254" s="53">
        <v>36</v>
      </c>
      <c r="AA254" s="54">
        <v>10.9</v>
      </c>
      <c r="AB254" s="55">
        <v>0</v>
      </c>
      <c r="AC254" s="55">
        <v>8.5</v>
      </c>
      <c r="AD254" s="57">
        <v>15</v>
      </c>
      <c r="AE254" s="56">
        <v>34</v>
      </c>
      <c r="AF254" s="54">
        <v>11</v>
      </c>
      <c r="AG254" s="55">
        <v>0</v>
      </c>
      <c r="AH254" s="55">
        <v>7.9</v>
      </c>
      <c r="AI254" s="57">
        <v>15.2</v>
      </c>
      <c r="AJ254" s="56">
        <v>35</v>
      </c>
      <c r="AK254" s="54">
        <v>11</v>
      </c>
      <c r="AL254" s="54">
        <v>0</v>
      </c>
      <c r="AM254" s="54">
        <v>8.3000000000000007</v>
      </c>
      <c r="AN254" s="57">
        <v>14.1</v>
      </c>
      <c r="AO254" s="53">
        <v>35</v>
      </c>
      <c r="AP254" s="54">
        <v>11</v>
      </c>
      <c r="AQ254" s="54">
        <v>320</v>
      </c>
      <c r="AR254" s="54">
        <v>8.6</v>
      </c>
      <c r="AS254" s="57">
        <v>8</v>
      </c>
      <c r="AT254" s="56">
        <v>25</v>
      </c>
      <c r="AU254" s="57">
        <v>250</v>
      </c>
      <c r="AV254" s="56">
        <v>94.852699279785199</v>
      </c>
      <c r="AW254" s="57">
        <v>300.1093510897287</v>
      </c>
      <c r="AX254" s="8"/>
      <c r="AZ254" s="1">
        <v>90</v>
      </c>
    </row>
    <row r="255" spans="3:52" ht="15" customHeight="1" x14ac:dyDescent="0.25">
      <c r="C255" s="42"/>
      <c r="D255" s="69">
        <f>D244</f>
        <v>45677</v>
      </c>
      <c r="E255" s="70">
        <f t="shared" si="24"/>
        <v>20.16666666666665</v>
      </c>
      <c r="F255" s="71">
        <f t="shared" si="21"/>
        <v>45678.166666667246</v>
      </c>
      <c r="G255" s="60">
        <v>0</v>
      </c>
      <c r="H255" s="61">
        <v>39</v>
      </c>
      <c r="I255" s="62">
        <v>10.199999999999999</v>
      </c>
      <c r="J255" s="62">
        <v>300</v>
      </c>
      <c r="K255" s="63">
        <v>8.9</v>
      </c>
      <c r="L255" s="64">
        <v>38</v>
      </c>
      <c r="M255" s="62">
        <v>10.3</v>
      </c>
      <c r="N255" s="62">
        <v>350</v>
      </c>
      <c r="O255" s="65">
        <v>9.1999999999999993</v>
      </c>
      <c r="P255" s="61">
        <v>35</v>
      </c>
      <c r="Q255" s="62">
        <v>10.4</v>
      </c>
      <c r="R255" s="63">
        <v>0</v>
      </c>
      <c r="S255" s="63">
        <v>9.1999999999999993</v>
      </c>
      <c r="T255" s="65">
        <v>17.8</v>
      </c>
      <c r="U255" s="64">
        <v>35</v>
      </c>
      <c r="V255" s="62">
        <v>10.8</v>
      </c>
      <c r="W255" s="63">
        <v>0</v>
      </c>
      <c r="X255" s="63">
        <v>8.5</v>
      </c>
      <c r="Y255" s="65">
        <v>14</v>
      </c>
      <c r="Z255" s="61">
        <v>35</v>
      </c>
      <c r="AA255" s="62">
        <v>10.9</v>
      </c>
      <c r="AB255" s="63">
        <v>0</v>
      </c>
      <c r="AC255" s="63">
        <v>8.9</v>
      </c>
      <c r="AD255" s="65">
        <v>15.2</v>
      </c>
      <c r="AE255" s="64">
        <v>35</v>
      </c>
      <c r="AF255" s="62">
        <v>11</v>
      </c>
      <c r="AG255" s="63">
        <v>0</v>
      </c>
      <c r="AH255" s="63">
        <v>7.5</v>
      </c>
      <c r="AI255" s="65">
        <v>15.4</v>
      </c>
      <c r="AJ255" s="64">
        <v>35</v>
      </c>
      <c r="AK255" s="62">
        <v>11</v>
      </c>
      <c r="AL255" s="62">
        <v>0</v>
      </c>
      <c r="AM255" s="62">
        <v>8.6</v>
      </c>
      <c r="AN255" s="65">
        <v>14</v>
      </c>
      <c r="AO255" s="61">
        <v>34</v>
      </c>
      <c r="AP255" s="62">
        <v>11</v>
      </c>
      <c r="AQ255" s="62">
        <v>330</v>
      </c>
      <c r="AR255" s="62">
        <v>8.9</v>
      </c>
      <c r="AS255" s="65">
        <v>8</v>
      </c>
      <c r="AT255" s="64">
        <v>21</v>
      </c>
      <c r="AU255" s="65">
        <v>200</v>
      </c>
      <c r="AV255" s="64">
        <v>94.966629028320298</v>
      </c>
      <c r="AW255" s="65">
        <v>298.77037444530674</v>
      </c>
      <c r="AX255" s="8"/>
      <c r="AZ255" s="1">
        <v>90</v>
      </c>
    </row>
    <row r="256" spans="3:52" ht="15" customHeight="1" x14ac:dyDescent="0.25">
      <c r="C256" s="42">
        <f>C244+1</f>
        <v>21</v>
      </c>
      <c r="D256" s="66">
        <f>DATE([1]Dash!$F$3,VLOOKUP([1]Dash!$E$3,[1]Abb!$C$3:$D$14,2,FALSE),C256)</f>
        <v>45678</v>
      </c>
      <c r="E256" s="67">
        <f>E255+2/24</f>
        <v>20.249999999999982</v>
      </c>
      <c r="F256" s="68">
        <f t="shared" si="21"/>
        <v>45678.250000000582</v>
      </c>
      <c r="G256" s="46">
        <v>0</v>
      </c>
      <c r="H256" s="47">
        <v>39</v>
      </c>
      <c r="I256" s="48">
        <v>10.9</v>
      </c>
      <c r="J256" s="48">
        <v>300</v>
      </c>
      <c r="K256" s="49">
        <v>9.8000000000000007</v>
      </c>
      <c r="L256" s="50">
        <v>37</v>
      </c>
      <c r="M256" s="48">
        <v>10.5</v>
      </c>
      <c r="N256" s="48">
        <v>350</v>
      </c>
      <c r="O256" s="51">
        <v>11.2</v>
      </c>
      <c r="P256" s="47">
        <v>35</v>
      </c>
      <c r="Q256" s="48">
        <v>10.7</v>
      </c>
      <c r="R256" s="49">
        <v>0</v>
      </c>
      <c r="S256" s="49">
        <v>9.1999999999999993</v>
      </c>
      <c r="T256" s="51">
        <v>18</v>
      </c>
      <c r="U256" s="50">
        <v>36</v>
      </c>
      <c r="V256" s="48">
        <v>10.8</v>
      </c>
      <c r="W256" s="49">
        <v>0</v>
      </c>
      <c r="X256" s="49">
        <v>8.4</v>
      </c>
      <c r="Y256" s="51">
        <v>14</v>
      </c>
      <c r="Z256" s="47">
        <v>36</v>
      </c>
      <c r="AA256" s="48">
        <v>11</v>
      </c>
      <c r="AB256" s="49">
        <v>0</v>
      </c>
      <c r="AC256" s="49">
        <v>7.2</v>
      </c>
      <c r="AD256" s="51">
        <v>15</v>
      </c>
      <c r="AE256" s="50">
        <v>35</v>
      </c>
      <c r="AF256" s="48">
        <v>11</v>
      </c>
      <c r="AG256" s="49">
        <v>0</v>
      </c>
      <c r="AH256" s="49">
        <v>8.9</v>
      </c>
      <c r="AI256" s="51">
        <v>15</v>
      </c>
      <c r="AJ256" s="50">
        <v>34</v>
      </c>
      <c r="AK256" s="48">
        <v>10.9</v>
      </c>
      <c r="AL256" s="48">
        <v>0</v>
      </c>
      <c r="AM256" s="48">
        <v>9.4</v>
      </c>
      <c r="AN256" s="51">
        <v>14</v>
      </c>
      <c r="AO256" s="47">
        <v>34</v>
      </c>
      <c r="AP256" s="48">
        <v>11</v>
      </c>
      <c r="AQ256" s="48">
        <v>300</v>
      </c>
      <c r="AR256" s="48">
        <v>8.4</v>
      </c>
      <c r="AS256" s="51">
        <v>12</v>
      </c>
      <c r="AT256" s="50">
        <v>0</v>
      </c>
      <c r="AU256" s="51">
        <v>0</v>
      </c>
      <c r="AV256" s="50">
        <v>94.91</v>
      </c>
      <c r="AW256" s="51">
        <v>297.86</v>
      </c>
      <c r="AX256" s="8"/>
      <c r="AZ256" s="1">
        <v>90</v>
      </c>
    </row>
    <row r="257" spans="3:52" ht="15" customHeight="1" x14ac:dyDescent="0.25">
      <c r="C257" s="42"/>
      <c r="D257" s="43">
        <f>D256</f>
        <v>45678</v>
      </c>
      <c r="E257" s="44">
        <f>E256+2/24</f>
        <v>20.333333333333314</v>
      </c>
      <c r="F257" s="45">
        <f t="shared" si="21"/>
        <v>45678.333333333918</v>
      </c>
      <c r="G257" s="52">
        <v>0</v>
      </c>
      <c r="H257" s="53">
        <v>38</v>
      </c>
      <c r="I257" s="54">
        <v>11.1</v>
      </c>
      <c r="J257" s="54">
        <v>300</v>
      </c>
      <c r="K257" s="55">
        <v>11</v>
      </c>
      <c r="L257" s="56">
        <v>37</v>
      </c>
      <c r="M257" s="54">
        <v>10.6</v>
      </c>
      <c r="N257" s="54">
        <v>350</v>
      </c>
      <c r="O257" s="57">
        <v>11.7</v>
      </c>
      <c r="P257" s="53">
        <v>35</v>
      </c>
      <c r="Q257" s="54">
        <v>10.8</v>
      </c>
      <c r="R257" s="55">
        <v>0</v>
      </c>
      <c r="S257" s="55">
        <v>7.5</v>
      </c>
      <c r="T257" s="57">
        <v>16.34</v>
      </c>
      <c r="U257" s="56">
        <v>34</v>
      </c>
      <c r="V257" s="54">
        <v>10.8</v>
      </c>
      <c r="W257" s="55">
        <v>0</v>
      </c>
      <c r="X257" s="55">
        <v>6.8</v>
      </c>
      <c r="Y257" s="57">
        <v>12.18</v>
      </c>
      <c r="Z257" s="53">
        <v>34</v>
      </c>
      <c r="AA257" s="54">
        <v>11</v>
      </c>
      <c r="AB257" s="55">
        <v>0</v>
      </c>
      <c r="AC257" s="55">
        <v>6.7</v>
      </c>
      <c r="AD257" s="57">
        <v>13.46</v>
      </c>
      <c r="AE257" s="56">
        <v>31</v>
      </c>
      <c r="AF257" s="54">
        <v>11</v>
      </c>
      <c r="AG257" s="55">
        <v>0</v>
      </c>
      <c r="AH257" s="55">
        <v>6.9</v>
      </c>
      <c r="AI257" s="57">
        <v>13.46</v>
      </c>
      <c r="AJ257" s="56">
        <v>34</v>
      </c>
      <c r="AK257" s="54">
        <v>11</v>
      </c>
      <c r="AL257" s="54">
        <v>0</v>
      </c>
      <c r="AM257" s="54">
        <v>6.7</v>
      </c>
      <c r="AN257" s="57">
        <v>12.5</v>
      </c>
      <c r="AO257" s="53">
        <v>33</v>
      </c>
      <c r="AP257" s="54">
        <v>11</v>
      </c>
      <c r="AQ257" s="54">
        <v>250</v>
      </c>
      <c r="AR257" s="54">
        <v>6.2</v>
      </c>
      <c r="AS257" s="57">
        <v>10.57</v>
      </c>
      <c r="AT257" s="56">
        <v>0</v>
      </c>
      <c r="AU257" s="57">
        <v>0</v>
      </c>
      <c r="AV257" s="56">
        <v>94.87</v>
      </c>
      <c r="AW257" s="57">
        <v>295.37</v>
      </c>
      <c r="AX257" s="8"/>
      <c r="AZ257" s="1">
        <v>90</v>
      </c>
    </row>
    <row r="258" spans="3:52" ht="15" customHeight="1" x14ac:dyDescent="0.25">
      <c r="C258" s="42"/>
      <c r="D258" s="43">
        <f>D256</f>
        <v>45678</v>
      </c>
      <c r="E258" s="44">
        <f t="shared" ref="E258:E267" si="25">E257+2/24</f>
        <v>20.416666666666647</v>
      </c>
      <c r="F258" s="45">
        <f t="shared" si="21"/>
        <v>45678.416666667254</v>
      </c>
      <c r="G258" s="52">
        <v>0</v>
      </c>
      <c r="H258" s="53">
        <v>37</v>
      </c>
      <c r="I258" s="54">
        <v>11.1</v>
      </c>
      <c r="J258" s="54">
        <v>300</v>
      </c>
      <c r="K258" s="55">
        <v>11.1</v>
      </c>
      <c r="L258" s="56">
        <v>37</v>
      </c>
      <c r="M258" s="54">
        <v>10.6</v>
      </c>
      <c r="N258" s="54">
        <v>350</v>
      </c>
      <c r="O258" s="57">
        <v>11.5</v>
      </c>
      <c r="P258" s="53">
        <v>36</v>
      </c>
      <c r="Q258" s="54">
        <v>10.8</v>
      </c>
      <c r="R258" s="55">
        <v>0</v>
      </c>
      <c r="S258" s="55">
        <v>7.8</v>
      </c>
      <c r="T258" s="57">
        <v>17.11</v>
      </c>
      <c r="U258" s="56">
        <v>33</v>
      </c>
      <c r="V258" s="54">
        <v>10.8</v>
      </c>
      <c r="W258" s="55">
        <v>0</v>
      </c>
      <c r="X258" s="55">
        <v>7</v>
      </c>
      <c r="Y258" s="57">
        <v>13.07</v>
      </c>
      <c r="Z258" s="53">
        <v>35</v>
      </c>
      <c r="AA258" s="54">
        <v>11</v>
      </c>
      <c r="AB258" s="55">
        <v>0</v>
      </c>
      <c r="AC258" s="55">
        <v>6.7</v>
      </c>
      <c r="AD258" s="57">
        <v>13.26</v>
      </c>
      <c r="AE258" s="56">
        <v>30</v>
      </c>
      <c r="AF258" s="54">
        <v>11</v>
      </c>
      <c r="AG258" s="55">
        <v>0</v>
      </c>
      <c r="AH258" s="55">
        <v>7.1</v>
      </c>
      <c r="AI258" s="57">
        <v>14.03</v>
      </c>
      <c r="AJ258" s="56">
        <v>32</v>
      </c>
      <c r="AK258" s="54">
        <v>11</v>
      </c>
      <c r="AL258" s="54">
        <v>0</v>
      </c>
      <c r="AM258" s="54">
        <v>6.6</v>
      </c>
      <c r="AN258" s="57">
        <v>12.88</v>
      </c>
      <c r="AO258" s="53">
        <v>33</v>
      </c>
      <c r="AP258" s="54">
        <v>11</v>
      </c>
      <c r="AQ258" s="54">
        <v>250</v>
      </c>
      <c r="AR258" s="54">
        <v>6.4</v>
      </c>
      <c r="AS258" s="57">
        <v>10.96</v>
      </c>
      <c r="AT258" s="56">
        <v>0</v>
      </c>
      <c r="AU258" s="57">
        <v>0</v>
      </c>
      <c r="AV258" s="56">
        <v>95.02</v>
      </c>
      <c r="AW258" s="57">
        <v>291.45</v>
      </c>
      <c r="AX258" s="8"/>
      <c r="AZ258" s="1">
        <v>90</v>
      </c>
    </row>
    <row r="259" spans="3:52" ht="15" customHeight="1" x14ac:dyDescent="0.25">
      <c r="C259" s="42"/>
      <c r="D259" s="43">
        <f>D256</f>
        <v>45678</v>
      </c>
      <c r="E259" s="44">
        <f t="shared" si="25"/>
        <v>20.499999999999979</v>
      </c>
      <c r="F259" s="45">
        <f t="shared" si="21"/>
        <v>45678.500000000589</v>
      </c>
      <c r="G259" s="52">
        <v>0</v>
      </c>
      <c r="H259" s="53">
        <v>36</v>
      </c>
      <c r="I259" s="54">
        <v>10.9</v>
      </c>
      <c r="J259" s="54">
        <v>300</v>
      </c>
      <c r="K259" s="55">
        <v>11.2</v>
      </c>
      <c r="L259" s="56">
        <v>36</v>
      </c>
      <c r="M259" s="54">
        <v>10.6</v>
      </c>
      <c r="N259" s="54">
        <v>300</v>
      </c>
      <c r="O259" s="57">
        <v>11.5</v>
      </c>
      <c r="P259" s="53">
        <v>35</v>
      </c>
      <c r="Q259" s="54">
        <v>10.7</v>
      </c>
      <c r="R259" s="55">
        <v>0</v>
      </c>
      <c r="S259" s="55">
        <v>7.9</v>
      </c>
      <c r="T259" s="57">
        <v>16.73</v>
      </c>
      <c r="U259" s="56">
        <v>34</v>
      </c>
      <c r="V259" s="54">
        <v>10.8</v>
      </c>
      <c r="W259" s="55">
        <v>0</v>
      </c>
      <c r="X259" s="55">
        <v>7.1</v>
      </c>
      <c r="Y259" s="57">
        <v>13.04</v>
      </c>
      <c r="Z259" s="53">
        <v>35</v>
      </c>
      <c r="AA259" s="54">
        <v>10.9</v>
      </c>
      <c r="AB259" s="55">
        <v>0</v>
      </c>
      <c r="AC259" s="55">
        <v>6.9</v>
      </c>
      <c r="AD259" s="57">
        <v>14.03</v>
      </c>
      <c r="AE259" s="56">
        <v>32</v>
      </c>
      <c r="AF259" s="54">
        <v>11</v>
      </c>
      <c r="AG259" s="55">
        <v>0</v>
      </c>
      <c r="AH259" s="55">
        <v>7.2</v>
      </c>
      <c r="AI259" s="57">
        <v>13.26</v>
      </c>
      <c r="AJ259" s="56">
        <v>33</v>
      </c>
      <c r="AK259" s="54">
        <v>10.8</v>
      </c>
      <c r="AL259" s="54">
        <v>0</v>
      </c>
      <c r="AM259" s="54">
        <v>6.8</v>
      </c>
      <c r="AN259" s="57">
        <v>12.88</v>
      </c>
      <c r="AO259" s="53">
        <v>32</v>
      </c>
      <c r="AP259" s="54">
        <v>10.8</v>
      </c>
      <c r="AQ259" s="54">
        <v>290</v>
      </c>
      <c r="AR259" s="54">
        <v>6.6</v>
      </c>
      <c r="AS259" s="57">
        <v>10.57</v>
      </c>
      <c r="AT259" s="56">
        <v>0</v>
      </c>
      <c r="AU259" s="57">
        <v>0</v>
      </c>
      <c r="AV259" s="56">
        <v>95.05</v>
      </c>
      <c r="AW259" s="57">
        <v>293.33</v>
      </c>
      <c r="AX259" s="8"/>
      <c r="AZ259" s="1">
        <v>90</v>
      </c>
    </row>
    <row r="260" spans="3:52" ht="15" customHeight="1" x14ac:dyDescent="0.25">
      <c r="C260" s="42"/>
      <c r="D260" s="43">
        <f>D256</f>
        <v>45678</v>
      </c>
      <c r="E260" s="44">
        <f t="shared" si="25"/>
        <v>20.583333333333311</v>
      </c>
      <c r="F260" s="45">
        <f t="shared" si="21"/>
        <v>45678.583333333925</v>
      </c>
      <c r="G260" s="52">
        <v>30</v>
      </c>
      <c r="H260" s="53">
        <v>36</v>
      </c>
      <c r="I260" s="54">
        <v>10.9</v>
      </c>
      <c r="J260" s="54">
        <v>300</v>
      </c>
      <c r="K260" s="55">
        <v>11.1</v>
      </c>
      <c r="L260" s="56">
        <v>37</v>
      </c>
      <c r="M260" s="54">
        <v>10.5</v>
      </c>
      <c r="N260" s="54">
        <v>300</v>
      </c>
      <c r="O260" s="57">
        <v>11.1</v>
      </c>
      <c r="P260" s="53">
        <v>34</v>
      </c>
      <c r="Q260" s="54">
        <v>10.7</v>
      </c>
      <c r="R260" s="55">
        <v>0</v>
      </c>
      <c r="S260" s="55">
        <v>7.2</v>
      </c>
      <c r="T260" s="57">
        <v>16.34</v>
      </c>
      <c r="U260" s="56">
        <v>33</v>
      </c>
      <c r="V260" s="54">
        <v>10.7</v>
      </c>
      <c r="W260" s="55">
        <v>0</v>
      </c>
      <c r="X260" s="55">
        <v>6.9</v>
      </c>
      <c r="Y260" s="57">
        <v>13.84</v>
      </c>
      <c r="Z260" s="53">
        <v>34</v>
      </c>
      <c r="AA260" s="54">
        <v>10.9</v>
      </c>
      <c r="AB260" s="55">
        <v>0</v>
      </c>
      <c r="AC260" s="55">
        <v>6.8</v>
      </c>
      <c r="AD260" s="57">
        <v>13.84</v>
      </c>
      <c r="AE260" s="56">
        <v>33</v>
      </c>
      <c r="AF260" s="54">
        <v>10.8</v>
      </c>
      <c r="AG260" s="55">
        <v>0</v>
      </c>
      <c r="AH260" s="55">
        <v>6.8</v>
      </c>
      <c r="AI260" s="57">
        <v>13.84</v>
      </c>
      <c r="AJ260" s="56">
        <v>31</v>
      </c>
      <c r="AK260" s="54">
        <v>10.7</v>
      </c>
      <c r="AL260" s="54">
        <v>0</v>
      </c>
      <c r="AM260" s="54">
        <v>6.7</v>
      </c>
      <c r="AN260" s="57">
        <v>12.3</v>
      </c>
      <c r="AO260" s="53">
        <v>31</v>
      </c>
      <c r="AP260" s="54">
        <v>10.7</v>
      </c>
      <c r="AQ260" s="54">
        <v>290</v>
      </c>
      <c r="AR260" s="54">
        <v>6.2</v>
      </c>
      <c r="AS260" s="57">
        <v>10.96</v>
      </c>
      <c r="AT260" s="56">
        <v>0</v>
      </c>
      <c r="AU260" s="57">
        <v>0</v>
      </c>
      <c r="AV260" s="56">
        <v>95.03</v>
      </c>
      <c r="AW260" s="57">
        <v>292.60000000000002</v>
      </c>
      <c r="AX260" s="8"/>
      <c r="AZ260" s="1">
        <v>90</v>
      </c>
    </row>
    <row r="261" spans="3:52" ht="15" customHeight="1" x14ac:dyDescent="0.25">
      <c r="C261" s="42"/>
      <c r="D261" s="43">
        <f>D256</f>
        <v>45678</v>
      </c>
      <c r="E261" s="44">
        <f t="shared" si="25"/>
        <v>20.666666666666643</v>
      </c>
      <c r="F261" s="45">
        <f t="shared" si="21"/>
        <v>45678.666666667261</v>
      </c>
      <c r="G261" s="52">
        <v>37</v>
      </c>
      <c r="H261" s="53">
        <v>34</v>
      </c>
      <c r="I261" s="54">
        <v>10.8</v>
      </c>
      <c r="J261" s="54">
        <v>300</v>
      </c>
      <c r="K261" s="55">
        <v>10.9</v>
      </c>
      <c r="L261" s="56">
        <v>36</v>
      </c>
      <c r="M261" s="54">
        <v>10.4</v>
      </c>
      <c r="N261" s="54">
        <v>300</v>
      </c>
      <c r="O261" s="57">
        <v>10.9</v>
      </c>
      <c r="P261" s="53">
        <v>33</v>
      </c>
      <c r="Q261" s="54">
        <v>10.5</v>
      </c>
      <c r="R261" s="55">
        <v>0</v>
      </c>
      <c r="S261" s="55">
        <v>7</v>
      </c>
      <c r="T261" s="57">
        <v>17.3</v>
      </c>
      <c r="U261" s="56">
        <v>31</v>
      </c>
      <c r="V261" s="54">
        <v>10.7</v>
      </c>
      <c r="W261" s="55">
        <v>0</v>
      </c>
      <c r="X261" s="55">
        <v>6.8</v>
      </c>
      <c r="Y261" s="57">
        <v>13.07</v>
      </c>
      <c r="Z261" s="53">
        <v>33</v>
      </c>
      <c r="AA261" s="54">
        <v>10.7</v>
      </c>
      <c r="AB261" s="55">
        <v>0</v>
      </c>
      <c r="AC261" s="55">
        <v>7.1</v>
      </c>
      <c r="AD261" s="57">
        <v>11.53</v>
      </c>
      <c r="AE261" s="56">
        <v>32</v>
      </c>
      <c r="AF261" s="54">
        <v>10.7</v>
      </c>
      <c r="AG261" s="55">
        <v>0</v>
      </c>
      <c r="AH261" s="55">
        <v>6.6</v>
      </c>
      <c r="AI261" s="57">
        <v>14.23</v>
      </c>
      <c r="AJ261" s="56">
        <v>31</v>
      </c>
      <c r="AK261" s="54">
        <v>10.7</v>
      </c>
      <c r="AL261" s="54">
        <v>0</v>
      </c>
      <c r="AM261" s="54">
        <v>6.9</v>
      </c>
      <c r="AN261" s="57">
        <v>12.11</v>
      </c>
      <c r="AO261" s="53">
        <v>31</v>
      </c>
      <c r="AP261" s="54">
        <v>10.7</v>
      </c>
      <c r="AQ261" s="54">
        <v>310</v>
      </c>
      <c r="AR261" s="54">
        <v>6.8</v>
      </c>
      <c r="AS261" s="57">
        <v>10.57</v>
      </c>
      <c r="AT261" s="56">
        <v>21</v>
      </c>
      <c r="AU261" s="57">
        <v>280</v>
      </c>
      <c r="AV261" s="56">
        <v>95.04</v>
      </c>
      <c r="AW261" s="57">
        <v>292.18</v>
      </c>
      <c r="AX261" s="8"/>
      <c r="AZ261" s="1">
        <v>90</v>
      </c>
    </row>
    <row r="262" spans="3:52" ht="15" customHeight="1" x14ac:dyDescent="0.25">
      <c r="C262" s="42"/>
      <c r="D262" s="43">
        <f>D256</f>
        <v>45678</v>
      </c>
      <c r="E262" s="44">
        <f t="shared" si="25"/>
        <v>20.749999999999975</v>
      </c>
      <c r="F262" s="45">
        <f t="shared" si="21"/>
        <v>45678.750000000597</v>
      </c>
      <c r="G262" s="52">
        <v>0</v>
      </c>
      <c r="H262" s="53">
        <v>35</v>
      </c>
      <c r="I262" s="54">
        <v>10.9</v>
      </c>
      <c r="J262" s="54">
        <v>300</v>
      </c>
      <c r="K262" s="55">
        <v>11</v>
      </c>
      <c r="L262" s="56">
        <v>37</v>
      </c>
      <c r="M262" s="54">
        <v>10.7</v>
      </c>
      <c r="N262" s="54">
        <v>300</v>
      </c>
      <c r="O262" s="57">
        <v>11.1</v>
      </c>
      <c r="P262" s="53">
        <v>35</v>
      </c>
      <c r="Q262" s="54">
        <v>10.6</v>
      </c>
      <c r="R262" s="55">
        <v>0</v>
      </c>
      <c r="S262" s="55">
        <v>7.9</v>
      </c>
      <c r="T262" s="57">
        <v>17.11</v>
      </c>
      <c r="U262" s="56">
        <v>33</v>
      </c>
      <c r="V262" s="54">
        <v>10.8</v>
      </c>
      <c r="W262" s="55">
        <v>0</v>
      </c>
      <c r="X262" s="55">
        <v>6.9</v>
      </c>
      <c r="Y262" s="57">
        <v>12.88</v>
      </c>
      <c r="Z262" s="53">
        <v>34</v>
      </c>
      <c r="AA262" s="54">
        <v>10.8</v>
      </c>
      <c r="AB262" s="55">
        <v>0</v>
      </c>
      <c r="AC262" s="55">
        <v>7.3</v>
      </c>
      <c r="AD262" s="57">
        <v>12.88</v>
      </c>
      <c r="AE262" s="56">
        <v>32</v>
      </c>
      <c r="AF262" s="54">
        <v>10.7</v>
      </c>
      <c r="AG262" s="55">
        <v>0</v>
      </c>
      <c r="AH262" s="55">
        <v>6.7</v>
      </c>
      <c r="AI262" s="57">
        <v>13.84</v>
      </c>
      <c r="AJ262" s="56">
        <v>32</v>
      </c>
      <c r="AK262" s="54">
        <v>10.7</v>
      </c>
      <c r="AL262" s="54">
        <v>0</v>
      </c>
      <c r="AM262" s="54">
        <v>6.6</v>
      </c>
      <c r="AN262" s="57">
        <v>12.2</v>
      </c>
      <c r="AO262" s="53">
        <v>31</v>
      </c>
      <c r="AP262" s="54">
        <v>10.6</v>
      </c>
      <c r="AQ262" s="54">
        <v>300</v>
      </c>
      <c r="AR262" s="54">
        <v>6.9</v>
      </c>
      <c r="AS262" s="57">
        <v>10.57</v>
      </c>
      <c r="AT262" s="56">
        <v>24</v>
      </c>
      <c r="AU262" s="57">
        <v>280</v>
      </c>
      <c r="AV262" s="56">
        <v>94.91</v>
      </c>
      <c r="AW262" s="57">
        <v>294.54000000000002</v>
      </c>
      <c r="AX262" s="8"/>
      <c r="AZ262" s="1">
        <v>90</v>
      </c>
    </row>
    <row r="263" spans="3:52" ht="15" customHeight="1" x14ac:dyDescent="0.25">
      <c r="C263" s="42"/>
      <c r="D263" s="43">
        <f>D256</f>
        <v>45678</v>
      </c>
      <c r="E263" s="44">
        <f t="shared" si="25"/>
        <v>20.833333333333307</v>
      </c>
      <c r="F263" s="45">
        <f t="shared" si="21"/>
        <v>45678.833333333932</v>
      </c>
      <c r="G263" s="52">
        <v>34</v>
      </c>
      <c r="H263" s="53">
        <v>38</v>
      </c>
      <c r="I263" s="54">
        <v>10.3</v>
      </c>
      <c r="J263" s="54">
        <v>350</v>
      </c>
      <c r="K263" s="55">
        <v>9.6999999999999993</v>
      </c>
      <c r="L263" s="56">
        <v>37</v>
      </c>
      <c r="M263" s="54">
        <v>10.3</v>
      </c>
      <c r="N263" s="54">
        <v>300</v>
      </c>
      <c r="O263" s="57">
        <v>9.9</v>
      </c>
      <c r="P263" s="53">
        <v>35</v>
      </c>
      <c r="Q263" s="54">
        <v>10.5</v>
      </c>
      <c r="R263" s="55">
        <v>0</v>
      </c>
      <c r="S263" s="55">
        <v>9.6</v>
      </c>
      <c r="T263" s="57">
        <v>18</v>
      </c>
      <c r="U263" s="56">
        <v>36</v>
      </c>
      <c r="V263" s="54">
        <v>10.6</v>
      </c>
      <c r="W263" s="55">
        <v>0</v>
      </c>
      <c r="X263" s="55">
        <v>9.3000000000000007</v>
      </c>
      <c r="Y263" s="57">
        <v>14</v>
      </c>
      <c r="Z263" s="53">
        <v>36</v>
      </c>
      <c r="AA263" s="54">
        <v>10.7</v>
      </c>
      <c r="AB263" s="55">
        <v>0</v>
      </c>
      <c r="AC263" s="55">
        <v>8.9</v>
      </c>
      <c r="AD263" s="57">
        <v>15.4</v>
      </c>
      <c r="AE263" s="56">
        <v>33</v>
      </c>
      <c r="AF263" s="54">
        <v>10.8</v>
      </c>
      <c r="AG263" s="55">
        <v>0</v>
      </c>
      <c r="AH263" s="55">
        <v>8.6</v>
      </c>
      <c r="AI263" s="57">
        <v>15.2</v>
      </c>
      <c r="AJ263" s="56">
        <v>33</v>
      </c>
      <c r="AK263" s="54">
        <v>10.8</v>
      </c>
      <c r="AL263" s="54">
        <v>0</v>
      </c>
      <c r="AM263" s="54">
        <v>8.9</v>
      </c>
      <c r="AN263" s="57">
        <v>14</v>
      </c>
      <c r="AO263" s="53">
        <v>34</v>
      </c>
      <c r="AP263" s="54">
        <v>10.9</v>
      </c>
      <c r="AQ263" s="54">
        <v>380</v>
      </c>
      <c r="AR263" s="54">
        <v>9</v>
      </c>
      <c r="AS263" s="57">
        <v>12.2</v>
      </c>
      <c r="AT263" s="56">
        <v>26</v>
      </c>
      <c r="AU263" s="57">
        <v>250</v>
      </c>
      <c r="AV263" s="56">
        <v>94.84</v>
      </c>
      <c r="AW263" s="57">
        <v>295.16000000000003</v>
      </c>
      <c r="AX263" s="8"/>
      <c r="AZ263" s="1">
        <v>90</v>
      </c>
    </row>
    <row r="264" spans="3:52" ht="15" customHeight="1" x14ac:dyDescent="0.25">
      <c r="C264" s="42"/>
      <c r="D264" s="43">
        <f>D256</f>
        <v>45678</v>
      </c>
      <c r="E264" s="44">
        <f t="shared" si="25"/>
        <v>20.916666666666639</v>
      </c>
      <c r="F264" s="45">
        <f t="shared" si="21"/>
        <v>45678.916666667268</v>
      </c>
      <c r="G264" s="52">
        <v>36</v>
      </c>
      <c r="H264" s="53">
        <v>36</v>
      </c>
      <c r="I264" s="54">
        <v>10.3</v>
      </c>
      <c r="J264" s="54">
        <v>300</v>
      </c>
      <c r="K264" s="55">
        <v>9.5</v>
      </c>
      <c r="L264" s="56">
        <v>37</v>
      </c>
      <c r="M264" s="54">
        <v>10.3</v>
      </c>
      <c r="N264" s="54">
        <v>300</v>
      </c>
      <c r="O264" s="57">
        <v>10.4</v>
      </c>
      <c r="P264" s="53">
        <v>36</v>
      </c>
      <c r="Q264" s="54">
        <v>10.5</v>
      </c>
      <c r="R264" s="55">
        <v>0</v>
      </c>
      <c r="S264" s="55">
        <v>9.9</v>
      </c>
      <c r="T264" s="57">
        <v>17.8</v>
      </c>
      <c r="U264" s="56">
        <v>36</v>
      </c>
      <c r="V264" s="54">
        <v>10.6</v>
      </c>
      <c r="W264" s="55">
        <v>0</v>
      </c>
      <c r="X264" s="55">
        <v>9.6999999999999993</v>
      </c>
      <c r="Y264" s="57">
        <v>14.4</v>
      </c>
      <c r="Z264" s="53">
        <v>35</v>
      </c>
      <c r="AA264" s="54">
        <v>10.7</v>
      </c>
      <c r="AB264" s="55">
        <v>0</v>
      </c>
      <c r="AC264" s="55">
        <v>9.1999999999999993</v>
      </c>
      <c r="AD264" s="57">
        <v>15</v>
      </c>
      <c r="AE264" s="56">
        <v>34</v>
      </c>
      <c r="AF264" s="54">
        <v>10.8</v>
      </c>
      <c r="AG264" s="55">
        <v>0</v>
      </c>
      <c r="AH264" s="55">
        <v>8.8000000000000007</v>
      </c>
      <c r="AI264" s="57">
        <v>15.2</v>
      </c>
      <c r="AJ264" s="56">
        <v>34</v>
      </c>
      <c r="AK264" s="54">
        <v>10.8</v>
      </c>
      <c r="AL264" s="54">
        <v>0</v>
      </c>
      <c r="AM264" s="54">
        <v>8.5</v>
      </c>
      <c r="AN264" s="57">
        <v>13.8</v>
      </c>
      <c r="AO264" s="53">
        <v>35</v>
      </c>
      <c r="AP264" s="54">
        <v>10.9</v>
      </c>
      <c r="AQ264" s="54">
        <v>330</v>
      </c>
      <c r="AR264" s="54">
        <v>9.8000000000000007</v>
      </c>
      <c r="AS264" s="57">
        <v>12</v>
      </c>
      <c r="AT264" s="56">
        <v>24</v>
      </c>
      <c r="AU264" s="57">
        <v>200</v>
      </c>
      <c r="AV264" s="56">
        <v>94.9</v>
      </c>
      <c r="AW264" s="57">
        <v>294.82</v>
      </c>
      <c r="AX264" s="8"/>
      <c r="AZ264" s="1">
        <v>90</v>
      </c>
    </row>
    <row r="265" spans="3:52" ht="15" customHeight="1" x14ac:dyDescent="0.25">
      <c r="C265" s="42"/>
      <c r="D265" s="43">
        <f>D256</f>
        <v>45678</v>
      </c>
      <c r="E265" s="44">
        <f t="shared" si="25"/>
        <v>20.999999999999972</v>
      </c>
      <c r="F265" s="45">
        <f t="shared" si="21"/>
        <v>45679.000000000604</v>
      </c>
      <c r="G265" s="52">
        <v>40</v>
      </c>
      <c r="H265" s="53">
        <v>38</v>
      </c>
      <c r="I265" s="54">
        <v>10.199999999999999</v>
      </c>
      <c r="J265" s="54">
        <v>350</v>
      </c>
      <c r="K265" s="55">
        <v>10.199999999999999</v>
      </c>
      <c r="L265" s="56">
        <v>39</v>
      </c>
      <c r="M265" s="54">
        <v>10.4</v>
      </c>
      <c r="N265" s="54">
        <v>300</v>
      </c>
      <c r="O265" s="57">
        <v>10.9</v>
      </c>
      <c r="P265" s="53">
        <v>36</v>
      </c>
      <c r="Q265" s="54">
        <v>10.5</v>
      </c>
      <c r="R265" s="55">
        <v>0</v>
      </c>
      <c r="S265" s="55">
        <v>9.6999999999999993</v>
      </c>
      <c r="T265" s="57">
        <v>17.8</v>
      </c>
      <c r="U265" s="56">
        <v>35</v>
      </c>
      <c r="V265" s="54">
        <v>10.6</v>
      </c>
      <c r="W265" s="55">
        <v>0</v>
      </c>
      <c r="X265" s="55">
        <v>9.5</v>
      </c>
      <c r="Y265" s="57">
        <v>14.2</v>
      </c>
      <c r="Z265" s="53">
        <v>36</v>
      </c>
      <c r="AA265" s="54">
        <v>10.7</v>
      </c>
      <c r="AB265" s="55">
        <v>0</v>
      </c>
      <c r="AC265" s="55">
        <v>9.5</v>
      </c>
      <c r="AD265" s="57">
        <v>15.4</v>
      </c>
      <c r="AE265" s="56">
        <v>35</v>
      </c>
      <c r="AF265" s="54">
        <v>10.8</v>
      </c>
      <c r="AG265" s="55">
        <v>0</v>
      </c>
      <c r="AH265" s="55">
        <v>8.9</v>
      </c>
      <c r="AI265" s="57">
        <v>15.4</v>
      </c>
      <c r="AJ265" s="56">
        <v>34</v>
      </c>
      <c r="AK265" s="54">
        <v>10.8</v>
      </c>
      <c r="AL265" s="54">
        <v>0</v>
      </c>
      <c r="AM265" s="54">
        <v>8.5</v>
      </c>
      <c r="AN265" s="57">
        <v>14.2</v>
      </c>
      <c r="AO265" s="53">
        <v>34</v>
      </c>
      <c r="AP265" s="54">
        <v>10.9</v>
      </c>
      <c r="AQ265" s="54">
        <v>340</v>
      </c>
      <c r="AR265" s="54">
        <v>9.6</v>
      </c>
      <c r="AS265" s="57">
        <v>12.4</v>
      </c>
      <c r="AT265" s="56">
        <v>226</v>
      </c>
      <c r="AU265" s="57">
        <v>220</v>
      </c>
      <c r="AV265" s="56">
        <v>94.86</v>
      </c>
      <c r="AW265" s="57">
        <v>294.27999999999997</v>
      </c>
      <c r="AX265" s="8"/>
      <c r="AZ265" s="1">
        <v>90</v>
      </c>
    </row>
    <row r="266" spans="3:52" ht="15" customHeight="1" x14ac:dyDescent="0.25">
      <c r="C266" s="42"/>
      <c r="D266" s="43">
        <f>D256</f>
        <v>45678</v>
      </c>
      <c r="E266" s="44">
        <f t="shared" si="25"/>
        <v>21.083333333333304</v>
      </c>
      <c r="F266" s="45">
        <f t="shared" si="21"/>
        <v>45679.08333333394</v>
      </c>
      <c r="G266" s="52">
        <v>40</v>
      </c>
      <c r="H266" s="53">
        <v>38</v>
      </c>
      <c r="I266" s="54">
        <v>10.3</v>
      </c>
      <c r="J266" s="54">
        <v>350</v>
      </c>
      <c r="K266" s="55">
        <v>9.8000000000000007</v>
      </c>
      <c r="L266" s="56">
        <v>38</v>
      </c>
      <c r="M266" s="54">
        <v>10.3</v>
      </c>
      <c r="N266" s="54">
        <v>300</v>
      </c>
      <c r="O266" s="57">
        <v>10.1</v>
      </c>
      <c r="P266" s="53">
        <v>36</v>
      </c>
      <c r="Q266" s="54">
        <v>10.5</v>
      </c>
      <c r="R266" s="55">
        <v>0</v>
      </c>
      <c r="S266" s="55">
        <v>9.4</v>
      </c>
      <c r="T266" s="57">
        <v>17.600000000000001</v>
      </c>
      <c r="U266" s="56">
        <v>35</v>
      </c>
      <c r="V266" s="54">
        <v>10.5</v>
      </c>
      <c r="W266" s="55">
        <v>0</v>
      </c>
      <c r="X266" s="55">
        <v>9.8000000000000007</v>
      </c>
      <c r="Y266" s="57">
        <v>14</v>
      </c>
      <c r="Z266" s="53">
        <v>36</v>
      </c>
      <c r="AA266" s="54">
        <v>10.6</v>
      </c>
      <c r="AB266" s="55">
        <v>0</v>
      </c>
      <c r="AC266" s="55">
        <v>9.1999999999999993</v>
      </c>
      <c r="AD266" s="57">
        <v>15</v>
      </c>
      <c r="AE266" s="56">
        <v>36</v>
      </c>
      <c r="AF266" s="54">
        <v>10.8</v>
      </c>
      <c r="AG266" s="55">
        <v>0</v>
      </c>
      <c r="AH266" s="55">
        <v>8.8000000000000007</v>
      </c>
      <c r="AI266" s="57">
        <v>15.6</v>
      </c>
      <c r="AJ266" s="56">
        <v>35</v>
      </c>
      <c r="AK266" s="54">
        <v>10.7</v>
      </c>
      <c r="AL266" s="54">
        <v>0</v>
      </c>
      <c r="AM266" s="54">
        <v>8.4</v>
      </c>
      <c r="AN266" s="57">
        <v>13.8</v>
      </c>
      <c r="AO266" s="53">
        <v>35</v>
      </c>
      <c r="AP266" s="54">
        <v>10.8</v>
      </c>
      <c r="AQ266" s="54">
        <v>340</v>
      </c>
      <c r="AR266" s="54">
        <v>9.6999999999999993</v>
      </c>
      <c r="AS266" s="57">
        <v>12</v>
      </c>
      <c r="AT266" s="56">
        <v>24</v>
      </c>
      <c r="AU266" s="57">
        <v>210</v>
      </c>
      <c r="AV266" s="56">
        <v>94.89</v>
      </c>
      <c r="AW266" s="57">
        <v>294.95</v>
      </c>
      <c r="AX266" s="8"/>
      <c r="AZ266" s="1">
        <v>90</v>
      </c>
    </row>
    <row r="267" spans="3:52" ht="15" customHeight="1" x14ac:dyDescent="0.25">
      <c r="C267" s="42"/>
      <c r="D267" s="69">
        <f>D256</f>
        <v>45678</v>
      </c>
      <c r="E267" s="70">
        <f t="shared" si="25"/>
        <v>21.166666666666636</v>
      </c>
      <c r="F267" s="71">
        <f t="shared" si="21"/>
        <v>45679.166666667275</v>
      </c>
      <c r="G267" s="60">
        <v>41</v>
      </c>
      <c r="H267" s="61">
        <v>38</v>
      </c>
      <c r="I267" s="62">
        <v>10.1</v>
      </c>
      <c r="J267" s="62">
        <v>350</v>
      </c>
      <c r="K267" s="63">
        <v>10.199999999999999</v>
      </c>
      <c r="L267" s="64">
        <v>37</v>
      </c>
      <c r="M267" s="62">
        <v>10.199999999999999</v>
      </c>
      <c r="N267" s="62">
        <v>300</v>
      </c>
      <c r="O267" s="65">
        <v>10.5</v>
      </c>
      <c r="P267" s="61">
        <v>35</v>
      </c>
      <c r="Q267" s="62">
        <v>10.4</v>
      </c>
      <c r="R267" s="63">
        <v>0</v>
      </c>
      <c r="S267" s="63">
        <v>9.8000000000000007</v>
      </c>
      <c r="T267" s="65">
        <v>17.8</v>
      </c>
      <c r="U267" s="64">
        <v>36</v>
      </c>
      <c r="V267" s="62">
        <v>10.5</v>
      </c>
      <c r="W267" s="63">
        <v>0</v>
      </c>
      <c r="X267" s="63">
        <v>9.3000000000000007</v>
      </c>
      <c r="Y267" s="65">
        <v>14.2</v>
      </c>
      <c r="Z267" s="61">
        <v>35</v>
      </c>
      <c r="AA267" s="62">
        <v>10.6</v>
      </c>
      <c r="AB267" s="63">
        <v>0</v>
      </c>
      <c r="AC267" s="63">
        <v>9.4</v>
      </c>
      <c r="AD267" s="65">
        <v>15</v>
      </c>
      <c r="AE267" s="64">
        <v>36</v>
      </c>
      <c r="AF267" s="62">
        <v>10.7</v>
      </c>
      <c r="AG267" s="63">
        <v>0</v>
      </c>
      <c r="AH267" s="63">
        <v>9.1</v>
      </c>
      <c r="AI267" s="65">
        <v>15.4</v>
      </c>
      <c r="AJ267" s="64">
        <v>36</v>
      </c>
      <c r="AK267" s="62">
        <v>10.8</v>
      </c>
      <c r="AL267" s="62">
        <v>0</v>
      </c>
      <c r="AM267" s="62">
        <v>8.6999999999999993</v>
      </c>
      <c r="AN267" s="65">
        <v>14</v>
      </c>
      <c r="AO267" s="61">
        <v>34</v>
      </c>
      <c r="AP267" s="62">
        <v>10.9</v>
      </c>
      <c r="AQ267" s="62">
        <v>320</v>
      </c>
      <c r="AR267" s="62">
        <v>9.9</v>
      </c>
      <c r="AS267" s="65">
        <v>12.2</v>
      </c>
      <c r="AT267" s="64">
        <v>23</v>
      </c>
      <c r="AU267" s="65">
        <v>190</v>
      </c>
      <c r="AV267" s="64">
        <v>94.86</v>
      </c>
      <c r="AW267" s="65">
        <v>295.77</v>
      </c>
      <c r="AX267" s="8"/>
      <c r="AZ267" s="1">
        <v>90</v>
      </c>
    </row>
    <row r="268" spans="3:52" ht="15" customHeight="1" x14ac:dyDescent="0.25">
      <c r="C268" s="42">
        <f>C256+1</f>
        <v>22</v>
      </c>
      <c r="D268" s="66">
        <f>DATE([1]Dash!$F$3,VLOOKUP([1]Dash!$E$3,[1]Abb!$C$3:$D$14,2,FALSE),C268)</f>
        <v>45679</v>
      </c>
      <c r="E268" s="67">
        <f>E267+2/24</f>
        <v>21.249999999999968</v>
      </c>
      <c r="F268" s="68">
        <f t="shared" si="21"/>
        <v>45679.250000000611</v>
      </c>
      <c r="G268" s="46">
        <v>42</v>
      </c>
      <c r="H268" s="47">
        <v>38</v>
      </c>
      <c r="I268" s="48">
        <v>10.1</v>
      </c>
      <c r="J268" s="48">
        <v>350</v>
      </c>
      <c r="K268" s="49">
        <v>9.6999999999999993</v>
      </c>
      <c r="L268" s="50">
        <v>38</v>
      </c>
      <c r="M268" s="48">
        <v>10.3</v>
      </c>
      <c r="N268" s="48">
        <v>300</v>
      </c>
      <c r="O268" s="51">
        <v>10.3</v>
      </c>
      <c r="P268" s="47">
        <v>37</v>
      </c>
      <c r="Q268" s="48">
        <v>10.4</v>
      </c>
      <c r="R268" s="49">
        <v>0</v>
      </c>
      <c r="S268" s="49">
        <v>9.6</v>
      </c>
      <c r="T268" s="51">
        <v>18</v>
      </c>
      <c r="U268" s="50">
        <v>35</v>
      </c>
      <c r="V268" s="48">
        <v>10.5</v>
      </c>
      <c r="W268" s="49">
        <v>0</v>
      </c>
      <c r="X268" s="49">
        <v>9.5</v>
      </c>
      <c r="Y268" s="51">
        <v>14.4</v>
      </c>
      <c r="Z268" s="47">
        <v>36</v>
      </c>
      <c r="AA268" s="48">
        <v>10.6</v>
      </c>
      <c r="AB268" s="49">
        <v>0</v>
      </c>
      <c r="AC268" s="49">
        <v>9.1999999999999993</v>
      </c>
      <c r="AD268" s="51">
        <v>15.4</v>
      </c>
      <c r="AE268" s="50">
        <v>36</v>
      </c>
      <c r="AF268" s="48">
        <v>10.7</v>
      </c>
      <c r="AG268" s="49">
        <v>0</v>
      </c>
      <c r="AH268" s="49">
        <v>8.6999999999999993</v>
      </c>
      <c r="AI268" s="51">
        <v>15</v>
      </c>
      <c r="AJ268" s="50">
        <v>35</v>
      </c>
      <c r="AK268" s="48">
        <v>10.8</v>
      </c>
      <c r="AL268" s="48">
        <v>0</v>
      </c>
      <c r="AM268" s="48">
        <v>8.5</v>
      </c>
      <c r="AN268" s="51">
        <v>13.6</v>
      </c>
      <c r="AO268" s="47">
        <v>32</v>
      </c>
      <c r="AP268" s="48">
        <v>10.9</v>
      </c>
      <c r="AQ268" s="48">
        <v>330</v>
      </c>
      <c r="AR268" s="48">
        <v>9.3000000000000007</v>
      </c>
      <c r="AS268" s="51">
        <v>12</v>
      </c>
      <c r="AT268" s="50">
        <v>0</v>
      </c>
      <c r="AU268" s="51">
        <v>0</v>
      </c>
      <c r="AV268" s="50">
        <v>94.962562561035199</v>
      </c>
      <c r="AW268" s="51">
        <v>294.61058000481376</v>
      </c>
      <c r="AX268" s="8"/>
      <c r="AZ268" s="1">
        <v>90</v>
      </c>
    </row>
    <row r="269" spans="3:52" ht="15" customHeight="1" x14ac:dyDescent="0.25">
      <c r="C269" s="42"/>
      <c r="D269" s="43">
        <f>D268</f>
        <v>45679</v>
      </c>
      <c r="E269" s="44">
        <f>E268+2/24</f>
        <v>21.3333333333333</v>
      </c>
      <c r="F269" s="45">
        <f t="shared" si="21"/>
        <v>45679.333333333947</v>
      </c>
      <c r="G269" s="52">
        <v>41</v>
      </c>
      <c r="H269" s="53">
        <v>39</v>
      </c>
      <c r="I269" s="54">
        <v>11.9</v>
      </c>
      <c r="J269" s="54">
        <v>350</v>
      </c>
      <c r="K269" s="55">
        <v>10.199999999999999</v>
      </c>
      <c r="L269" s="56">
        <v>36</v>
      </c>
      <c r="M269" s="54">
        <v>10.8</v>
      </c>
      <c r="N269" s="54">
        <v>300</v>
      </c>
      <c r="O269" s="57">
        <v>10.1</v>
      </c>
      <c r="P269" s="53">
        <v>37</v>
      </c>
      <c r="Q269" s="54">
        <v>10.4</v>
      </c>
      <c r="R269" s="55">
        <v>0</v>
      </c>
      <c r="S269" s="55">
        <v>7.5</v>
      </c>
      <c r="T269" s="57">
        <v>16.34</v>
      </c>
      <c r="U269" s="56">
        <v>34</v>
      </c>
      <c r="V269" s="54">
        <v>10.4</v>
      </c>
      <c r="W269" s="55">
        <v>0</v>
      </c>
      <c r="X269" s="55">
        <v>7.9</v>
      </c>
      <c r="Y269" s="57">
        <v>17.5</v>
      </c>
      <c r="Z269" s="53">
        <v>35</v>
      </c>
      <c r="AA269" s="54">
        <v>10.7</v>
      </c>
      <c r="AB269" s="55">
        <v>0</v>
      </c>
      <c r="AC269" s="55">
        <v>7.6</v>
      </c>
      <c r="AD269" s="57">
        <v>15.38</v>
      </c>
      <c r="AE269" s="56">
        <v>34</v>
      </c>
      <c r="AF269" s="54">
        <v>10.7</v>
      </c>
      <c r="AG269" s="55">
        <v>0</v>
      </c>
      <c r="AH269" s="55">
        <v>7.1</v>
      </c>
      <c r="AI269" s="57">
        <v>13.46</v>
      </c>
      <c r="AJ269" s="56">
        <v>32</v>
      </c>
      <c r="AK269" s="54">
        <v>10.7</v>
      </c>
      <c r="AL269" s="54">
        <v>0</v>
      </c>
      <c r="AM269" s="54">
        <v>6.9</v>
      </c>
      <c r="AN269" s="57">
        <v>12.5</v>
      </c>
      <c r="AO269" s="53">
        <v>30</v>
      </c>
      <c r="AP269" s="54">
        <v>10.9</v>
      </c>
      <c r="AQ269" s="54">
        <v>310</v>
      </c>
      <c r="AR269" s="54">
        <v>7</v>
      </c>
      <c r="AS269" s="57">
        <v>10.57</v>
      </c>
      <c r="AT269" s="56">
        <v>22</v>
      </c>
      <c r="AU269" s="57">
        <v>290</v>
      </c>
      <c r="AV269" s="56">
        <v>94.913734436035199</v>
      </c>
      <c r="AW269" s="57">
        <v>293.53708460641406</v>
      </c>
      <c r="AX269" s="8"/>
      <c r="AZ269" s="1">
        <v>90</v>
      </c>
    </row>
    <row r="270" spans="3:52" ht="15" customHeight="1" x14ac:dyDescent="0.25">
      <c r="C270" s="42"/>
      <c r="D270" s="43">
        <f>D268</f>
        <v>45679</v>
      </c>
      <c r="E270" s="44">
        <f t="shared" ref="E270:E279" si="26">E269+2/24</f>
        <v>21.416666666666632</v>
      </c>
      <c r="F270" s="45">
        <f t="shared" si="21"/>
        <v>45679.416666667283</v>
      </c>
      <c r="G270" s="52">
        <v>40</v>
      </c>
      <c r="H270" s="53">
        <v>39</v>
      </c>
      <c r="I270" s="54">
        <v>11.7</v>
      </c>
      <c r="J270" s="54">
        <v>400</v>
      </c>
      <c r="K270" s="55">
        <v>10.9</v>
      </c>
      <c r="L270" s="56">
        <v>37</v>
      </c>
      <c r="M270" s="54">
        <v>11</v>
      </c>
      <c r="N270" s="54">
        <v>350</v>
      </c>
      <c r="O270" s="57">
        <v>11</v>
      </c>
      <c r="P270" s="53">
        <v>37</v>
      </c>
      <c r="Q270" s="54">
        <v>10.8</v>
      </c>
      <c r="R270" s="55">
        <v>0</v>
      </c>
      <c r="S270" s="55">
        <v>7</v>
      </c>
      <c r="T270" s="57">
        <v>16.73</v>
      </c>
      <c r="U270" s="56">
        <v>35</v>
      </c>
      <c r="V270" s="54">
        <v>10.8</v>
      </c>
      <c r="W270" s="55">
        <v>0</v>
      </c>
      <c r="X270" s="55">
        <v>6.8</v>
      </c>
      <c r="Y270" s="57">
        <v>13.26</v>
      </c>
      <c r="Z270" s="53">
        <v>35</v>
      </c>
      <c r="AA270" s="54">
        <v>10.7</v>
      </c>
      <c r="AB270" s="55">
        <v>0</v>
      </c>
      <c r="AC270" s="55">
        <v>7.1</v>
      </c>
      <c r="AD270" s="57">
        <v>15.19</v>
      </c>
      <c r="AE270" s="56">
        <v>32</v>
      </c>
      <c r="AF270" s="54">
        <v>10.7</v>
      </c>
      <c r="AG270" s="55">
        <v>0</v>
      </c>
      <c r="AH270" s="55">
        <v>6.6</v>
      </c>
      <c r="AI270" s="57">
        <v>13.07</v>
      </c>
      <c r="AJ270" s="56">
        <v>32</v>
      </c>
      <c r="AK270" s="54">
        <v>10.7</v>
      </c>
      <c r="AL270" s="54">
        <v>0</v>
      </c>
      <c r="AM270" s="54">
        <v>6.9</v>
      </c>
      <c r="AN270" s="57">
        <v>12.5</v>
      </c>
      <c r="AO270" s="53">
        <v>31</v>
      </c>
      <c r="AP270" s="54">
        <v>10.7</v>
      </c>
      <c r="AQ270" s="54">
        <v>310</v>
      </c>
      <c r="AR270" s="54">
        <v>6.8</v>
      </c>
      <c r="AS270" s="57">
        <v>10.96</v>
      </c>
      <c r="AT270" s="56">
        <v>23</v>
      </c>
      <c r="AU270" s="57">
        <v>270</v>
      </c>
      <c r="AV270" s="56">
        <v>95.01953125</v>
      </c>
      <c r="AW270" s="57">
        <v>292.54207635841641</v>
      </c>
      <c r="AX270" s="8"/>
      <c r="AZ270" s="1">
        <v>90</v>
      </c>
    </row>
    <row r="271" spans="3:52" ht="15" customHeight="1" x14ac:dyDescent="0.25">
      <c r="C271" s="42"/>
      <c r="D271" s="43">
        <f>D268</f>
        <v>45679</v>
      </c>
      <c r="E271" s="44">
        <f t="shared" si="26"/>
        <v>21.499999999999964</v>
      </c>
      <c r="F271" s="45">
        <f t="shared" si="21"/>
        <v>45679.500000000618</v>
      </c>
      <c r="G271" s="52">
        <v>38</v>
      </c>
      <c r="H271" s="53">
        <v>38</v>
      </c>
      <c r="I271" s="54">
        <v>11.2</v>
      </c>
      <c r="J271" s="54">
        <v>400</v>
      </c>
      <c r="K271" s="55">
        <v>10.9</v>
      </c>
      <c r="L271" s="56">
        <v>37</v>
      </c>
      <c r="M271" s="54">
        <v>10.9</v>
      </c>
      <c r="N271" s="54">
        <v>350</v>
      </c>
      <c r="O271" s="57">
        <v>0</v>
      </c>
      <c r="P271" s="53">
        <v>36</v>
      </c>
      <c r="Q271" s="54">
        <v>10.6</v>
      </c>
      <c r="R271" s="55">
        <v>0</v>
      </c>
      <c r="S271" s="55">
        <v>7.6</v>
      </c>
      <c r="T271" s="57">
        <v>16.73</v>
      </c>
      <c r="U271" s="56">
        <v>36</v>
      </c>
      <c r="V271" s="54">
        <v>10.5</v>
      </c>
      <c r="W271" s="55">
        <v>0</v>
      </c>
      <c r="X271" s="55">
        <v>6.9</v>
      </c>
      <c r="Y271" s="57">
        <v>13.26</v>
      </c>
      <c r="Z271" s="53">
        <v>34</v>
      </c>
      <c r="AA271" s="54">
        <v>10.5</v>
      </c>
      <c r="AB271" s="55">
        <v>0</v>
      </c>
      <c r="AC271" s="55">
        <v>7</v>
      </c>
      <c r="AD271" s="57">
        <v>15.38</v>
      </c>
      <c r="AE271" s="56">
        <v>33</v>
      </c>
      <c r="AF271" s="54">
        <v>10.6</v>
      </c>
      <c r="AG271" s="55">
        <v>0</v>
      </c>
      <c r="AH271" s="55">
        <v>7.2</v>
      </c>
      <c r="AI271" s="57">
        <v>13.46</v>
      </c>
      <c r="AJ271" s="56">
        <v>33</v>
      </c>
      <c r="AK271" s="54">
        <v>10.6</v>
      </c>
      <c r="AL271" s="54">
        <v>0</v>
      </c>
      <c r="AM271" s="54">
        <v>6.6</v>
      </c>
      <c r="AN271" s="57">
        <v>13.46</v>
      </c>
      <c r="AO271" s="53">
        <v>32</v>
      </c>
      <c r="AP271" s="54">
        <v>10.6</v>
      </c>
      <c r="AQ271" s="54">
        <v>310</v>
      </c>
      <c r="AR271" s="54">
        <v>6.4</v>
      </c>
      <c r="AS271" s="57">
        <v>10.96</v>
      </c>
      <c r="AT271" s="56">
        <v>24</v>
      </c>
      <c r="AU271" s="57">
        <v>280</v>
      </c>
      <c r="AV271" s="56">
        <v>95.121253967285199</v>
      </c>
      <c r="AW271" s="57">
        <v>291.95830917066581</v>
      </c>
      <c r="AX271" s="8"/>
      <c r="AZ271" s="1">
        <v>90</v>
      </c>
    </row>
    <row r="272" spans="3:52" ht="15" customHeight="1" x14ac:dyDescent="0.25">
      <c r="C272" s="42"/>
      <c r="D272" s="43">
        <f>D268</f>
        <v>45679</v>
      </c>
      <c r="E272" s="44">
        <f t="shared" si="26"/>
        <v>21.583333333333297</v>
      </c>
      <c r="F272" s="45">
        <f t="shared" si="21"/>
        <v>45679.583333333954</v>
      </c>
      <c r="G272" s="52">
        <v>39</v>
      </c>
      <c r="H272" s="53">
        <v>39</v>
      </c>
      <c r="I272" s="54">
        <v>10.9</v>
      </c>
      <c r="J272" s="54">
        <v>350</v>
      </c>
      <c r="K272" s="55">
        <v>11.2</v>
      </c>
      <c r="L272" s="56">
        <v>39</v>
      </c>
      <c r="M272" s="54">
        <v>10.8</v>
      </c>
      <c r="N272" s="54">
        <v>350</v>
      </c>
      <c r="O272" s="57">
        <v>11.5</v>
      </c>
      <c r="P272" s="53">
        <v>38</v>
      </c>
      <c r="Q272" s="54">
        <v>10.7</v>
      </c>
      <c r="R272" s="55">
        <v>0</v>
      </c>
      <c r="S272" s="55">
        <v>7.5</v>
      </c>
      <c r="T272" s="57">
        <v>16.920000000000002</v>
      </c>
      <c r="U272" s="56">
        <v>38</v>
      </c>
      <c r="V272" s="54">
        <v>10.5</v>
      </c>
      <c r="W272" s="55">
        <v>0</v>
      </c>
      <c r="X272" s="55">
        <v>6.8</v>
      </c>
      <c r="Y272" s="57">
        <v>12.88</v>
      </c>
      <c r="Z272" s="53">
        <v>33</v>
      </c>
      <c r="AA272" s="54">
        <v>10.3</v>
      </c>
      <c r="AB272" s="55">
        <v>0</v>
      </c>
      <c r="AC272" s="55">
        <v>6.7</v>
      </c>
      <c r="AD272" s="57">
        <v>15</v>
      </c>
      <c r="AE272" s="56">
        <v>32</v>
      </c>
      <c r="AF272" s="54">
        <v>10.5</v>
      </c>
      <c r="AG272" s="55">
        <v>0</v>
      </c>
      <c r="AH272" s="55">
        <v>6.9</v>
      </c>
      <c r="AI272" s="57">
        <v>13.46</v>
      </c>
      <c r="AJ272" s="56">
        <v>32</v>
      </c>
      <c r="AK272" s="54">
        <v>10.5</v>
      </c>
      <c r="AL272" s="54">
        <v>0</v>
      </c>
      <c r="AM272" s="54">
        <v>6.7</v>
      </c>
      <c r="AN272" s="57">
        <v>12.08</v>
      </c>
      <c r="AO272" s="53">
        <v>33</v>
      </c>
      <c r="AP272" s="54">
        <v>10.6</v>
      </c>
      <c r="AQ272" s="54">
        <v>300</v>
      </c>
      <c r="AR272" s="54">
        <v>6.2</v>
      </c>
      <c r="AS272" s="57">
        <v>10.38</v>
      </c>
      <c r="AT272" s="56">
        <v>22</v>
      </c>
      <c r="AU272" s="57">
        <v>270</v>
      </c>
      <c r="AV272" s="56">
        <v>95.00732421875</v>
      </c>
      <c r="AW272" s="57">
        <v>291.58649160719165</v>
      </c>
      <c r="AX272" s="8"/>
      <c r="AZ272" s="1">
        <v>90</v>
      </c>
    </row>
    <row r="273" spans="3:52" ht="15" customHeight="1" x14ac:dyDescent="0.25">
      <c r="C273" s="42"/>
      <c r="D273" s="43">
        <f>D268</f>
        <v>45679</v>
      </c>
      <c r="E273" s="44">
        <f t="shared" si="26"/>
        <v>21.666666666666629</v>
      </c>
      <c r="F273" s="45">
        <f t="shared" si="21"/>
        <v>45679.66666666729</v>
      </c>
      <c r="G273" s="52">
        <v>0</v>
      </c>
      <c r="H273" s="53">
        <v>39</v>
      </c>
      <c r="I273" s="54">
        <v>10.6</v>
      </c>
      <c r="J273" s="54">
        <v>300</v>
      </c>
      <c r="K273" s="55">
        <v>11.1</v>
      </c>
      <c r="L273" s="56">
        <v>38</v>
      </c>
      <c r="M273" s="54">
        <v>10.6</v>
      </c>
      <c r="N273" s="54">
        <v>300</v>
      </c>
      <c r="O273" s="57">
        <v>11.1</v>
      </c>
      <c r="P273" s="53">
        <v>39</v>
      </c>
      <c r="Q273" s="54">
        <v>10.6</v>
      </c>
      <c r="R273" s="55">
        <v>0</v>
      </c>
      <c r="S273" s="55">
        <v>7.7</v>
      </c>
      <c r="T273" s="57">
        <v>16.73</v>
      </c>
      <c r="U273" s="56">
        <v>37</v>
      </c>
      <c r="V273" s="54">
        <v>10.5</v>
      </c>
      <c r="W273" s="55">
        <v>0</v>
      </c>
      <c r="X273" s="55">
        <v>7.5</v>
      </c>
      <c r="Y273" s="57">
        <v>12.5</v>
      </c>
      <c r="Z273" s="53">
        <v>35</v>
      </c>
      <c r="AA273" s="54">
        <v>10.3</v>
      </c>
      <c r="AB273" s="55">
        <v>0</v>
      </c>
      <c r="AC273" s="55">
        <v>6.8</v>
      </c>
      <c r="AD273" s="57">
        <v>14.23</v>
      </c>
      <c r="AE273" s="56">
        <v>34</v>
      </c>
      <c r="AF273" s="54">
        <v>10.4</v>
      </c>
      <c r="AG273" s="55">
        <v>0</v>
      </c>
      <c r="AH273" s="55">
        <v>7</v>
      </c>
      <c r="AI273" s="57">
        <v>14.42</v>
      </c>
      <c r="AJ273" s="56">
        <v>34</v>
      </c>
      <c r="AK273" s="54">
        <v>10.4</v>
      </c>
      <c r="AL273" s="54">
        <v>0</v>
      </c>
      <c r="AM273" s="54">
        <v>6.8</v>
      </c>
      <c r="AN273" s="57">
        <v>12.5</v>
      </c>
      <c r="AO273" s="53">
        <v>33</v>
      </c>
      <c r="AP273" s="54">
        <v>10.4</v>
      </c>
      <c r="AQ273" s="54">
        <v>280</v>
      </c>
      <c r="AR273" s="54">
        <v>6.5</v>
      </c>
      <c r="AS273" s="57">
        <v>12.11</v>
      </c>
      <c r="AT273" s="56">
        <v>24</v>
      </c>
      <c r="AU273" s="57">
        <v>260</v>
      </c>
      <c r="AV273" s="56">
        <v>94.921875</v>
      </c>
      <c r="AW273" s="57">
        <v>295.55519499778745</v>
      </c>
      <c r="AX273" s="8"/>
      <c r="AZ273" s="1">
        <v>90</v>
      </c>
    </row>
    <row r="274" spans="3:52" ht="15" customHeight="1" x14ac:dyDescent="0.25">
      <c r="C274" s="42"/>
      <c r="D274" s="43">
        <f>D268</f>
        <v>45679</v>
      </c>
      <c r="E274" s="44">
        <f t="shared" si="26"/>
        <v>21.749999999999961</v>
      </c>
      <c r="F274" s="45">
        <f t="shared" ref="F274:F337" si="27">F273+(E274-E273)</f>
        <v>45679.750000000626</v>
      </c>
      <c r="G274" s="52">
        <v>39</v>
      </c>
      <c r="H274" s="53">
        <v>39</v>
      </c>
      <c r="I274" s="54">
        <v>10.4</v>
      </c>
      <c r="J274" s="54">
        <v>350</v>
      </c>
      <c r="K274" s="55">
        <v>10.8</v>
      </c>
      <c r="L274" s="56">
        <v>38</v>
      </c>
      <c r="M274" s="54">
        <v>10.6</v>
      </c>
      <c r="N274" s="54">
        <v>300</v>
      </c>
      <c r="O274" s="57">
        <v>10.8</v>
      </c>
      <c r="P274" s="53">
        <v>38</v>
      </c>
      <c r="Q274" s="54">
        <v>10.4</v>
      </c>
      <c r="R274" s="55">
        <v>0</v>
      </c>
      <c r="S274" s="55">
        <v>7.9</v>
      </c>
      <c r="T274" s="57">
        <v>16.34</v>
      </c>
      <c r="U274" s="56">
        <v>39</v>
      </c>
      <c r="V274" s="54">
        <v>10.5</v>
      </c>
      <c r="W274" s="55">
        <v>0</v>
      </c>
      <c r="X274" s="55">
        <v>7.8</v>
      </c>
      <c r="Y274" s="57">
        <v>11.53</v>
      </c>
      <c r="Z274" s="53">
        <v>38</v>
      </c>
      <c r="AA274" s="54">
        <v>10.4</v>
      </c>
      <c r="AB274" s="55">
        <v>0</v>
      </c>
      <c r="AC274" s="55">
        <v>7.2</v>
      </c>
      <c r="AD274" s="57">
        <v>13.46</v>
      </c>
      <c r="AE274" s="56">
        <v>34</v>
      </c>
      <c r="AF274" s="54">
        <v>10.4</v>
      </c>
      <c r="AG274" s="55">
        <v>0</v>
      </c>
      <c r="AH274" s="55">
        <v>7.3</v>
      </c>
      <c r="AI274" s="57">
        <v>14.42</v>
      </c>
      <c r="AJ274" s="56">
        <v>32</v>
      </c>
      <c r="AK274" s="54">
        <v>10.3</v>
      </c>
      <c r="AL274" s="54">
        <v>0</v>
      </c>
      <c r="AM274" s="54">
        <v>7</v>
      </c>
      <c r="AN274" s="57">
        <v>12.3</v>
      </c>
      <c r="AO274" s="53">
        <v>33</v>
      </c>
      <c r="AP274" s="54">
        <v>10.5</v>
      </c>
      <c r="AQ274" s="54">
        <v>280</v>
      </c>
      <c r="AR274" s="54">
        <v>6.9</v>
      </c>
      <c r="AS274" s="57">
        <v>14.42</v>
      </c>
      <c r="AT274" s="56">
        <v>24</v>
      </c>
      <c r="AU274" s="57">
        <v>250</v>
      </c>
      <c r="AV274" s="56">
        <v>95.048011779785199</v>
      </c>
      <c r="AW274" s="57">
        <v>294.17414136128502</v>
      </c>
      <c r="AX274" s="8"/>
      <c r="AZ274" s="1">
        <v>90</v>
      </c>
    </row>
    <row r="275" spans="3:52" ht="15" customHeight="1" x14ac:dyDescent="0.25">
      <c r="C275" s="42"/>
      <c r="D275" s="43">
        <f>D268</f>
        <v>45679</v>
      </c>
      <c r="E275" s="44">
        <f t="shared" si="26"/>
        <v>21.833333333333293</v>
      </c>
      <c r="F275" s="45">
        <f t="shared" si="27"/>
        <v>45679.833333333961</v>
      </c>
      <c r="G275" s="52">
        <v>38</v>
      </c>
      <c r="H275" s="53">
        <v>38</v>
      </c>
      <c r="I275" s="54">
        <v>10.3</v>
      </c>
      <c r="J275" s="54">
        <v>300</v>
      </c>
      <c r="K275" s="55">
        <v>9</v>
      </c>
      <c r="L275" s="56">
        <v>38</v>
      </c>
      <c r="M275" s="54">
        <v>10.6</v>
      </c>
      <c r="N275" s="54">
        <v>300</v>
      </c>
      <c r="O275" s="57">
        <v>9.6</v>
      </c>
      <c r="P275" s="53">
        <v>37</v>
      </c>
      <c r="Q275" s="54">
        <v>10.5</v>
      </c>
      <c r="R275" s="55">
        <v>0</v>
      </c>
      <c r="S275" s="55">
        <v>8.6</v>
      </c>
      <c r="T275" s="57">
        <v>16.34</v>
      </c>
      <c r="U275" s="56">
        <v>36</v>
      </c>
      <c r="V275" s="54">
        <v>10.5</v>
      </c>
      <c r="W275" s="55">
        <v>0</v>
      </c>
      <c r="X275" s="55">
        <v>8.5</v>
      </c>
      <c r="Y275" s="57">
        <v>11.53</v>
      </c>
      <c r="Z275" s="53">
        <v>36</v>
      </c>
      <c r="AA275" s="54">
        <v>10.4</v>
      </c>
      <c r="AB275" s="55">
        <v>0</v>
      </c>
      <c r="AC275" s="55">
        <v>7.4</v>
      </c>
      <c r="AD275" s="57">
        <v>16.34</v>
      </c>
      <c r="AE275" s="56">
        <v>36</v>
      </c>
      <c r="AF275" s="54">
        <v>10.4</v>
      </c>
      <c r="AG275" s="55">
        <v>0</v>
      </c>
      <c r="AH275" s="55">
        <v>6.8</v>
      </c>
      <c r="AI275" s="57">
        <v>14.42</v>
      </c>
      <c r="AJ275" s="56">
        <v>36</v>
      </c>
      <c r="AK275" s="54">
        <v>10.4</v>
      </c>
      <c r="AL275" s="54">
        <v>0</v>
      </c>
      <c r="AM275" s="54">
        <v>6.5</v>
      </c>
      <c r="AN275" s="57">
        <v>13.07</v>
      </c>
      <c r="AO275" s="53">
        <v>36</v>
      </c>
      <c r="AP275" s="54">
        <v>10.5</v>
      </c>
      <c r="AQ275" s="54">
        <v>240</v>
      </c>
      <c r="AR275" s="54">
        <v>6</v>
      </c>
      <c r="AS275" s="57">
        <v>13.46</v>
      </c>
      <c r="AT275" s="56">
        <v>28</v>
      </c>
      <c r="AU275" s="57">
        <v>210</v>
      </c>
      <c r="AV275" s="56">
        <v>94.986976623535199</v>
      </c>
      <c r="AW275" s="57">
        <v>292.24910742575304</v>
      </c>
      <c r="AX275" s="8"/>
      <c r="AZ275" s="1">
        <v>90</v>
      </c>
    </row>
    <row r="276" spans="3:52" ht="15" customHeight="1" x14ac:dyDescent="0.25">
      <c r="C276" s="42"/>
      <c r="D276" s="43">
        <f>D268</f>
        <v>45679</v>
      </c>
      <c r="E276" s="44">
        <f t="shared" si="26"/>
        <v>21.916666666666625</v>
      </c>
      <c r="F276" s="45">
        <f t="shared" si="27"/>
        <v>45679.916666667297</v>
      </c>
      <c r="G276" s="52">
        <v>37</v>
      </c>
      <c r="H276" s="53">
        <v>38</v>
      </c>
      <c r="I276" s="54">
        <v>11.1</v>
      </c>
      <c r="J276" s="54">
        <v>250</v>
      </c>
      <c r="K276" s="55">
        <v>8.8000000000000007</v>
      </c>
      <c r="L276" s="56">
        <v>38</v>
      </c>
      <c r="M276" s="54">
        <v>10.7</v>
      </c>
      <c r="N276" s="54">
        <v>300</v>
      </c>
      <c r="O276" s="57">
        <v>8.9</v>
      </c>
      <c r="P276" s="53">
        <v>37</v>
      </c>
      <c r="Q276" s="54">
        <v>10.6</v>
      </c>
      <c r="R276" s="55">
        <v>0</v>
      </c>
      <c r="S276" s="55">
        <v>8.5</v>
      </c>
      <c r="T276" s="57">
        <v>15.38</v>
      </c>
      <c r="U276" s="56">
        <v>36</v>
      </c>
      <c r="V276" s="54">
        <v>10.5</v>
      </c>
      <c r="W276" s="55">
        <v>0</v>
      </c>
      <c r="X276" s="55">
        <v>8.3000000000000007</v>
      </c>
      <c r="Y276" s="57">
        <v>12.5</v>
      </c>
      <c r="Z276" s="53">
        <v>36</v>
      </c>
      <c r="AA276" s="54">
        <v>10.5</v>
      </c>
      <c r="AB276" s="55">
        <v>0</v>
      </c>
      <c r="AC276" s="55">
        <v>7.6</v>
      </c>
      <c r="AD276" s="57">
        <v>14.42</v>
      </c>
      <c r="AE276" s="56">
        <v>36</v>
      </c>
      <c r="AF276" s="54">
        <v>10.5</v>
      </c>
      <c r="AG276" s="55">
        <v>0</v>
      </c>
      <c r="AH276" s="55">
        <v>6.5</v>
      </c>
      <c r="AI276" s="57">
        <v>13.84</v>
      </c>
      <c r="AJ276" s="56">
        <v>35</v>
      </c>
      <c r="AK276" s="54">
        <v>10.5</v>
      </c>
      <c r="AL276" s="54">
        <v>0</v>
      </c>
      <c r="AM276" s="54">
        <v>6.4</v>
      </c>
      <c r="AN276" s="57">
        <v>13.46</v>
      </c>
      <c r="AO276" s="53">
        <v>34</v>
      </c>
      <c r="AP276" s="54">
        <v>10.6</v>
      </c>
      <c r="AQ276" s="54">
        <v>230</v>
      </c>
      <c r="AR276" s="54">
        <v>7.2</v>
      </c>
      <c r="AS276" s="57">
        <v>13.07</v>
      </c>
      <c r="AT276" s="56">
        <v>24</v>
      </c>
      <c r="AU276" s="57">
        <v>210</v>
      </c>
      <c r="AV276" s="56">
        <v>94.9462890625</v>
      </c>
      <c r="AW276" s="57">
        <v>294.36921364646406</v>
      </c>
      <c r="AX276" s="8"/>
      <c r="AZ276" s="1">
        <v>90</v>
      </c>
    </row>
    <row r="277" spans="3:52" ht="15" customHeight="1" x14ac:dyDescent="0.25">
      <c r="C277" s="42"/>
      <c r="D277" s="43">
        <f>D268</f>
        <v>45679</v>
      </c>
      <c r="E277" s="44">
        <f t="shared" si="26"/>
        <v>21.999999999999957</v>
      </c>
      <c r="F277" s="45">
        <f t="shared" si="27"/>
        <v>45680.000000000633</v>
      </c>
      <c r="G277" s="52">
        <v>34</v>
      </c>
      <c r="H277" s="53">
        <v>38</v>
      </c>
      <c r="I277" s="54">
        <v>11</v>
      </c>
      <c r="J277" s="54">
        <v>250</v>
      </c>
      <c r="K277" s="55">
        <v>9.1999999999999993</v>
      </c>
      <c r="L277" s="56">
        <v>37</v>
      </c>
      <c r="M277" s="54">
        <v>10.8</v>
      </c>
      <c r="N277" s="54">
        <v>300</v>
      </c>
      <c r="O277" s="57">
        <v>9.4</v>
      </c>
      <c r="P277" s="53">
        <v>37</v>
      </c>
      <c r="Q277" s="54">
        <v>10.7</v>
      </c>
      <c r="R277" s="55">
        <v>0</v>
      </c>
      <c r="S277" s="55">
        <v>8.4</v>
      </c>
      <c r="T277" s="57">
        <v>16.149999999999999</v>
      </c>
      <c r="U277" s="56">
        <v>37</v>
      </c>
      <c r="V277" s="54">
        <v>10.5</v>
      </c>
      <c r="W277" s="55">
        <v>0</v>
      </c>
      <c r="X277" s="55">
        <v>8.3000000000000007</v>
      </c>
      <c r="Y277" s="57">
        <v>11.92</v>
      </c>
      <c r="Z277" s="53">
        <v>36</v>
      </c>
      <c r="AA277" s="54">
        <v>10.5</v>
      </c>
      <c r="AB277" s="55">
        <v>0</v>
      </c>
      <c r="AC277" s="55">
        <v>8.1</v>
      </c>
      <c r="AD277" s="57">
        <v>15.38</v>
      </c>
      <c r="AE277" s="56">
        <v>36</v>
      </c>
      <c r="AF277" s="54">
        <v>10.5</v>
      </c>
      <c r="AG277" s="55">
        <v>0</v>
      </c>
      <c r="AH277" s="55">
        <v>7.2</v>
      </c>
      <c r="AI277" s="57">
        <v>14.42</v>
      </c>
      <c r="AJ277" s="56">
        <v>36</v>
      </c>
      <c r="AK277" s="54">
        <v>10.5</v>
      </c>
      <c r="AL277" s="54">
        <v>0</v>
      </c>
      <c r="AM277" s="54">
        <v>7.4</v>
      </c>
      <c r="AN277" s="57">
        <v>13.46</v>
      </c>
      <c r="AO277" s="53">
        <v>35</v>
      </c>
      <c r="AP277" s="54">
        <v>10.5</v>
      </c>
      <c r="AQ277" s="54">
        <v>230</v>
      </c>
      <c r="AR277" s="54">
        <v>7.2</v>
      </c>
      <c r="AS277" s="57">
        <v>13.65</v>
      </c>
      <c r="AT277" s="56">
        <v>27</v>
      </c>
      <c r="AU277" s="57">
        <v>210</v>
      </c>
      <c r="AV277" s="56">
        <v>94.669593811035199</v>
      </c>
      <c r="AW277" s="57">
        <v>294.76164598052077</v>
      </c>
      <c r="AX277" s="8"/>
      <c r="AZ277" s="1">
        <v>90</v>
      </c>
    </row>
    <row r="278" spans="3:52" ht="15" customHeight="1" x14ac:dyDescent="0.25">
      <c r="C278" s="42"/>
      <c r="D278" s="43">
        <f>D268</f>
        <v>45679</v>
      </c>
      <c r="E278" s="44">
        <f t="shared" si="26"/>
        <v>22.08333333333329</v>
      </c>
      <c r="F278" s="45">
        <f t="shared" si="27"/>
        <v>45680.083333333969</v>
      </c>
      <c r="G278" s="52">
        <v>35</v>
      </c>
      <c r="H278" s="53">
        <v>38</v>
      </c>
      <c r="I278" s="54">
        <v>10.9</v>
      </c>
      <c r="J278" s="54">
        <v>300</v>
      </c>
      <c r="K278" s="55">
        <v>9.4</v>
      </c>
      <c r="L278" s="56">
        <v>39</v>
      </c>
      <c r="M278" s="54">
        <v>11.3</v>
      </c>
      <c r="N278" s="54">
        <v>300</v>
      </c>
      <c r="O278" s="57">
        <v>9.3000000000000007</v>
      </c>
      <c r="P278" s="53">
        <v>38</v>
      </c>
      <c r="Q278" s="54">
        <v>11.1</v>
      </c>
      <c r="R278" s="55">
        <v>0</v>
      </c>
      <c r="S278" s="55">
        <v>8.8000000000000007</v>
      </c>
      <c r="T278" s="57">
        <v>15.38</v>
      </c>
      <c r="U278" s="56">
        <v>37</v>
      </c>
      <c r="V278" s="54">
        <v>10.8</v>
      </c>
      <c r="W278" s="55">
        <v>0</v>
      </c>
      <c r="X278" s="55">
        <v>8.4</v>
      </c>
      <c r="Y278" s="57">
        <v>12.5</v>
      </c>
      <c r="Z278" s="53">
        <v>36</v>
      </c>
      <c r="AA278" s="54">
        <v>10.8</v>
      </c>
      <c r="AB278" s="55">
        <v>0</v>
      </c>
      <c r="AC278" s="55">
        <v>8.1</v>
      </c>
      <c r="AD278" s="57">
        <v>14.42</v>
      </c>
      <c r="AE278" s="56">
        <v>36</v>
      </c>
      <c r="AF278" s="54">
        <v>10.7</v>
      </c>
      <c r="AG278" s="55">
        <v>0</v>
      </c>
      <c r="AH278" s="55">
        <v>7</v>
      </c>
      <c r="AI278" s="57">
        <v>14.42</v>
      </c>
      <c r="AJ278" s="56">
        <v>36</v>
      </c>
      <c r="AK278" s="54">
        <v>10.7</v>
      </c>
      <c r="AL278" s="54">
        <v>0</v>
      </c>
      <c r="AM278" s="54">
        <v>7.2</v>
      </c>
      <c r="AN278" s="57">
        <v>13.07</v>
      </c>
      <c r="AO278" s="53">
        <v>35</v>
      </c>
      <c r="AP278" s="54">
        <v>10.6</v>
      </c>
      <c r="AQ278" s="54">
        <v>220</v>
      </c>
      <c r="AR278" s="54">
        <v>7.2</v>
      </c>
      <c r="AS278" s="57">
        <v>13.46</v>
      </c>
      <c r="AT278" s="56">
        <v>25</v>
      </c>
      <c r="AU278" s="57">
        <v>210</v>
      </c>
      <c r="AV278" s="56">
        <v>94.974769592285199</v>
      </c>
      <c r="AW278" s="57">
        <v>294.1353201371773</v>
      </c>
      <c r="AX278" s="8"/>
      <c r="AZ278" s="1">
        <v>90</v>
      </c>
    </row>
    <row r="279" spans="3:52" ht="15" customHeight="1" x14ac:dyDescent="0.25">
      <c r="C279" s="42"/>
      <c r="D279" s="69">
        <f>D268</f>
        <v>45679</v>
      </c>
      <c r="E279" s="70">
        <f t="shared" si="26"/>
        <v>22.166666666666622</v>
      </c>
      <c r="F279" s="71">
        <f t="shared" si="27"/>
        <v>45680.166666667305</v>
      </c>
      <c r="G279" s="60">
        <v>33</v>
      </c>
      <c r="H279" s="61">
        <v>37</v>
      </c>
      <c r="I279" s="62">
        <v>11.1</v>
      </c>
      <c r="J279" s="62">
        <v>300</v>
      </c>
      <c r="K279" s="63">
        <v>9.1</v>
      </c>
      <c r="L279" s="64">
        <v>38</v>
      </c>
      <c r="M279" s="62">
        <v>11.2</v>
      </c>
      <c r="N279" s="62">
        <v>300</v>
      </c>
      <c r="O279" s="65">
        <v>9.1999999999999993</v>
      </c>
      <c r="P279" s="61">
        <v>38</v>
      </c>
      <c r="Q279" s="62">
        <v>11</v>
      </c>
      <c r="R279" s="63">
        <v>0</v>
      </c>
      <c r="S279" s="63">
        <v>8.5</v>
      </c>
      <c r="T279" s="65">
        <v>15</v>
      </c>
      <c r="U279" s="64">
        <v>37</v>
      </c>
      <c r="V279" s="62">
        <v>10.9</v>
      </c>
      <c r="W279" s="63">
        <v>0</v>
      </c>
      <c r="X279" s="63">
        <v>8.3000000000000007</v>
      </c>
      <c r="Y279" s="65">
        <v>13.46</v>
      </c>
      <c r="Z279" s="61">
        <v>35</v>
      </c>
      <c r="AA279" s="62">
        <v>10.9</v>
      </c>
      <c r="AB279" s="63">
        <v>0</v>
      </c>
      <c r="AC279" s="63">
        <v>7.8</v>
      </c>
      <c r="AD279" s="65">
        <v>14.42</v>
      </c>
      <c r="AE279" s="64">
        <v>36</v>
      </c>
      <c r="AF279" s="62">
        <v>10.7</v>
      </c>
      <c r="AG279" s="63">
        <v>0</v>
      </c>
      <c r="AH279" s="63">
        <v>7.2</v>
      </c>
      <c r="AI279" s="65">
        <v>14.03</v>
      </c>
      <c r="AJ279" s="64">
        <v>36</v>
      </c>
      <c r="AK279" s="62">
        <v>10.7</v>
      </c>
      <c r="AL279" s="62">
        <v>0</v>
      </c>
      <c r="AM279" s="62">
        <v>7</v>
      </c>
      <c r="AN279" s="65">
        <v>12.5</v>
      </c>
      <c r="AO279" s="61">
        <v>34</v>
      </c>
      <c r="AP279" s="62">
        <v>10.6</v>
      </c>
      <c r="AQ279" s="62">
        <v>220</v>
      </c>
      <c r="AR279" s="62">
        <v>7.3</v>
      </c>
      <c r="AS279" s="65">
        <v>13.07</v>
      </c>
      <c r="AT279" s="64">
        <v>24</v>
      </c>
      <c r="AU279" s="65">
        <v>200</v>
      </c>
      <c r="AV279" s="64">
        <v>94.962562561035199</v>
      </c>
      <c r="AW279" s="65">
        <v>292.97586315711959</v>
      </c>
      <c r="AX279" s="8"/>
      <c r="AZ279" s="1">
        <v>90</v>
      </c>
    </row>
    <row r="280" spans="3:52" ht="15" customHeight="1" x14ac:dyDescent="0.25">
      <c r="C280" s="42">
        <f>C268+1</f>
        <v>23</v>
      </c>
      <c r="D280" s="66">
        <f>DATE([1]Dash!$F$3,VLOOKUP([1]Dash!$E$3,[1]Abb!$C$3:$D$14,2,FALSE),C280)</f>
        <v>45680</v>
      </c>
      <c r="E280" s="67">
        <f>E279+2/24</f>
        <v>22.249999999999954</v>
      </c>
      <c r="F280" s="68">
        <f t="shared" si="27"/>
        <v>45680.25000000064</v>
      </c>
      <c r="G280" s="46">
        <v>34</v>
      </c>
      <c r="H280" s="47">
        <v>37</v>
      </c>
      <c r="I280" s="48">
        <v>10.9</v>
      </c>
      <c r="J280" s="48">
        <v>400</v>
      </c>
      <c r="K280" s="49">
        <v>8.9</v>
      </c>
      <c r="L280" s="50">
        <v>37</v>
      </c>
      <c r="M280" s="48">
        <v>10.8</v>
      </c>
      <c r="N280" s="48">
        <v>350</v>
      </c>
      <c r="O280" s="51">
        <v>9.1</v>
      </c>
      <c r="P280" s="47">
        <v>37</v>
      </c>
      <c r="Q280" s="48">
        <v>10.8</v>
      </c>
      <c r="R280" s="49">
        <v>0</v>
      </c>
      <c r="S280" s="49">
        <v>8.6</v>
      </c>
      <c r="T280" s="51">
        <v>16.34</v>
      </c>
      <c r="U280" s="50">
        <v>36</v>
      </c>
      <c r="V280" s="48">
        <v>10.8</v>
      </c>
      <c r="W280" s="49">
        <v>0</v>
      </c>
      <c r="X280" s="49">
        <v>8.5</v>
      </c>
      <c r="Y280" s="51">
        <v>11.53</v>
      </c>
      <c r="Z280" s="47">
        <v>36</v>
      </c>
      <c r="AA280" s="48">
        <v>10.7</v>
      </c>
      <c r="AB280" s="49">
        <v>0</v>
      </c>
      <c r="AC280" s="49">
        <v>8.8000000000000007</v>
      </c>
      <c r="AD280" s="51">
        <v>16.34</v>
      </c>
      <c r="AE280" s="50">
        <v>36</v>
      </c>
      <c r="AF280" s="48">
        <v>10.6</v>
      </c>
      <c r="AG280" s="49">
        <v>0</v>
      </c>
      <c r="AH280" s="49">
        <v>7.7</v>
      </c>
      <c r="AI280" s="51">
        <v>14.42</v>
      </c>
      <c r="AJ280" s="50">
        <v>36</v>
      </c>
      <c r="AK280" s="48">
        <v>10.5</v>
      </c>
      <c r="AL280" s="48">
        <v>0</v>
      </c>
      <c r="AM280" s="48">
        <v>7.5</v>
      </c>
      <c r="AN280" s="51">
        <v>13.07</v>
      </c>
      <c r="AO280" s="47">
        <v>36</v>
      </c>
      <c r="AP280" s="48">
        <v>10.4</v>
      </c>
      <c r="AQ280" s="48">
        <v>240</v>
      </c>
      <c r="AR280" s="48">
        <v>7.3</v>
      </c>
      <c r="AS280" s="51">
        <v>13.46</v>
      </c>
      <c r="AT280" s="50">
        <v>28</v>
      </c>
      <c r="AU280" s="51">
        <v>220</v>
      </c>
      <c r="AV280" s="50">
        <v>94.94</v>
      </c>
      <c r="AW280" s="51">
        <v>294.45999999999998</v>
      </c>
      <c r="AX280" s="8"/>
      <c r="AZ280" s="1">
        <v>90</v>
      </c>
    </row>
    <row r="281" spans="3:52" ht="15" customHeight="1" x14ac:dyDescent="0.25">
      <c r="C281" s="42"/>
      <c r="D281" s="43">
        <f>D280</f>
        <v>45680</v>
      </c>
      <c r="E281" s="44">
        <f>E280+2/24</f>
        <v>22.333333333333286</v>
      </c>
      <c r="F281" s="45">
        <f t="shared" si="27"/>
        <v>45680.333333333976</v>
      </c>
      <c r="G281" s="52">
        <v>42</v>
      </c>
      <c r="H281" s="53">
        <v>39</v>
      </c>
      <c r="I281" s="54">
        <v>10.9</v>
      </c>
      <c r="J281" s="54">
        <v>500</v>
      </c>
      <c r="K281" s="55">
        <v>8.6</v>
      </c>
      <c r="L281" s="56">
        <v>40</v>
      </c>
      <c r="M281" s="54">
        <v>10.8</v>
      </c>
      <c r="N281" s="54">
        <v>400</v>
      </c>
      <c r="O281" s="57">
        <v>9.5</v>
      </c>
      <c r="P281" s="53">
        <v>36</v>
      </c>
      <c r="Q281" s="54">
        <v>10.8</v>
      </c>
      <c r="R281" s="55">
        <v>0</v>
      </c>
      <c r="S281" s="55">
        <v>9.1999999999999993</v>
      </c>
      <c r="T281" s="57">
        <v>17.399999999999999</v>
      </c>
      <c r="U281" s="56">
        <v>37</v>
      </c>
      <c r="V281" s="54">
        <v>10.6</v>
      </c>
      <c r="W281" s="55">
        <v>0</v>
      </c>
      <c r="X281" s="55">
        <v>9.3000000000000007</v>
      </c>
      <c r="Y281" s="57">
        <v>14</v>
      </c>
      <c r="Z281" s="53">
        <v>38</v>
      </c>
      <c r="AA281" s="54">
        <v>10.6</v>
      </c>
      <c r="AB281" s="55">
        <v>0</v>
      </c>
      <c r="AC281" s="55">
        <v>8.9</v>
      </c>
      <c r="AD281" s="57">
        <v>15.4</v>
      </c>
      <c r="AE281" s="56">
        <v>36</v>
      </c>
      <c r="AF281" s="54">
        <v>10.6</v>
      </c>
      <c r="AG281" s="55">
        <v>0</v>
      </c>
      <c r="AH281" s="55">
        <v>8.5</v>
      </c>
      <c r="AI281" s="57">
        <v>15</v>
      </c>
      <c r="AJ281" s="56">
        <v>38</v>
      </c>
      <c r="AK281" s="54">
        <v>10.6</v>
      </c>
      <c r="AL281" s="54">
        <v>0</v>
      </c>
      <c r="AM281" s="54">
        <v>8.6999999999999993</v>
      </c>
      <c r="AN281" s="57">
        <v>14</v>
      </c>
      <c r="AO281" s="53">
        <v>37</v>
      </c>
      <c r="AP281" s="54">
        <v>10.7</v>
      </c>
      <c r="AQ281" s="54">
        <v>280</v>
      </c>
      <c r="AR281" s="54">
        <v>9.1999999999999993</v>
      </c>
      <c r="AS281" s="57">
        <v>13</v>
      </c>
      <c r="AT281" s="56">
        <v>25</v>
      </c>
      <c r="AU281" s="57">
        <v>130</v>
      </c>
      <c r="AV281" s="56">
        <v>94.99</v>
      </c>
      <c r="AW281" s="57">
        <v>294.60000000000002</v>
      </c>
      <c r="AX281" s="8"/>
      <c r="AZ281" s="1">
        <v>90</v>
      </c>
    </row>
    <row r="282" spans="3:52" ht="15" customHeight="1" x14ac:dyDescent="0.25">
      <c r="C282" s="42"/>
      <c r="D282" s="43">
        <f>D280</f>
        <v>45680</v>
      </c>
      <c r="E282" s="44">
        <f t="shared" ref="E282:E291" si="28">E281+2/24</f>
        <v>22.416666666666618</v>
      </c>
      <c r="F282" s="45">
        <f t="shared" si="27"/>
        <v>45680.416666667312</v>
      </c>
      <c r="G282" s="52">
        <v>38</v>
      </c>
      <c r="H282" s="53">
        <v>39</v>
      </c>
      <c r="I282" s="54">
        <v>10.8</v>
      </c>
      <c r="J282" s="54">
        <v>500</v>
      </c>
      <c r="K282" s="55">
        <v>8.3000000000000007</v>
      </c>
      <c r="L282" s="56">
        <v>40</v>
      </c>
      <c r="M282" s="54">
        <v>10.7</v>
      </c>
      <c r="N282" s="54">
        <v>450</v>
      </c>
      <c r="O282" s="57">
        <v>9.9</v>
      </c>
      <c r="P282" s="53">
        <v>38</v>
      </c>
      <c r="Q282" s="54">
        <v>10.8</v>
      </c>
      <c r="R282" s="55">
        <v>0</v>
      </c>
      <c r="S282" s="55">
        <v>9.5</v>
      </c>
      <c r="T282" s="57">
        <v>18</v>
      </c>
      <c r="U282" s="56">
        <v>38</v>
      </c>
      <c r="V282" s="54">
        <v>10.6</v>
      </c>
      <c r="W282" s="55">
        <v>0</v>
      </c>
      <c r="X282" s="55">
        <v>9.6999999999999993</v>
      </c>
      <c r="Y282" s="57">
        <v>13.4</v>
      </c>
      <c r="Z282" s="53">
        <v>38</v>
      </c>
      <c r="AA282" s="54">
        <v>10.5</v>
      </c>
      <c r="AB282" s="55">
        <v>0</v>
      </c>
      <c r="AC282" s="55">
        <v>8.5</v>
      </c>
      <c r="AD282" s="57">
        <v>15.2</v>
      </c>
      <c r="AE282" s="56">
        <v>37</v>
      </c>
      <c r="AF282" s="54">
        <v>10.5</v>
      </c>
      <c r="AG282" s="55">
        <v>0</v>
      </c>
      <c r="AH282" s="55">
        <v>8.3000000000000007</v>
      </c>
      <c r="AI282" s="57">
        <v>15.6</v>
      </c>
      <c r="AJ282" s="56">
        <v>38</v>
      </c>
      <c r="AK282" s="54">
        <v>10.5</v>
      </c>
      <c r="AL282" s="54">
        <v>0</v>
      </c>
      <c r="AM282" s="54">
        <v>8.5</v>
      </c>
      <c r="AN282" s="57">
        <v>14.5</v>
      </c>
      <c r="AO282" s="53">
        <v>38</v>
      </c>
      <c r="AP282" s="54">
        <v>10.5</v>
      </c>
      <c r="AQ282" s="54">
        <v>270</v>
      </c>
      <c r="AR282" s="54">
        <v>9.3000000000000007</v>
      </c>
      <c r="AS282" s="57">
        <v>15</v>
      </c>
      <c r="AT282" s="56">
        <v>26</v>
      </c>
      <c r="AU282" s="57">
        <v>120</v>
      </c>
      <c r="AV282" s="56">
        <v>95.02</v>
      </c>
      <c r="AW282" s="57">
        <v>296.45</v>
      </c>
      <c r="AX282" s="8"/>
      <c r="AZ282" s="1">
        <v>90</v>
      </c>
    </row>
    <row r="283" spans="3:52" ht="15" customHeight="1" x14ac:dyDescent="0.25">
      <c r="C283" s="42"/>
      <c r="D283" s="43">
        <f>D280</f>
        <v>45680</v>
      </c>
      <c r="E283" s="44">
        <f t="shared" si="28"/>
        <v>22.49999999999995</v>
      </c>
      <c r="F283" s="45">
        <f t="shared" si="27"/>
        <v>45680.500000000648</v>
      </c>
      <c r="G283" s="52">
        <v>0</v>
      </c>
      <c r="H283" s="53">
        <v>40</v>
      </c>
      <c r="I283" s="54">
        <v>10.7</v>
      </c>
      <c r="J283" s="54">
        <v>600</v>
      </c>
      <c r="K283" s="55">
        <v>9.1</v>
      </c>
      <c r="L283" s="56">
        <v>41</v>
      </c>
      <c r="M283" s="54">
        <v>10.6</v>
      </c>
      <c r="N283" s="54">
        <v>500</v>
      </c>
      <c r="O283" s="57">
        <v>10.199999999999999</v>
      </c>
      <c r="P283" s="53">
        <v>37</v>
      </c>
      <c r="Q283" s="54">
        <v>10.8</v>
      </c>
      <c r="R283" s="55">
        <v>0</v>
      </c>
      <c r="S283" s="55">
        <v>9.6999999999999993</v>
      </c>
      <c r="T283" s="57">
        <v>18.2</v>
      </c>
      <c r="U283" s="56">
        <v>38</v>
      </c>
      <c r="V283" s="54">
        <v>10.6</v>
      </c>
      <c r="W283" s="55">
        <v>0</v>
      </c>
      <c r="X283" s="55">
        <v>9.9</v>
      </c>
      <c r="Y283" s="57">
        <v>14.2</v>
      </c>
      <c r="Z283" s="53">
        <v>37</v>
      </c>
      <c r="AA283" s="54">
        <v>10.5</v>
      </c>
      <c r="AB283" s="55">
        <v>0</v>
      </c>
      <c r="AC283" s="55">
        <v>9.1</v>
      </c>
      <c r="AD283" s="57">
        <v>15.6</v>
      </c>
      <c r="AE283" s="56">
        <v>35</v>
      </c>
      <c r="AF283" s="54">
        <v>10.5</v>
      </c>
      <c r="AG283" s="55">
        <v>0</v>
      </c>
      <c r="AH283" s="55">
        <v>8.6999999999999993</v>
      </c>
      <c r="AI283" s="57">
        <v>15.4</v>
      </c>
      <c r="AJ283" s="56">
        <v>37</v>
      </c>
      <c r="AK283" s="54">
        <v>10.4</v>
      </c>
      <c r="AL283" s="54">
        <v>0</v>
      </c>
      <c r="AM283" s="54">
        <v>8.6</v>
      </c>
      <c r="AN283" s="57">
        <v>14.4</v>
      </c>
      <c r="AO283" s="53">
        <v>36</v>
      </c>
      <c r="AP283" s="54">
        <v>10.3</v>
      </c>
      <c r="AQ283" s="54">
        <v>250</v>
      </c>
      <c r="AR283" s="54">
        <v>9.5</v>
      </c>
      <c r="AS283" s="57">
        <v>14</v>
      </c>
      <c r="AT283" s="56">
        <v>0</v>
      </c>
      <c r="AU283" s="57">
        <v>0</v>
      </c>
      <c r="AV283" s="56">
        <v>95</v>
      </c>
      <c r="AW283" s="57">
        <v>296.95999999999998</v>
      </c>
      <c r="AX283" s="8"/>
      <c r="AZ283" s="1">
        <v>90</v>
      </c>
    </row>
    <row r="284" spans="3:52" ht="15" customHeight="1" x14ac:dyDescent="0.25">
      <c r="C284" s="42"/>
      <c r="D284" s="43">
        <f>D280</f>
        <v>45680</v>
      </c>
      <c r="E284" s="44">
        <f t="shared" si="28"/>
        <v>22.583333333333282</v>
      </c>
      <c r="F284" s="45">
        <f t="shared" si="27"/>
        <v>45680.583333333983</v>
      </c>
      <c r="G284" s="52">
        <v>40</v>
      </c>
      <c r="H284" s="53">
        <v>40</v>
      </c>
      <c r="I284" s="54">
        <v>10.8</v>
      </c>
      <c r="J284" s="54">
        <v>650</v>
      </c>
      <c r="K284" s="55">
        <v>8.6999999999999993</v>
      </c>
      <c r="L284" s="56">
        <v>41</v>
      </c>
      <c r="M284" s="54">
        <v>10.8</v>
      </c>
      <c r="N284" s="54">
        <v>500</v>
      </c>
      <c r="O284" s="57">
        <v>10.3</v>
      </c>
      <c r="P284" s="53">
        <v>39</v>
      </c>
      <c r="Q284" s="54">
        <v>10.7</v>
      </c>
      <c r="R284" s="55">
        <v>0</v>
      </c>
      <c r="S284" s="55">
        <v>9.3000000000000007</v>
      </c>
      <c r="T284" s="57">
        <v>18.399999999999999</v>
      </c>
      <c r="U284" s="56">
        <v>38</v>
      </c>
      <c r="V284" s="54">
        <v>10.7</v>
      </c>
      <c r="W284" s="55">
        <v>0</v>
      </c>
      <c r="X284" s="55">
        <v>8.5</v>
      </c>
      <c r="Y284" s="57">
        <v>14</v>
      </c>
      <c r="Z284" s="53">
        <v>39</v>
      </c>
      <c r="AA284" s="54">
        <v>10.6</v>
      </c>
      <c r="AB284" s="55">
        <v>0</v>
      </c>
      <c r="AC284" s="55">
        <v>8.6999999999999993</v>
      </c>
      <c r="AD284" s="57">
        <v>15.2</v>
      </c>
      <c r="AE284" s="56">
        <v>38</v>
      </c>
      <c r="AF284" s="54">
        <v>10.6</v>
      </c>
      <c r="AG284" s="55">
        <v>0</v>
      </c>
      <c r="AH284" s="55">
        <v>8.3000000000000007</v>
      </c>
      <c r="AI284" s="57">
        <v>15.4</v>
      </c>
      <c r="AJ284" s="56">
        <v>39</v>
      </c>
      <c r="AK284" s="54">
        <v>10.6</v>
      </c>
      <c r="AL284" s="54">
        <v>0</v>
      </c>
      <c r="AM284" s="54">
        <v>8.5</v>
      </c>
      <c r="AN284" s="57">
        <v>14.4</v>
      </c>
      <c r="AO284" s="53">
        <v>36</v>
      </c>
      <c r="AP284" s="54">
        <v>10.6</v>
      </c>
      <c r="AQ284" s="54">
        <v>280</v>
      </c>
      <c r="AR284" s="54">
        <v>8.6999999999999993</v>
      </c>
      <c r="AS284" s="57">
        <v>14.8</v>
      </c>
      <c r="AT284" s="56">
        <v>28</v>
      </c>
      <c r="AU284" s="57">
        <v>170</v>
      </c>
      <c r="AV284" s="56">
        <v>95.08</v>
      </c>
      <c r="AW284" s="57">
        <v>296.93</v>
      </c>
      <c r="AX284" s="8"/>
      <c r="AZ284" s="1">
        <v>90</v>
      </c>
    </row>
    <row r="285" spans="3:52" ht="15" customHeight="1" x14ac:dyDescent="0.25">
      <c r="C285" s="42"/>
      <c r="D285" s="43">
        <f>D280</f>
        <v>45680</v>
      </c>
      <c r="E285" s="44">
        <f t="shared" si="28"/>
        <v>22.666666666666615</v>
      </c>
      <c r="F285" s="45">
        <f t="shared" si="27"/>
        <v>45680.666666667319</v>
      </c>
      <c r="G285" s="52">
        <v>41</v>
      </c>
      <c r="H285" s="53">
        <v>39</v>
      </c>
      <c r="I285" s="54">
        <v>10.7</v>
      </c>
      <c r="J285" s="54">
        <v>650</v>
      </c>
      <c r="K285" s="55">
        <v>9.1999999999999993</v>
      </c>
      <c r="L285" s="56">
        <v>40</v>
      </c>
      <c r="M285" s="54">
        <v>10.7</v>
      </c>
      <c r="N285" s="54">
        <v>550</v>
      </c>
      <c r="O285" s="57">
        <v>10.5</v>
      </c>
      <c r="P285" s="53">
        <v>38</v>
      </c>
      <c r="Q285" s="54">
        <v>10.7</v>
      </c>
      <c r="R285" s="55">
        <v>0</v>
      </c>
      <c r="S285" s="55">
        <v>9.5</v>
      </c>
      <c r="T285" s="57">
        <v>18</v>
      </c>
      <c r="U285" s="56">
        <v>37</v>
      </c>
      <c r="V285" s="54">
        <v>10.6</v>
      </c>
      <c r="W285" s="55">
        <v>0</v>
      </c>
      <c r="X285" s="55">
        <v>8.6999999999999993</v>
      </c>
      <c r="Y285" s="57">
        <v>13.4</v>
      </c>
      <c r="Z285" s="53">
        <v>38</v>
      </c>
      <c r="AA285" s="54">
        <v>10.6</v>
      </c>
      <c r="AB285" s="55">
        <v>0</v>
      </c>
      <c r="AC285" s="55">
        <v>9.3000000000000007</v>
      </c>
      <c r="AD285" s="57">
        <v>16</v>
      </c>
      <c r="AE285" s="56">
        <v>37</v>
      </c>
      <c r="AF285" s="54">
        <v>10.5</v>
      </c>
      <c r="AG285" s="55">
        <v>0</v>
      </c>
      <c r="AH285" s="55">
        <v>8.1999999999999993</v>
      </c>
      <c r="AI285" s="57">
        <v>15</v>
      </c>
      <c r="AJ285" s="56">
        <v>37</v>
      </c>
      <c r="AK285" s="54">
        <v>10.5</v>
      </c>
      <c r="AL285" s="54">
        <v>0</v>
      </c>
      <c r="AM285" s="54">
        <v>8.1</v>
      </c>
      <c r="AN285" s="57">
        <v>14.4</v>
      </c>
      <c r="AO285" s="53">
        <v>35</v>
      </c>
      <c r="AP285" s="54">
        <v>10.4</v>
      </c>
      <c r="AQ285" s="54">
        <v>280</v>
      </c>
      <c r="AR285" s="54">
        <v>8.5</v>
      </c>
      <c r="AS285" s="57">
        <v>15</v>
      </c>
      <c r="AT285" s="56">
        <v>25</v>
      </c>
      <c r="AU285" s="57">
        <v>150</v>
      </c>
      <c r="AV285" s="56">
        <v>94.97</v>
      </c>
      <c r="AW285" s="57">
        <v>296.66000000000003</v>
      </c>
      <c r="AX285" s="8"/>
      <c r="AZ285" s="1">
        <v>90</v>
      </c>
    </row>
    <row r="286" spans="3:52" ht="15" customHeight="1" x14ac:dyDescent="0.25">
      <c r="C286" s="42"/>
      <c r="D286" s="43">
        <f>D280</f>
        <v>45680</v>
      </c>
      <c r="E286" s="44">
        <f t="shared" si="28"/>
        <v>22.749999999999947</v>
      </c>
      <c r="F286" s="45">
        <f t="shared" si="27"/>
        <v>45680.750000000655</v>
      </c>
      <c r="G286" s="52">
        <v>35</v>
      </c>
      <c r="H286" s="53">
        <v>38</v>
      </c>
      <c r="I286" s="54">
        <v>10.7</v>
      </c>
      <c r="J286" s="54">
        <v>600</v>
      </c>
      <c r="K286" s="55">
        <v>8.8000000000000007</v>
      </c>
      <c r="L286" s="56">
        <v>38</v>
      </c>
      <c r="M286" s="54">
        <v>10.7</v>
      </c>
      <c r="N286" s="54">
        <v>550</v>
      </c>
      <c r="O286" s="57">
        <v>10.9</v>
      </c>
      <c r="P286" s="53">
        <v>37</v>
      </c>
      <c r="Q286" s="54">
        <v>10.7</v>
      </c>
      <c r="R286" s="55">
        <v>0</v>
      </c>
      <c r="S286" s="55">
        <v>9.1999999999999993</v>
      </c>
      <c r="T286" s="57">
        <v>18.2</v>
      </c>
      <c r="U286" s="56">
        <v>36</v>
      </c>
      <c r="V286" s="54">
        <v>10.6</v>
      </c>
      <c r="W286" s="55">
        <v>0</v>
      </c>
      <c r="X286" s="55">
        <v>8.1</v>
      </c>
      <c r="Y286" s="57">
        <v>13.6</v>
      </c>
      <c r="Z286" s="53">
        <v>37</v>
      </c>
      <c r="AA286" s="54">
        <v>10.6</v>
      </c>
      <c r="AB286" s="55">
        <v>0</v>
      </c>
      <c r="AC286" s="55">
        <v>9.5</v>
      </c>
      <c r="AD286" s="57">
        <v>15.4</v>
      </c>
      <c r="AE286" s="56">
        <v>37</v>
      </c>
      <c r="AF286" s="54">
        <v>10.5</v>
      </c>
      <c r="AG286" s="55">
        <v>0</v>
      </c>
      <c r="AH286" s="55">
        <v>8.5</v>
      </c>
      <c r="AI286" s="57">
        <v>15.4</v>
      </c>
      <c r="AJ286" s="56">
        <v>38</v>
      </c>
      <c r="AK286" s="54">
        <v>10.5</v>
      </c>
      <c r="AL286" s="54">
        <v>0</v>
      </c>
      <c r="AM286" s="54">
        <v>8.3000000000000007</v>
      </c>
      <c r="AN286" s="57">
        <v>14</v>
      </c>
      <c r="AO286" s="53">
        <v>35</v>
      </c>
      <c r="AP286" s="54">
        <v>10.4</v>
      </c>
      <c r="AQ286" s="54">
        <v>290</v>
      </c>
      <c r="AR286" s="54">
        <v>8.6999999999999993</v>
      </c>
      <c r="AS286" s="57">
        <v>15.2</v>
      </c>
      <c r="AT286" s="56">
        <v>24</v>
      </c>
      <c r="AU286" s="57">
        <v>170</v>
      </c>
      <c r="AV286" s="56">
        <v>95.01</v>
      </c>
      <c r="AW286" s="57">
        <v>300.89</v>
      </c>
      <c r="AX286" s="8"/>
      <c r="AZ286" s="1">
        <v>90</v>
      </c>
    </row>
    <row r="287" spans="3:52" ht="15" customHeight="1" x14ac:dyDescent="0.25">
      <c r="C287" s="42"/>
      <c r="D287" s="43">
        <f>D280</f>
        <v>45680</v>
      </c>
      <c r="E287" s="44">
        <f t="shared" si="28"/>
        <v>22.833333333333279</v>
      </c>
      <c r="F287" s="45">
        <f t="shared" si="27"/>
        <v>45680.833333333991</v>
      </c>
      <c r="G287" s="52">
        <v>36</v>
      </c>
      <c r="H287" s="53">
        <v>38</v>
      </c>
      <c r="I287" s="54">
        <v>10.4</v>
      </c>
      <c r="J287" s="54">
        <v>400</v>
      </c>
      <c r="K287" s="55">
        <v>9.4</v>
      </c>
      <c r="L287" s="56">
        <v>39</v>
      </c>
      <c r="M287" s="54">
        <v>10.5</v>
      </c>
      <c r="N287" s="54">
        <v>600</v>
      </c>
      <c r="O287" s="57">
        <v>10.199999999999999</v>
      </c>
      <c r="P287" s="53">
        <v>37</v>
      </c>
      <c r="Q287" s="54">
        <v>10.7</v>
      </c>
      <c r="R287" s="55">
        <v>0</v>
      </c>
      <c r="S287" s="55">
        <v>8.4</v>
      </c>
      <c r="T287" s="57">
        <v>16.34</v>
      </c>
      <c r="U287" s="56">
        <v>38</v>
      </c>
      <c r="V287" s="54">
        <v>10.6</v>
      </c>
      <c r="W287" s="55">
        <v>0</v>
      </c>
      <c r="X287" s="55">
        <v>7.6</v>
      </c>
      <c r="Y287" s="57">
        <v>10.57</v>
      </c>
      <c r="Z287" s="53">
        <v>37</v>
      </c>
      <c r="AA287" s="54">
        <v>10.6</v>
      </c>
      <c r="AB287" s="55">
        <v>0</v>
      </c>
      <c r="AC287" s="55">
        <v>7.6</v>
      </c>
      <c r="AD287" s="57">
        <v>17.3</v>
      </c>
      <c r="AE287" s="56">
        <v>36</v>
      </c>
      <c r="AF287" s="54">
        <v>10.6</v>
      </c>
      <c r="AG287" s="55">
        <v>0</v>
      </c>
      <c r="AH287" s="55">
        <v>7</v>
      </c>
      <c r="AI287" s="57">
        <v>14.42</v>
      </c>
      <c r="AJ287" s="56">
        <v>35</v>
      </c>
      <c r="AK287" s="54">
        <v>10.5</v>
      </c>
      <c r="AL287" s="54">
        <v>0</v>
      </c>
      <c r="AM287" s="54">
        <v>6.9</v>
      </c>
      <c r="AN287" s="57">
        <v>11.53</v>
      </c>
      <c r="AO287" s="53">
        <v>36</v>
      </c>
      <c r="AP287" s="54">
        <v>10.5</v>
      </c>
      <c r="AQ287" s="54">
        <v>260</v>
      </c>
      <c r="AR287" s="54">
        <v>6.7</v>
      </c>
      <c r="AS287" s="57">
        <v>14.42</v>
      </c>
      <c r="AT287" s="56">
        <v>29</v>
      </c>
      <c r="AU287" s="57">
        <v>240</v>
      </c>
      <c r="AV287" s="56">
        <v>95</v>
      </c>
      <c r="AW287" s="57">
        <v>298.63</v>
      </c>
      <c r="AX287" s="8"/>
      <c r="AZ287" s="1">
        <v>90</v>
      </c>
    </row>
    <row r="288" spans="3:52" ht="15" customHeight="1" x14ac:dyDescent="0.25">
      <c r="C288" s="42"/>
      <c r="D288" s="43">
        <f>D280</f>
        <v>45680</v>
      </c>
      <c r="E288" s="44">
        <f t="shared" si="28"/>
        <v>22.916666666666611</v>
      </c>
      <c r="F288" s="45">
        <f t="shared" si="27"/>
        <v>45680.916666667326</v>
      </c>
      <c r="G288" s="52">
        <v>38</v>
      </c>
      <c r="H288" s="53">
        <v>38</v>
      </c>
      <c r="I288" s="54">
        <v>10.4</v>
      </c>
      <c r="J288" s="54">
        <v>400</v>
      </c>
      <c r="K288" s="55">
        <v>9.4</v>
      </c>
      <c r="L288" s="56">
        <v>39</v>
      </c>
      <c r="M288" s="54">
        <v>10.5</v>
      </c>
      <c r="N288" s="54">
        <v>500</v>
      </c>
      <c r="O288" s="57">
        <v>10.1</v>
      </c>
      <c r="P288" s="53">
        <v>37</v>
      </c>
      <c r="Q288" s="54">
        <v>10.7</v>
      </c>
      <c r="R288" s="55">
        <v>0</v>
      </c>
      <c r="S288" s="55">
        <v>8.4</v>
      </c>
      <c r="T288" s="57">
        <v>15.38</v>
      </c>
      <c r="U288" s="56">
        <v>38</v>
      </c>
      <c r="V288" s="54">
        <v>10.6</v>
      </c>
      <c r="W288" s="55">
        <v>0</v>
      </c>
      <c r="X288" s="55">
        <v>7.5</v>
      </c>
      <c r="Y288" s="57">
        <v>12.5</v>
      </c>
      <c r="Z288" s="53">
        <v>37</v>
      </c>
      <c r="AA288" s="54">
        <v>10.6</v>
      </c>
      <c r="AB288" s="55">
        <v>0</v>
      </c>
      <c r="AC288" s="55">
        <v>7.3</v>
      </c>
      <c r="AD288" s="57">
        <v>16.73</v>
      </c>
      <c r="AE288" s="56">
        <v>36</v>
      </c>
      <c r="AF288" s="54">
        <v>10.5</v>
      </c>
      <c r="AG288" s="55">
        <v>0</v>
      </c>
      <c r="AH288" s="55">
        <v>7.2</v>
      </c>
      <c r="AI288" s="57">
        <v>14.03</v>
      </c>
      <c r="AJ288" s="56">
        <v>35</v>
      </c>
      <c r="AK288" s="54">
        <v>10.5</v>
      </c>
      <c r="AL288" s="54">
        <v>0</v>
      </c>
      <c r="AM288" s="54">
        <v>6.8</v>
      </c>
      <c r="AN288" s="57">
        <v>11.9</v>
      </c>
      <c r="AO288" s="53">
        <v>36</v>
      </c>
      <c r="AP288" s="54">
        <v>10.5</v>
      </c>
      <c r="AQ288" s="54">
        <v>240</v>
      </c>
      <c r="AR288" s="54">
        <v>6.7</v>
      </c>
      <c r="AS288" s="57">
        <v>13.84</v>
      </c>
      <c r="AT288" s="56">
        <v>28</v>
      </c>
      <c r="AU288" s="57">
        <v>240</v>
      </c>
      <c r="AV288" s="56">
        <v>94.91</v>
      </c>
      <c r="AW288" s="57">
        <v>300.32</v>
      </c>
      <c r="AX288" s="8"/>
      <c r="AZ288" s="1">
        <v>90</v>
      </c>
    </row>
    <row r="289" spans="3:52" ht="15" customHeight="1" x14ac:dyDescent="0.25">
      <c r="C289" s="42"/>
      <c r="D289" s="43">
        <f>D280</f>
        <v>45680</v>
      </c>
      <c r="E289" s="44">
        <f t="shared" si="28"/>
        <v>22.999999999999943</v>
      </c>
      <c r="F289" s="45">
        <f t="shared" si="27"/>
        <v>45681.000000000662</v>
      </c>
      <c r="G289" s="52">
        <v>42</v>
      </c>
      <c r="H289" s="53">
        <v>38</v>
      </c>
      <c r="I289" s="54">
        <v>10.5</v>
      </c>
      <c r="J289" s="54">
        <v>400</v>
      </c>
      <c r="K289" s="55">
        <v>9.3000000000000007</v>
      </c>
      <c r="L289" s="56">
        <v>37</v>
      </c>
      <c r="M289" s="54">
        <v>10.4</v>
      </c>
      <c r="N289" s="54">
        <v>450</v>
      </c>
      <c r="O289" s="57">
        <v>9.6999999999999993</v>
      </c>
      <c r="P289" s="53">
        <v>37</v>
      </c>
      <c r="Q289" s="54">
        <v>10.6</v>
      </c>
      <c r="R289" s="55">
        <v>0</v>
      </c>
      <c r="S289" s="55">
        <v>8.4</v>
      </c>
      <c r="T289" s="57">
        <v>15</v>
      </c>
      <c r="U289" s="56">
        <v>38</v>
      </c>
      <c r="V289" s="54">
        <v>10.6</v>
      </c>
      <c r="W289" s="55">
        <v>0</v>
      </c>
      <c r="X289" s="55">
        <v>7.6</v>
      </c>
      <c r="Y289" s="57">
        <v>11.92</v>
      </c>
      <c r="Z289" s="53">
        <v>37</v>
      </c>
      <c r="AA289" s="54">
        <v>10.6</v>
      </c>
      <c r="AB289" s="55">
        <v>0</v>
      </c>
      <c r="AC289" s="55">
        <v>7.5</v>
      </c>
      <c r="AD289" s="57">
        <v>16.149999999999999</v>
      </c>
      <c r="AE289" s="56">
        <v>35</v>
      </c>
      <c r="AF289" s="54">
        <v>10.5</v>
      </c>
      <c r="AG289" s="55">
        <v>0</v>
      </c>
      <c r="AH289" s="55">
        <v>7.4</v>
      </c>
      <c r="AI289" s="57">
        <v>14.42</v>
      </c>
      <c r="AJ289" s="56">
        <v>35</v>
      </c>
      <c r="AK289" s="54">
        <v>10.5</v>
      </c>
      <c r="AL289" s="54">
        <v>0</v>
      </c>
      <c r="AM289" s="54">
        <v>6.7</v>
      </c>
      <c r="AN289" s="57">
        <v>12.5</v>
      </c>
      <c r="AO289" s="53">
        <v>36</v>
      </c>
      <c r="AP289" s="54">
        <v>10.6</v>
      </c>
      <c r="AQ289" s="54">
        <v>250</v>
      </c>
      <c r="AR289" s="54">
        <v>6.2</v>
      </c>
      <c r="AS289" s="57">
        <v>14.8</v>
      </c>
      <c r="AT289" s="56">
        <v>28</v>
      </c>
      <c r="AU289" s="57">
        <v>220</v>
      </c>
      <c r="AV289" s="56">
        <v>92.68</v>
      </c>
      <c r="AW289" s="57">
        <v>160.79</v>
      </c>
      <c r="AX289" s="8"/>
      <c r="AZ289" s="1">
        <v>90</v>
      </c>
    </row>
    <row r="290" spans="3:52" ht="15" customHeight="1" x14ac:dyDescent="0.25">
      <c r="C290" s="42"/>
      <c r="D290" s="43">
        <f>D280</f>
        <v>45680</v>
      </c>
      <c r="E290" s="44">
        <f t="shared" si="28"/>
        <v>23.083333333333275</v>
      </c>
      <c r="F290" s="45">
        <f t="shared" si="27"/>
        <v>45681.083333333998</v>
      </c>
      <c r="G290" s="52">
        <v>40</v>
      </c>
      <c r="H290" s="53">
        <v>37</v>
      </c>
      <c r="I290" s="54">
        <v>10.5</v>
      </c>
      <c r="J290" s="54">
        <v>300</v>
      </c>
      <c r="K290" s="55">
        <v>9.6999999999999993</v>
      </c>
      <c r="L290" s="56">
        <v>37</v>
      </c>
      <c r="M290" s="54">
        <v>10.8</v>
      </c>
      <c r="N290" s="54">
        <v>300</v>
      </c>
      <c r="O290" s="57">
        <v>9.8000000000000007</v>
      </c>
      <c r="P290" s="53">
        <v>38</v>
      </c>
      <c r="Q290" s="54">
        <v>10.7</v>
      </c>
      <c r="R290" s="55">
        <v>0</v>
      </c>
      <c r="S290" s="55">
        <v>8.5</v>
      </c>
      <c r="T290" s="57">
        <v>16.34</v>
      </c>
      <c r="U290" s="56">
        <v>37</v>
      </c>
      <c r="V290" s="54">
        <v>10.7</v>
      </c>
      <c r="W290" s="55">
        <v>0</v>
      </c>
      <c r="X290" s="55">
        <v>7.5</v>
      </c>
      <c r="Y290" s="57">
        <v>10.57</v>
      </c>
      <c r="Z290" s="53">
        <v>37</v>
      </c>
      <c r="AA290" s="54">
        <v>10.6</v>
      </c>
      <c r="AB290" s="55">
        <v>0</v>
      </c>
      <c r="AC290" s="55">
        <v>7.6</v>
      </c>
      <c r="AD290" s="57">
        <v>17.3</v>
      </c>
      <c r="AE290" s="56">
        <v>36</v>
      </c>
      <c r="AF290" s="54">
        <v>10.6</v>
      </c>
      <c r="AG290" s="55">
        <v>0</v>
      </c>
      <c r="AH290" s="55">
        <v>7</v>
      </c>
      <c r="AI290" s="57">
        <v>14.42</v>
      </c>
      <c r="AJ290" s="56">
        <v>36</v>
      </c>
      <c r="AK290" s="54">
        <v>10.6</v>
      </c>
      <c r="AL290" s="54">
        <v>0</v>
      </c>
      <c r="AM290" s="54">
        <v>6.9</v>
      </c>
      <c r="AN290" s="57">
        <v>11.53</v>
      </c>
      <c r="AO290" s="53">
        <v>35</v>
      </c>
      <c r="AP290" s="54">
        <v>10.7</v>
      </c>
      <c r="AQ290" s="54">
        <v>240</v>
      </c>
      <c r="AR290" s="54">
        <v>6.4</v>
      </c>
      <c r="AS290" s="57">
        <v>14.42</v>
      </c>
      <c r="AT290" s="56">
        <v>29</v>
      </c>
      <c r="AU290" s="57">
        <v>240</v>
      </c>
      <c r="AV290" s="56">
        <v>94.43</v>
      </c>
      <c r="AW290" s="57">
        <v>315.95</v>
      </c>
      <c r="AX290" s="8"/>
      <c r="AZ290" s="1">
        <v>90</v>
      </c>
    </row>
    <row r="291" spans="3:52" ht="15" customHeight="1" x14ac:dyDescent="0.25">
      <c r="C291" s="42"/>
      <c r="D291" s="69">
        <f>D280</f>
        <v>45680</v>
      </c>
      <c r="E291" s="70">
        <f t="shared" si="28"/>
        <v>23.166666666666607</v>
      </c>
      <c r="F291" s="71">
        <f t="shared" si="27"/>
        <v>45681.166666667334</v>
      </c>
      <c r="G291" s="60">
        <v>37</v>
      </c>
      <c r="H291" s="61">
        <v>37</v>
      </c>
      <c r="I291" s="62">
        <v>10.4</v>
      </c>
      <c r="J291" s="62">
        <v>400</v>
      </c>
      <c r="K291" s="63">
        <v>10.5</v>
      </c>
      <c r="L291" s="64">
        <v>38</v>
      </c>
      <c r="M291" s="62">
        <v>10.5</v>
      </c>
      <c r="N291" s="62">
        <v>450</v>
      </c>
      <c r="O291" s="65">
        <v>10.8</v>
      </c>
      <c r="P291" s="61">
        <v>38</v>
      </c>
      <c r="Q291" s="62">
        <v>10.7</v>
      </c>
      <c r="R291" s="63">
        <v>0</v>
      </c>
      <c r="S291" s="63">
        <v>8.5</v>
      </c>
      <c r="T291" s="65">
        <v>16.920000000000002</v>
      </c>
      <c r="U291" s="64">
        <v>38</v>
      </c>
      <c r="V291" s="62">
        <v>10.7</v>
      </c>
      <c r="W291" s="63">
        <v>0</v>
      </c>
      <c r="X291" s="63">
        <v>6.9</v>
      </c>
      <c r="Y291" s="65">
        <v>10</v>
      </c>
      <c r="Z291" s="61">
        <v>38</v>
      </c>
      <c r="AA291" s="62">
        <v>10.7</v>
      </c>
      <c r="AB291" s="63">
        <v>0</v>
      </c>
      <c r="AC291" s="63">
        <v>7.7</v>
      </c>
      <c r="AD291" s="65">
        <v>17.3</v>
      </c>
      <c r="AE291" s="64">
        <v>38</v>
      </c>
      <c r="AF291" s="62">
        <v>10.6</v>
      </c>
      <c r="AG291" s="63">
        <v>0</v>
      </c>
      <c r="AH291" s="63">
        <v>7.2</v>
      </c>
      <c r="AI291" s="65">
        <v>14.23</v>
      </c>
      <c r="AJ291" s="64">
        <v>37</v>
      </c>
      <c r="AK291" s="62">
        <v>10.5</v>
      </c>
      <c r="AL291" s="62">
        <v>0</v>
      </c>
      <c r="AM291" s="62">
        <v>7.4</v>
      </c>
      <c r="AN291" s="65">
        <v>13.46</v>
      </c>
      <c r="AO291" s="61">
        <v>36</v>
      </c>
      <c r="AP291" s="62">
        <v>10.5</v>
      </c>
      <c r="AQ291" s="62">
        <v>290</v>
      </c>
      <c r="AR291" s="62">
        <v>7.2</v>
      </c>
      <c r="AS291" s="65">
        <v>13.84</v>
      </c>
      <c r="AT291" s="64">
        <v>27</v>
      </c>
      <c r="AU291" s="65">
        <v>250</v>
      </c>
      <c r="AV291" s="64">
        <v>94.78</v>
      </c>
      <c r="AW291" s="65">
        <v>305.2</v>
      </c>
      <c r="AX291" s="8"/>
      <c r="AZ291" s="1">
        <v>90</v>
      </c>
    </row>
    <row r="292" spans="3:52" ht="15" customHeight="1" x14ac:dyDescent="0.25">
      <c r="C292" s="42">
        <f>C280+1</f>
        <v>24</v>
      </c>
      <c r="D292" s="66">
        <f>DATE([1]Dash!$F$3,VLOOKUP([1]Dash!$E$3,[1]Abb!$C$3:$D$14,2,FALSE),C292)</f>
        <v>45681</v>
      </c>
      <c r="E292" s="67">
        <f>E291+2/24</f>
        <v>23.24999999999994</v>
      </c>
      <c r="F292" s="68">
        <f t="shared" si="27"/>
        <v>45681.250000000669</v>
      </c>
      <c r="G292" s="46">
        <v>40</v>
      </c>
      <c r="H292" s="47">
        <v>38</v>
      </c>
      <c r="I292" s="48">
        <v>10.4</v>
      </c>
      <c r="J292" s="48">
        <v>400</v>
      </c>
      <c r="K292" s="49">
        <v>10.199999999999999</v>
      </c>
      <c r="L292" s="50">
        <v>37</v>
      </c>
      <c r="M292" s="48">
        <v>10.5</v>
      </c>
      <c r="N292" s="48">
        <v>450</v>
      </c>
      <c r="O292" s="51">
        <v>10.4</v>
      </c>
      <c r="P292" s="47">
        <v>38</v>
      </c>
      <c r="Q292" s="48">
        <v>10.7</v>
      </c>
      <c r="R292" s="49">
        <v>0</v>
      </c>
      <c r="S292" s="49">
        <v>8.4</v>
      </c>
      <c r="T292" s="51">
        <v>16.34</v>
      </c>
      <c r="U292" s="50">
        <v>37</v>
      </c>
      <c r="V292" s="48">
        <v>10.7</v>
      </c>
      <c r="W292" s="49">
        <v>0</v>
      </c>
      <c r="X292" s="49">
        <v>7.5</v>
      </c>
      <c r="Y292" s="51">
        <v>10.57</v>
      </c>
      <c r="Z292" s="47">
        <v>37</v>
      </c>
      <c r="AA292" s="48">
        <v>10.7</v>
      </c>
      <c r="AB292" s="49">
        <v>0</v>
      </c>
      <c r="AC292" s="49">
        <v>7.2</v>
      </c>
      <c r="AD292" s="51">
        <v>17.3</v>
      </c>
      <c r="AE292" s="50">
        <v>37</v>
      </c>
      <c r="AF292" s="48">
        <v>10.7</v>
      </c>
      <c r="AG292" s="49">
        <v>0</v>
      </c>
      <c r="AH292" s="49">
        <v>7.2</v>
      </c>
      <c r="AI292" s="51">
        <v>14.42</v>
      </c>
      <c r="AJ292" s="50">
        <v>37</v>
      </c>
      <c r="AK292" s="48">
        <v>10.6</v>
      </c>
      <c r="AL292" s="48">
        <v>0</v>
      </c>
      <c r="AM292" s="48">
        <v>7.2</v>
      </c>
      <c r="AN292" s="51">
        <v>11.53</v>
      </c>
      <c r="AO292" s="47">
        <v>37</v>
      </c>
      <c r="AP292" s="48">
        <v>10.6</v>
      </c>
      <c r="AQ292" s="48">
        <v>280</v>
      </c>
      <c r="AR292" s="48">
        <v>6.7</v>
      </c>
      <c r="AS292" s="51">
        <v>14.42</v>
      </c>
      <c r="AT292" s="50">
        <v>28</v>
      </c>
      <c r="AU292" s="51">
        <v>220</v>
      </c>
      <c r="AV292" s="50">
        <v>94.950355529785199</v>
      </c>
      <c r="AW292" s="51">
        <v>304.52051978288995</v>
      </c>
      <c r="AX292" s="8"/>
      <c r="AZ292" s="1">
        <v>90</v>
      </c>
    </row>
    <row r="293" spans="3:52" ht="15" customHeight="1" x14ac:dyDescent="0.25">
      <c r="C293" s="42"/>
      <c r="D293" s="43">
        <f>D292</f>
        <v>45681</v>
      </c>
      <c r="E293" s="44">
        <f>E292+2/24</f>
        <v>23.333333333333272</v>
      </c>
      <c r="F293" s="45">
        <f t="shared" si="27"/>
        <v>45681.333333334005</v>
      </c>
      <c r="G293" s="52">
        <v>35</v>
      </c>
      <c r="H293" s="53">
        <v>37</v>
      </c>
      <c r="I293" s="54">
        <v>10.7</v>
      </c>
      <c r="J293" s="54">
        <v>350</v>
      </c>
      <c r="K293" s="55">
        <v>9.6999999999999993</v>
      </c>
      <c r="L293" s="56">
        <v>38</v>
      </c>
      <c r="M293" s="54">
        <v>10.5</v>
      </c>
      <c r="N293" s="54">
        <v>450</v>
      </c>
      <c r="O293" s="57">
        <v>10.9</v>
      </c>
      <c r="P293" s="53">
        <v>37</v>
      </c>
      <c r="Q293" s="54">
        <v>10.6</v>
      </c>
      <c r="R293" s="55">
        <v>0</v>
      </c>
      <c r="S293" s="55">
        <v>8.6999999999999993</v>
      </c>
      <c r="T293" s="57">
        <v>17.3</v>
      </c>
      <c r="U293" s="56">
        <v>35</v>
      </c>
      <c r="V293" s="54">
        <v>10.6</v>
      </c>
      <c r="W293" s="55">
        <v>0</v>
      </c>
      <c r="X293" s="55">
        <v>8.5</v>
      </c>
      <c r="Y293" s="57">
        <v>12.5</v>
      </c>
      <c r="Z293" s="53">
        <v>37</v>
      </c>
      <c r="AA293" s="54">
        <v>10.7</v>
      </c>
      <c r="AB293" s="55">
        <v>0</v>
      </c>
      <c r="AC293" s="55">
        <v>8.9</v>
      </c>
      <c r="AD293" s="57">
        <v>15.3</v>
      </c>
      <c r="AE293" s="56">
        <v>34</v>
      </c>
      <c r="AF293" s="54">
        <v>10.7</v>
      </c>
      <c r="AG293" s="55">
        <v>0</v>
      </c>
      <c r="AH293" s="55">
        <v>8.6999999999999993</v>
      </c>
      <c r="AI293" s="57">
        <v>13.4</v>
      </c>
      <c r="AJ293" s="56">
        <v>35</v>
      </c>
      <c r="AK293" s="54">
        <v>10.6</v>
      </c>
      <c r="AL293" s="54">
        <v>0</v>
      </c>
      <c r="AM293" s="54">
        <v>8.3000000000000007</v>
      </c>
      <c r="AN293" s="57">
        <v>13.4</v>
      </c>
      <c r="AO293" s="53">
        <v>34</v>
      </c>
      <c r="AP293" s="54">
        <v>10.6</v>
      </c>
      <c r="AQ293" s="54">
        <v>320</v>
      </c>
      <c r="AR293" s="54">
        <v>8.6999999999999993</v>
      </c>
      <c r="AS293" s="57">
        <v>15.3</v>
      </c>
      <c r="AT293" s="56">
        <v>25</v>
      </c>
      <c r="AU293" s="57">
        <v>200</v>
      </c>
      <c r="AV293" s="56">
        <v>95.003250122070298</v>
      </c>
      <c r="AW293" s="57">
        <v>302.37774874729416</v>
      </c>
      <c r="AX293" s="8"/>
      <c r="AZ293" s="1">
        <v>90</v>
      </c>
    </row>
    <row r="294" spans="3:52" ht="15" customHeight="1" x14ac:dyDescent="0.25">
      <c r="C294" s="42"/>
      <c r="D294" s="43">
        <f>D292</f>
        <v>45681</v>
      </c>
      <c r="E294" s="44">
        <f t="shared" ref="E294:E303" si="29">E293+2/24</f>
        <v>23.416666666666604</v>
      </c>
      <c r="F294" s="45">
        <f t="shared" si="27"/>
        <v>45681.416666667341</v>
      </c>
      <c r="G294" s="52">
        <v>33</v>
      </c>
      <c r="H294" s="53">
        <v>40</v>
      </c>
      <c r="I294" s="54">
        <v>10.9</v>
      </c>
      <c r="J294" s="54">
        <v>350</v>
      </c>
      <c r="K294" s="55">
        <v>10.7</v>
      </c>
      <c r="L294" s="56">
        <v>38</v>
      </c>
      <c r="M294" s="54">
        <v>10.6</v>
      </c>
      <c r="N294" s="54">
        <v>400</v>
      </c>
      <c r="O294" s="57">
        <v>11.2</v>
      </c>
      <c r="P294" s="53">
        <v>38</v>
      </c>
      <c r="Q294" s="54">
        <v>10.6</v>
      </c>
      <c r="R294" s="55">
        <v>0</v>
      </c>
      <c r="S294" s="55">
        <v>9.3000000000000007</v>
      </c>
      <c r="T294" s="57">
        <v>17.3</v>
      </c>
      <c r="U294" s="56">
        <v>35</v>
      </c>
      <c r="V294" s="54">
        <v>10.6</v>
      </c>
      <c r="W294" s="55">
        <v>0</v>
      </c>
      <c r="X294" s="55">
        <v>9.1999999999999993</v>
      </c>
      <c r="Y294" s="57">
        <v>11.5</v>
      </c>
      <c r="Z294" s="53">
        <v>38</v>
      </c>
      <c r="AA294" s="54">
        <v>10.7</v>
      </c>
      <c r="AB294" s="55">
        <v>0</v>
      </c>
      <c r="AC294" s="55">
        <v>9.1</v>
      </c>
      <c r="AD294" s="57">
        <v>15.3</v>
      </c>
      <c r="AE294" s="56">
        <v>36</v>
      </c>
      <c r="AF294" s="54">
        <v>10.6</v>
      </c>
      <c r="AG294" s="55">
        <v>0</v>
      </c>
      <c r="AH294" s="55">
        <v>9.3000000000000007</v>
      </c>
      <c r="AI294" s="57">
        <v>13.4</v>
      </c>
      <c r="AJ294" s="56">
        <v>36</v>
      </c>
      <c r="AK294" s="54">
        <v>10.7</v>
      </c>
      <c r="AL294" s="54">
        <v>0</v>
      </c>
      <c r="AM294" s="54">
        <v>8.6999999999999993</v>
      </c>
      <c r="AN294" s="57">
        <v>13.5</v>
      </c>
      <c r="AO294" s="53">
        <v>33</v>
      </c>
      <c r="AP294" s="54">
        <v>10.6</v>
      </c>
      <c r="AQ294" s="54">
        <v>340</v>
      </c>
      <c r="AR294" s="54">
        <v>9.1</v>
      </c>
      <c r="AS294" s="57">
        <v>23</v>
      </c>
      <c r="AT294" s="56">
        <v>25</v>
      </c>
      <c r="AU294" s="57">
        <v>210</v>
      </c>
      <c r="AV294" s="56">
        <v>95.182289123535199</v>
      </c>
      <c r="AW294" s="57">
        <v>301.64496595015129</v>
      </c>
      <c r="AX294" s="8"/>
      <c r="AZ294" s="1">
        <v>90</v>
      </c>
    </row>
    <row r="295" spans="3:52" ht="15" customHeight="1" x14ac:dyDescent="0.25">
      <c r="C295" s="42"/>
      <c r="D295" s="43">
        <f>D292</f>
        <v>45681</v>
      </c>
      <c r="E295" s="44">
        <f t="shared" si="29"/>
        <v>23.499999999999936</v>
      </c>
      <c r="F295" s="45">
        <f t="shared" si="27"/>
        <v>45681.500000000677</v>
      </c>
      <c r="G295" s="52">
        <v>37</v>
      </c>
      <c r="H295" s="53">
        <v>39</v>
      </c>
      <c r="I295" s="54">
        <v>10.9</v>
      </c>
      <c r="J295" s="54">
        <v>350</v>
      </c>
      <c r="K295" s="55">
        <v>10.8</v>
      </c>
      <c r="L295" s="56">
        <v>38</v>
      </c>
      <c r="M295" s="54">
        <v>10.6</v>
      </c>
      <c r="N295" s="54">
        <v>400</v>
      </c>
      <c r="O295" s="57">
        <v>11.4</v>
      </c>
      <c r="P295" s="53">
        <v>38</v>
      </c>
      <c r="Q295" s="54">
        <v>10.6</v>
      </c>
      <c r="R295" s="55">
        <v>0</v>
      </c>
      <c r="S295" s="55">
        <v>8.9</v>
      </c>
      <c r="T295" s="57">
        <v>16.899999999999999</v>
      </c>
      <c r="U295" s="56">
        <v>36</v>
      </c>
      <c r="V295" s="54">
        <v>10.6</v>
      </c>
      <c r="W295" s="55">
        <v>0</v>
      </c>
      <c r="X295" s="55">
        <v>9.3000000000000007</v>
      </c>
      <c r="Y295" s="57">
        <v>13.07</v>
      </c>
      <c r="Z295" s="53">
        <v>37</v>
      </c>
      <c r="AA295" s="54">
        <v>10.7</v>
      </c>
      <c r="AB295" s="55">
        <v>0</v>
      </c>
      <c r="AC295" s="55">
        <v>9.5</v>
      </c>
      <c r="AD295" s="57">
        <v>15.7</v>
      </c>
      <c r="AE295" s="56">
        <v>35</v>
      </c>
      <c r="AF295" s="54">
        <v>10.6</v>
      </c>
      <c r="AG295" s="55">
        <v>0</v>
      </c>
      <c r="AH295" s="55">
        <v>8.9</v>
      </c>
      <c r="AI295" s="57">
        <v>13.8</v>
      </c>
      <c r="AJ295" s="56">
        <v>35</v>
      </c>
      <c r="AK295" s="54">
        <v>10.7</v>
      </c>
      <c r="AL295" s="54">
        <v>0</v>
      </c>
      <c r="AM295" s="54">
        <v>8.5</v>
      </c>
      <c r="AN295" s="57">
        <v>14.4</v>
      </c>
      <c r="AO295" s="53">
        <v>34</v>
      </c>
      <c r="AP295" s="54">
        <v>10.6</v>
      </c>
      <c r="AQ295" s="54">
        <v>350</v>
      </c>
      <c r="AR295" s="54">
        <v>9.3000000000000007</v>
      </c>
      <c r="AS295" s="57">
        <v>21.3</v>
      </c>
      <c r="AT295" s="56">
        <v>21</v>
      </c>
      <c r="AU295" s="57">
        <v>200</v>
      </c>
      <c r="AV295" s="56">
        <v>95.235183715820298</v>
      </c>
      <c r="AW295" s="57">
        <v>292.49481612558787</v>
      </c>
      <c r="AX295" s="8"/>
      <c r="AZ295" s="1">
        <v>90</v>
      </c>
    </row>
    <row r="296" spans="3:52" ht="15" customHeight="1" x14ac:dyDescent="0.25">
      <c r="C296" s="42"/>
      <c r="D296" s="43">
        <f>D292</f>
        <v>45681</v>
      </c>
      <c r="E296" s="44">
        <f t="shared" si="29"/>
        <v>23.583333333333268</v>
      </c>
      <c r="F296" s="45">
        <f t="shared" si="27"/>
        <v>45681.583333334012</v>
      </c>
      <c r="G296" s="52">
        <v>40</v>
      </c>
      <c r="H296" s="53">
        <v>39</v>
      </c>
      <c r="I296" s="54">
        <v>10.9</v>
      </c>
      <c r="J296" s="54">
        <v>350</v>
      </c>
      <c r="K296" s="55">
        <v>10.7</v>
      </c>
      <c r="L296" s="56">
        <v>37</v>
      </c>
      <c r="M296" s="54">
        <v>10.6</v>
      </c>
      <c r="N296" s="54">
        <v>400</v>
      </c>
      <c r="O296" s="57">
        <v>11.7</v>
      </c>
      <c r="P296" s="53">
        <v>37</v>
      </c>
      <c r="Q296" s="54">
        <v>10.6</v>
      </c>
      <c r="R296" s="55">
        <v>0</v>
      </c>
      <c r="S296" s="55">
        <v>8.6999999999999993</v>
      </c>
      <c r="T296" s="57">
        <v>17.3</v>
      </c>
      <c r="U296" s="56">
        <v>35</v>
      </c>
      <c r="V296" s="54">
        <v>10.6</v>
      </c>
      <c r="W296" s="55">
        <v>0</v>
      </c>
      <c r="X296" s="55">
        <v>9.5</v>
      </c>
      <c r="Y296" s="57">
        <v>12.5</v>
      </c>
      <c r="Z296" s="53">
        <v>37</v>
      </c>
      <c r="AA296" s="54">
        <v>10.7</v>
      </c>
      <c r="AB296" s="55">
        <v>0</v>
      </c>
      <c r="AC296" s="55">
        <v>9.8000000000000007</v>
      </c>
      <c r="AD296" s="57">
        <v>15.3</v>
      </c>
      <c r="AE296" s="56">
        <v>36</v>
      </c>
      <c r="AF296" s="54">
        <v>10.6</v>
      </c>
      <c r="AG296" s="55">
        <v>0</v>
      </c>
      <c r="AH296" s="55">
        <v>8.3000000000000007</v>
      </c>
      <c r="AI296" s="57">
        <v>13.8</v>
      </c>
      <c r="AJ296" s="56">
        <v>35</v>
      </c>
      <c r="AK296" s="54">
        <v>10.7</v>
      </c>
      <c r="AL296" s="54">
        <v>0</v>
      </c>
      <c r="AM296" s="54">
        <v>8.6999999999999993</v>
      </c>
      <c r="AN296" s="57">
        <v>14.4</v>
      </c>
      <c r="AO296" s="53">
        <v>35</v>
      </c>
      <c r="AP296" s="54">
        <v>10.6</v>
      </c>
      <c r="AQ296" s="54">
        <v>350</v>
      </c>
      <c r="AR296" s="54">
        <v>9.4</v>
      </c>
      <c r="AS296" s="57">
        <v>21.3</v>
      </c>
      <c r="AT296" s="56">
        <v>24</v>
      </c>
      <c r="AU296" s="57">
        <v>210</v>
      </c>
      <c r="AV296" s="56">
        <v>95.076492309570298</v>
      </c>
      <c r="AW296" s="57">
        <v>302.83299549408258</v>
      </c>
      <c r="AX296" s="8"/>
      <c r="AZ296" s="1">
        <v>90</v>
      </c>
    </row>
    <row r="297" spans="3:52" ht="15" customHeight="1" x14ac:dyDescent="0.25">
      <c r="C297" s="42"/>
      <c r="D297" s="43">
        <f>D292</f>
        <v>45681</v>
      </c>
      <c r="E297" s="44">
        <f t="shared" si="29"/>
        <v>23.6666666666666</v>
      </c>
      <c r="F297" s="45">
        <f t="shared" si="27"/>
        <v>45681.666666667348</v>
      </c>
      <c r="G297" s="52">
        <v>40</v>
      </c>
      <c r="H297" s="53">
        <v>37</v>
      </c>
      <c r="I297" s="54">
        <v>10.6</v>
      </c>
      <c r="J297" s="54">
        <v>300</v>
      </c>
      <c r="K297" s="55">
        <v>10.3</v>
      </c>
      <c r="L297" s="56">
        <v>35</v>
      </c>
      <c r="M297" s="54">
        <v>10.4</v>
      </c>
      <c r="N297" s="54">
        <v>450</v>
      </c>
      <c r="O297" s="57">
        <v>11.3</v>
      </c>
      <c r="P297" s="53">
        <v>36</v>
      </c>
      <c r="Q297" s="54">
        <v>10.3</v>
      </c>
      <c r="R297" s="55">
        <v>0</v>
      </c>
      <c r="S297" s="55">
        <v>8.5</v>
      </c>
      <c r="T297" s="57">
        <v>17.3</v>
      </c>
      <c r="U297" s="56">
        <v>36</v>
      </c>
      <c r="V297" s="54">
        <v>10.4</v>
      </c>
      <c r="W297" s="55">
        <v>0</v>
      </c>
      <c r="X297" s="55">
        <v>9.1999999999999993</v>
      </c>
      <c r="Y297" s="57">
        <v>12.5</v>
      </c>
      <c r="Z297" s="53">
        <v>36</v>
      </c>
      <c r="AA297" s="54">
        <v>10.5</v>
      </c>
      <c r="AB297" s="55">
        <v>0</v>
      </c>
      <c r="AC297" s="55">
        <v>9.6999999999999993</v>
      </c>
      <c r="AD297" s="57">
        <v>15.7</v>
      </c>
      <c r="AE297" s="56">
        <v>35</v>
      </c>
      <c r="AF297" s="54">
        <v>10.5</v>
      </c>
      <c r="AG297" s="55">
        <v>0</v>
      </c>
      <c r="AH297" s="55">
        <v>8.4</v>
      </c>
      <c r="AI297" s="57">
        <v>13.8</v>
      </c>
      <c r="AJ297" s="56">
        <v>36</v>
      </c>
      <c r="AK297" s="54">
        <v>10.5</v>
      </c>
      <c r="AL297" s="54">
        <v>0</v>
      </c>
      <c r="AM297" s="54">
        <v>8.3000000000000007</v>
      </c>
      <c r="AN297" s="57">
        <v>13.5</v>
      </c>
      <c r="AO297" s="53">
        <v>34</v>
      </c>
      <c r="AP297" s="54">
        <v>10.4</v>
      </c>
      <c r="AQ297" s="54">
        <v>350</v>
      </c>
      <c r="AR297" s="54">
        <v>9.3000000000000007</v>
      </c>
      <c r="AS297" s="57">
        <v>20.100000000000001</v>
      </c>
      <c r="AT297" s="56">
        <v>25</v>
      </c>
      <c r="AU297" s="57">
        <v>190</v>
      </c>
      <c r="AV297" s="56">
        <v>95.133460998535199</v>
      </c>
      <c r="AW297" s="57">
        <v>298.9791916447071</v>
      </c>
      <c r="AX297" s="8"/>
      <c r="AZ297" s="1">
        <v>90</v>
      </c>
    </row>
    <row r="298" spans="3:52" ht="15" customHeight="1" x14ac:dyDescent="0.25">
      <c r="C298" s="42"/>
      <c r="D298" s="43">
        <f>D292</f>
        <v>45681</v>
      </c>
      <c r="E298" s="44">
        <f t="shared" si="29"/>
        <v>23.749999999999932</v>
      </c>
      <c r="F298" s="45">
        <f t="shared" si="27"/>
        <v>45681.750000000684</v>
      </c>
      <c r="G298" s="52">
        <v>0</v>
      </c>
      <c r="H298" s="53">
        <v>37</v>
      </c>
      <c r="I298" s="54">
        <v>10.6</v>
      </c>
      <c r="J298" s="54">
        <v>250</v>
      </c>
      <c r="K298" s="55">
        <v>10.7</v>
      </c>
      <c r="L298" s="56">
        <v>36</v>
      </c>
      <c r="M298" s="54">
        <v>10.4</v>
      </c>
      <c r="N298" s="54">
        <v>450</v>
      </c>
      <c r="O298" s="57">
        <v>10.9</v>
      </c>
      <c r="P298" s="53">
        <v>35</v>
      </c>
      <c r="Q298" s="54">
        <v>10.3</v>
      </c>
      <c r="R298" s="55">
        <v>0</v>
      </c>
      <c r="S298" s="55">
        <v>8.9</v>
      </c>
      <c r="T298" s="57">
        <v>18.2</v>
      </c>
      <c r="U298" s="56">
        <v>36</v>
      </c>
      <c r="V298" s="54">
        <v>10.3</v>
      </c>
      <c r="W298" s="55">
        <v>0</v>
      </c>
      <c r="X298" s="55">
        <v>9.6999999999999993</v>
      </c>
      <c r="Y298" s="57">
        <v>13.07</v>
      </c>
      <c r="Z298" s="53">
        <v>35</v>
      </c>
      <c r="AA298" s="54">
        <v>10.4</v>
      </c>
      <c r="AB298" s="55">
        <v>0</v>
      </c>
      <c r="AC298" s="55">
        <v>9.3000000000000007</v>
      </c>
      <c r="AD298" s="57">
        <v>15.3</v>
      </c>
      <c r="AE298" s="56">
        <v>35</v>
      </c>
      <c r="AF298" s="54">
        <v>10.5</v>
      </c>
      <c r="AG298" s="55">
        <v>0</v>
      </c>
      <c r="AH298" s="55">
        <v>8.6999999999999993</v>
      </c>
      <c r="AI298" s="57">
        <v>13.4</v>
      </c>
      <c r="AJ298" s="56">
        <v>35</v>
      </c>
      <c r="AK298" s="54">
        <v>10.4</v>
      </c>
      <c r="AL298" s="54">
        <v>0</v>
      </c>
      <c r="AM298" s="54">
        <v>8.5</v>
      </c>
      <c r="AN298" s="57">
        <v>13.5</v>
      </c>
      <c r="AO298" s="53">
        <v>32</v>
      </c>
      <c r="AP298" s="54">
        <v>10.4</v>
      </c>
      <c r="AQ298" s="54">
        <v>350</v>
      </c>
      <c r="AR298" s="54">
        <v>9.6999999999999993</v>
      </c>
      <c r="AS298" s="57">
        <v>19.2</v>
      </c>
      <c r="AT298" s="56">
        <v>22</v>
      </c>
      <c r="AU298" s="57">
        <v>200</v>
      </c>
      <c r="AV298" s="56">
        <v>94.405105590820298</v>
      </c>
      <c r="AW298" s="57">
        <v>207.49987945323809</v>
      </c>
      <c r="AX298" s="8"/>
      <c r="AZ298" s="1">
        <v>90</v>
      </c>
    </row>
    <row r="299" spans="3:52" ht="15" customHeight="1" x14ac:dyDescent="0.25">
      <c r="C299" s="42"/>
      <c r="D299" s="43">
        <f>D292</f>
        <v>45681</v>
      </c>
      <c r="E299" s="44">
        <f t="shared" si="29"/>
        <v>23.833333333333265</v>
      </c>
      <c r="F299" s="45">
        <f t="shared" si="27"/>
        <v>45681.83333333402</v>
      </c>
      <c r="G299" s="52">
        <v>0</v>
      </c>
      <c r="H299" s="53">
        <v>37</v>
      </c>
      <c r="I299" s="54">
        <v>10.6</v>
      </c>
      <c r="J299" s="54">
        <v>250</v>
      </c>
      <c r="K299" s="55">
        <v>9.8000000000000007</v>
      </c>
      <c r="L299" s="56">
        <v>37</v>
      </c>
      <c r="M299" s="54">
        <v>10.7</v>
      </c>
      <c r="N299" s="54">
        <v>350</v>
      </c>
      <c r="O299" s="57">
        <v>8.9</v>
      </c>
      <c r="P299" s="53">
        <v>35</v>
      </c>
      <c r="Q299" s="54">
        <v>10.5</v>
      </c>
      <c r="R299" s="55">
        <v>0</v>
      </c>
      <c r="S299" s="55">
        <v>7.2</v>
      </c>
      <c r="T299" s="57">
        <v>16.34</v>
      </c>
      <c r="U299" s="56">
        <v>35</v>
      </c>
      <c r="V299" s="54">
        <v>10.5</v>
      </c>
      <c r="W299" s="55">
        <v>0</v>
      </c>
      <c r="X299" s="55">
        <v>6.8</v>
      </c>
      <c r="Y299" s="57">
        <v>9.0299999999999994</v>
      </c>
      <c r="Z299" s="53">
        <v>36</v>
      </c>
      <c r="AA299" s="54">
        <v>10.4</v>
      </c>
      <c r="AB299" s="55">
        <v>0</v>
      </c>
      <c r="AC299" s="55">
        <v>6.7</v>
      </c>
      <c r="AD299" s="57">
        <v>17.3</v>
      </c>
      <c r="AE299" s="56">
        <v>35</v>
      </c>
      <c r="AF299" s="54">
        <v>10.5</v>
      </c>
      <c r="AG299" s="55">
        <v>0</v>
      </c>
      <c r="AH299" s="55">
        <v>5.5</v>
      </c>
      <c r="AI299" s="57">
        <v>14.42</v>
      </c>
      <c r="AJ299" s="56">
        <v>35</v>
      </c>
      <c r="AK299" s="54">
        <v>10.5</v>
      </c>
      <c r="AL299" s="54">
        <v>0</v>
      </c>
      <c r="AM299" s="54">
        <v>6.2</v>
      </c>
      <c r="AN299" s="57">
        <v>14.42</v>
      </c>
      <c r="AO299" s="53">
        <v>36</v>
      </c>
      <c r="AP299" s="54">
        <v>10.5</v>
      </c>
      <c r="AQ299" s="54">
        <v>300</v>
      </c>
      <c r="AR299" s="54">
        <v>5.2</v>
      </c>
      <c r="AS299" s="57">
        <v>20.190000000000001</v>
      </c>
      <c r="AT299" s="56">
        <v>0</v>
      </c>
      <c r="AU299" s="57">
        <v>0</v>
      </c>
      <c r="AV299" s="56">
        <v>52.571613311767599</v>
      </c>
      <c r="AW299" s="57">
        <v>251.18019337716979</v>
      </c>
      <c r="AX299" s="8"/>
      <c r="AZ299" s="1">
        <v>90</v>
      </c>
    </row>
    <row r="300" spans="3:52" ht="15" customHeight="1" x14ac:dyDescent="0.25">
      <c r="C300" s="42"/>
      <c r="D300" s="43">
        <f>D292</f>
        <v>45681</v>
      </c>
      <c r="E300" s="44">
        <f t="shared" si="29"/>
        <v>23.916666666666597</v>
      </c>
      <c r="F300" s="45">
        <f t="shared" si="27"/>
        <v>45681.916666667355</v>
      </c>
      <c r="G300" s="52">
        <v>0</v>
      </c>
      <c r="H300" s="53">
        <v>37</v>
      </c>
      <c r="I300" s="54">
        <v>10.6</v>
      </c>
      <c r="J300" s="54">
        <v>250</v>
      </c>
      <c r="K300" s="55">
        <v>9.6</v>
      </c>
      <c r="L300" s="56">
        <v>37</v>
      </c>
      <c r="M300" s="54">
        <v>10.7</v>
      </c>
      <c r="N300" s="54">
        <v>350</v>
      </c>
      <c r="O300" s="57">
        <v>8.9</v>
      </c>
      <c r="P300" s="53">
        <v>35</v>
      </c>
      <c r="Q300" s="54">
        <v>10.5</v>
      </c>
      <c r="R300" s="55">
        <v>0</v>
      </c>
      <c r="S300" s="55">
        <v>7.1</v>
      </c>
      <c r="T300" s="57">
        <v>16.34</v>
      </c>
      <c r="U300" s="56">
        <v>35</v>
      </c>
      <c r="V300" s="54">
        <v>10.5</v>
      </c>
      <c r="W300" s="55">
        <v>0</v>
      </c>
      <c r="X300" s="55">
        <v>6.7</v>
      </c>
      <c r="Y300" s="57">
        <v>9.61</v>
      </c>
      <c r="Z300" s="53">
        <v>36</v>
      </c>
      <c r="AA300" s="54">
        <v>10.4</v>
      </c>
      <c r="AB300" s="55">
        <v>0</v>
      </c>
      <c r="AC300" s="55">
        <v>6.4</v>
      </c>
      <c r="AD300" s="57">
        <v>17.3</v>
      </c>
      <c r="AE300" s="56">
        <v>35</v>
      </c>
      <c r="AF300" s="54">
        <v>10.5</v>
      </c>
      <c r="AG300" s="55">
        <v>0</v>
      </c>
      <c r="AH300" s="55">
        <v>5.5</v>
      </c>
      <c r="AI300" s="57">
        <v>14.23</v>
      </c>
      <c r="AJ300" s="56">
        <v>35</v>
      </c>
      <c r="AK300" s="54">
        <v>10.5</v>
      </c>
      <c r="AL300" s="54">
        <v>0</v>
      </c>
      <c r="AM300" s="54">
        <v>6.2</v>
      </c>
      <c r="AN300" s="57">
        <v>14.42</v>
      </c>
      <c r="AO300" s="53">
        <v>35</v>
      </c>
      <c r="AP300" s="54">
        <v>10.5</v>
      </c>
      <c r="AQ300" s="54">
        <v>300</v>
      </c>
      <c r="AR300" s="54">
        <v>5</v>
      </c>
      <c r="AS300" s="57">
        <v>20</v>
      </c>
      <c r="AT300" s="56">
        <v>0</v>
      </c>
      <c r="AU300" s="57">
        <v>0</v>
      </c>
      <c r="AV300" s="56">
        <v>53.059894561767599</v>
      </c>
      <c r="AW300" s="57">
        <v>265.75171235126135</v>
      </c>
      <c r="AX300" s="8"/>
      <c r="AZ300" s="1">
        <v>90</v>
      </c>
    </row>
    <row r="301" spans="3:52" ht="15" customHeight="1" x14ac:dyDescent="0.25">
      <c r="C301" s="42"/>
      <c r="D301" s="43">
        <f>D292</f>
        <v>45681</v>
      </c>
      <c r="E301" s="44">
        <f t="shared" si="29"/>
        <v>23.999999999999929</v>
      </c>
      <c r="F301" s="45">
        <f t="shared" si="27"/>
        <v>45682.000000000691</v>
      </c>
      <c r="G301" s="52">
        <v>41</v>
      </c>
      <c r="H301" s="53">
        <v>37</v>
      </c>
      <c r="I301" s="54">
        <v>10.7</v>
      </c>
      <c r="J301" s="54">
        <v>250</v>
      </c>
      <c r="K301" s="55">
        <v>9.4</v>
      </c>
      <c r="L301" s="56">
        <v>35</v>
      </c>
      <c r="M301" s="54">
        <v>10.7</v>
      </c>
      <c r="N301" s="54">
        <v>350</v>
      </c>
      <c r="O301" s="57">
        <v>9.1</v>
      </c>
      <c r="P301" s="53">
        <v>35</v>
      </c>
      <c r="Q301" s="54">
        <v>10.5</v>
      </c>
      <c r="R301" s="55">
        <v>0</v>
      </c>
      <c r="S301" s="55">
        <v>7.4</v>
      </c>
      <c r="T301" s="57">
        <v>11.53</v>
      </c>
      <c r="U301" s="56">
        <v>34</v>
      </c>
      <c r="V301" s="54">
        <v>10.5</v>
      </c>
      <c r="W301" s="55">
        <v>0</v>
      </c>
      <c r="X301" s="55">
        <v>7.1</v>
      </c>
      <c r="Y301" s="57">
        <v>9.8000000000000007</v>
      </c>
      <c r="Z301" s="53">
        <v>34</v>
      </c>
      <c r="AA301" s="54">
        <v>10.5</v>
      </c>
      <c r="AB301" s="55">
        <v>0</v>
      </c>
      <c r="AC301" s="55">
        <v>6.2</v>
      </c>
      <c r="AD301" s="57">
        <v>17.3</v>
      </c>
      <c r="AE301" s="56">
        <v>36</v>
      </c>
      <c r="AF301" s="54">
        <v>10.4</v>
      </c>
      <c r="AG301" s="55">
        <v>0</v>
      </c>
      <c r="AH301" s="55">
        <v>5.6</v>
      </c>
      <c r="AI301" s="57">
        <v>14.8</v>
      </c>
      <c r="AJ301" s="56">
        <v>34</v>
      </c>
      <c r="AK301" s="54">
        <v>10.6</v>
      </c>
      <c r="AL301" s="54">
        <v>0</v>
      </c>
      <c r="AM301" s="54">
        <v>6.3</v>
      </c>
      <c r="AN301" s="57">
        <v>15.38</v>
      </c>
      <c r="AO301" s="53">
        <v>36</v>
      </c>
      <c r="AP301" s="54">
        <v>10.6</v>
      </c>
      <c r="AQ301" s="54">
        <v>310</v>
      </c>
      <c r="AR301" s="54">
        <v>5.2</v>
      </c>
      <c r="AS301" s="57">
        <v>20.76</v>
      </c>
      <c r="AT301" s="56">
        <v>30</v>
      </c>
      <c r="AU301" s="57">
        <v>260</v>
      </c>
      <c r="AV301" s="56">
        <v>56.648761749267599</v>
      </c>
      <c r="AW301" s="57">
        <v>331.13353586736292</v>
      </c>
      <c r="AX301" s="8"/>
      <c r="AZ301" s="1">
        <v>90</v>
      </c>
    </row>
    <row r="302" spans="3:52" ht="15" customHeight="1" x14ac:dyDescent="0.25">
      <c r="C302" s="42"/>
      <c r="D302" s="43">
        <f>D292</f>
        <v>45681</v>
      </c>
      <c r="E302" s="44">
        <f t="shared" si="29"/>
        <v>24.083333333333261</v>
      </c>
      <c r="F302" s="45">
        <f t="shared" si="27"/>
        <v>45682.083333334027</v>
      </c>
      <c r="G302" s="52">
        <v>43</v>
      </c>
      <c r="H302" s="53">
        <v>39</v>
      </c>
      <c r="I302" s="54">
        <v>10.6</v>
      </c>
      <c r="J302" s="54">
        <v>350</v>
      </c>
      <c r="K302" s="55">
        <v>9.5</v>
      </c>
      <c r="L302" s="56">
        <v>39</v>
      </c>
      <c r="M302" s="54">
        <v>10.5</v>
      </c>
      <c r="N302" s="54">
        <v>350</v>
      </c>
      <c r="O302" s="57">
        <v>9.4</v>
      </c>
      <c r="P302" s="53">
        <v>38</v>
      </c>
      <c r="Q302" s="54">
        <v>10.5</v>
      </c>
      <c r="R302" s="55">
        <v>0</v>
      </c>
      <c r="S302" s="55">
        <v>7.5</v>
      </c>
      <c r="T302" s="57">
        <v>9.61</v>
      </c>
      <c r="U302" s="56">
        <v>37</v>
      </c>
      <c r="V302" s="54">
        <v>10.5</v>
      </c>
      <c r="W302" s="55">
        <v>0</v>
      </c>
      <c r="X302" s="55">
        <v>7.2</v>
      </c>
      <c r="Y302" s="57">
        <v>10.57</v>
      </c>
      <c r="Z302" s="53">
        <v>37</v>
      </c>
      <c r="AA302" s="54">
        <v>10.5</v>
      </c>
      <c r="AB302" s="55">
        <v>0</v>
      </c>
      <c r="AC302" s="55">
        <v>6.4</v>
      </c>
      <c r="AD302" s="57">
        <v>16.73</v>
      </c>
      <c r="AE302" s="56">
        <v>37</v>
      </c>
      <c r="AF302" s="54">
        <v>10.5</v>
      </c>
      <c r="AG302" s="55">
        <v>0</v>
      </c>
      <c r="AH302" s="55">
        <v>5.9</v>
      </c>
      <c r="AI302" s="57">
        <v>14.42</v>
      </c>
      <c r="AJ302" s="56">
        <v>35</v>
      </c>
      <c r="AK302" s="54">
        <v>10.6</v>
      </c>
      <c r="AL302" s="54">
        <v>0</v>
      </c>
      <c r="AM302" s="54">
        <v>6.4</v>
      </c>
      <c r="AN302" s="57">
        <v>14.8</v>
      </c>
      <c r="AO302" s="53">
        <v>36</v>
      </c>
      <c r="AP302" s="54">
        <v>10.6</v>
      </c>
      <c r="AQ302" s="54">
        <v>290</v>
      </c>
      <c r="AR302" s="54">
        <v>5.5</v>
      </c>
      <c r="AS302" s="57">
        <v>19.61</v>
      </c>
      <c r="AT302" s="56">
        <v>29</v>
      </c>
      <c r="AU302" s="57">
        <v>250</v>
      </c>
      <c r="AV302" s="56">
        <v>58.976238250732401</v>
      </c>
      <c r="AW302" s="57">
        <v>347.60247912406919</v>
      </c>
      <c r="AX302" s="8"/>
      <c r="AZ302" s="1">
        <v>90</v>
      </c>
    </row>
    <row r="303" spans="3:52" ht="15" customHeight="1" x14ac:dyDescent="0.25">
      <c r="C303" s="42"/>
      <c r="D303" s="69">
        <f>D292</f>
        <v>45681</v>
      </c>
      <c r="E303" s="70">
        <f t="shared" si="29"/>
        <v>24.166666666666593</v>
      </c>
      <c r="F303" s="71">
        <f t="shared" si="27"/>
        <v>45682.166666667363</v>
      </c>
      <c r="G303" s="60">
        <v>0</v>
      </c>
      <c r="H303" s="61">
        <v>40</v>
      </c>
      <c r="I303" s="62">
        <v>10.5</v>
      </c>
      <c r="J303" s="62">
        <v>400</v>
      </c>
      <c r="K303" s="63">
        <v>9.8000000000000007</v>
      </c>
      <c r="L303" s="64">
        <v>37</v>
      </c>
      <c r="M303" s="62">
        <v>10.5</v>
      </c>
      <c r="N303" s="62">
        <v>400</v>
      </c>
      <c r="O303" s="65">
        <v>9.1</v>
      </c>
      <c r="P303" s="61">
        <v>35</v>
      </c>
      <c r="Q303" s="62">
        <v>10.5</v>
      </c>
      <c r="R303" s="63">
        <v>0</v>
      </c>
      <c r="S303" s="63">
        <v>7.4</v>
      </c>
      <c r="T303" s="65">
        <v>5.38</v>
      </c>
      <c r="U303" s="64">
        <v>36</v>
      </c>
      <c r="V303" s="62">
        <v>10.4</v>
      </c>
      <c r="W303" s="63">
        <v>0</v>
      </c>
      <c r="X303" s="63">
        <v>7.1</v>
      </c>
      <c r="Y303" s="65">
        <v>14.42</v>
      </c>
      <c r="Z303" s="61">
        <v>35</v>
      </c>
      <c r="AA303" s="62">
        <v>10.5</v>
      </c>
      <c r="AB303" s="63">
        <v>0</v>
      </c>
      <c r="AC303" s="63">
        <v>6.2</v>
      </c>
      <c r="AD303" s="65">
        <v>11.53</v>
      </c>
      <c r="AE303" s="64">
        <v>36</v>
      </c>
      <c r="AF303" s="62">
        <v>10.4</v>
      </c>
      <c r="AG303" s="63">
        <v>0</v>
      </c>
      <c r="AH303" s="63">
        <v>5.6</v>
      </c>
      <c r="AI303" s="65">
        <v>13.84</v>
      </c>
      <c r="AJ303" s="64">
        <v>35</v>
      </c>
      <c r="AK303" s="62">
        <v>10.5</v>
      </c>
      <c r="AL303" s="62">
        <v>0</v>
      </c>
      <c r="AM303" s="62">
        <v>6.3</v>
      </c>
      <c r="AN303" s="65">
        <v>14.61</v>
      </c>
      <c r="AO303" s="61">
        <v>34</v>
      </c>
      <c r="AP303" s="62">
        <v>10.5</v>
      </c>
      <c r="AQ303" s="62">
        <v>300</v>
      </c>
      <c r="AR303" s="62">
        <v>5.2</v>
      </c>
      <c r="AS303" s="65">
        <v>20.38</v>
      </c>
      <c r="AT303" s="64">
        <v>27</v>
      </c>
      <c r="AU303" s="65">
        <v>250</v>
      </c>
      <c r="AV303" s="64">
        <v>63.63525390625</v>
      </c>
      <c r="AW303" s="65">
        <v>351.44495048522947</v>
      </c>
      <c r="AX303" s="8"/>
      <c r="AZ303" s="1">
        <v>90</v>
      </c>
    </row>
    <row r="304" spans="3:52" ht="15" customHeight="1" x14ac:dyDescent="0.25">
      <c r="C304" s="42">
        <f>C292+1</f>
        <v>25</v>
      </c>
      <c r="D304" s="66">
        <f>DATE([1]Dash!$F$3,VLOOKUP([1]Dash!$E$3,[1]Abb!$C$3:$D$14,2,FALSE),C304)</f>
        <v>45682</v>
      </c>
      <c r="E304" s="67">
        <f>E303+2/24</f>
        <v>24.249999999999925</v>
      </c>
      <c r="F304" s="68">
        <f t="shared" si="27"/>
        <v>45682.250000000698</v>
      </c>
      <c r="G304" s="46">
        <v>0</v>
      </c>
      <c r="H304" s="47">
        <v>39</v>
      </c>
      <c r="I304" s="48">
        <v>10.5</v>
      </c>
      <c r="J304" s="48">
        <v>450</v>
      </c>
      <c r="K304" s="49">
        <v>9.1999999999999993</v>
      </c>
      <c r="L304" s="50">
        <v>39</v>
      </c>
      <c r="M304" s="48">
        <v>10.6</v>
      </c>
      <c r="N304" s="48">
        <v>350</v>
      </c>
      <c r="O304" s="51">
        <v>8.8000000000000007</v>
      </c>
      <c r="P304" s="47">
        <v>38</v>
      </c>
      <c r="Q304" s="48">
        <v>10.5</v>
      </c>
      <c r="R304" s="49">
        <v>0</v>
      </c>
      <c r="S304" s="49">
        <v>72</v>
      </c>
      <c r="T304" s="51">
        <v>10.57</v>
      </c>
      <c r="U304" s="50">
        <v>36</v>
      </c>
      <c r="V304" s="48">
        <v>10.5</v>
      </c>
      <c r="W304" s="49">
        <v>0</v>
      </c>
      <c r="X304" s="49">
        <v>7.4</v>
      </c>
      <c r="Y304" s="51">
        <v>0</v>
      </c>
      <c r="Z304" s="47">
        <v>0</v>
      </c>
      <c r="AA304" s="48">
        <v>0</v>
      </c>
      <c r="AB304" s="49">
        <v>0</v>
      </c>
      <c r="AC304" s="49">
        <v>0</v>
      </c>
      <c r="AD304" s="51">
        <v>0</v>
      </c>
      <c r="AE304" s="50">
        <v>0</v>
      </c>
      <c r="AF304" s="48">
        <v>0</v>
      </c>
      <c r="AG304" s="49">
        <v>0</v>
      </c>
      <c r="AH304" s="49">
        <v>0</v>
      </c>
      <c r="AI304" s="51">
        <v>0</v>
      </c>
      <c r="AJ304" s="50">
        <v>0</v>
      </c>
      <c r="AK304" s="48">
        <v>0</v>
      </c>
      <c r="AL304" s="48">
        <v>0</v>
      </c>
      <c r="AM304" s="48">
        <v>0</v>
      </c>
      <c r="AN304" s="51">
        <v>0</v>
      </c>
      <c r="AO304" s="47">
        <v>0</v>
      </c>
      <c r="AP304" s="48">
        <v>0</v>
      </c>
      <c r="AQ304" s="48">
        <v>0</v>
      </c>
      <c r="AR304" s="48">
        <v>0</v>
      </c>
      <c r="AS304" s="51">
        <v>0</v>
      </c>
      <c r="AT304" s="50">
        <v>0</v>
      </c>
      <c r="AU304" s="51">
        <v>0</v>
      </c>
      <c r="AV304" s="50">
        <v>60.701496124267599</v>
      </c>
      <c r="AW304" s="51">
        <v>357.05331338246663</v>
      </c>
      <c r="AX304" s="8"/>
      <c r="AZ304" s="1">
        <v>90</v>
      </c>
    </row>
    <row r="305" spans="3:52" ht="15" customHeight="1" x14ac:dyDescent="0.25">
      <c r="C305" s="42"/>
      <c r="D305" s="43">
        <f>D304</f>
        <v>45682</v>
      </c>
      <c r="E305" s="44">
        <f>E304+2/24</f>
        <v>24.333333333333258</v>
      </c>
      <c r="F305" s="45">
        <f t="shared" si="27"/>
        <v>45682.333333334034</v>
      </c>
      <c r="G305" s="52">
        <v>45</v>
      </c>
      <c r="H305" s="53">
        <v>37</v>
      </c>
      <c r="I305" s="54">
        <v>10.4</v>
      </c>
      <c r="J305" s="54">
        <v>500</v>
      </c>
      <c r="K305" s="55">
        <v>9.1</v>
      </c>
      <c r="L305" s="56">
        <v>36</v>
      </c>
      <c r="M305" s="54">
        <v>10.5</v>
      </c>
      <c r="N305" s="54">
        <v>350</v>
      </c>
      <c r="O305" s="57">
        <v>9.1</v>
      </c>
      <c r="P305" s="53">
        <v>36</v>
      </c>
      <c r="Q305" s="54">
        <v>10.5</v>
      </c>
      <c r="R305" s="55">
        <v>0</v>
      </c>
      <c r="S305" s="55">
        <v>8</v>
      </c>
      <c r="T305" s="57">
        <v>13</v>
      </c>
      <c r="U305" s="56">
        <v>34</v>
      </c>
      <c r="V305" s="54">
        <v>10.5</v>
      </c>
      <c r="W305" s="55">
        <v>0</v>
      </c>
      <c r="X305" s="55">
        <v>6.9</v>
      </c>
      <c r="Y305" s="57">
        <v>11</v>
      </c>
      <c r="Z305" s="53">
        <v>34</v>
      </c>
      <c r="AA305" s="54">
        <v>10.4</v>
      </c>
      <c r="AB305" s="55">
        <v>0</v>
      </c>
      <c r="AC305" s="55">
        <v>6.7</v>
      </c>
      <c r="AD305" s="57">
        <v>12</v>
      </c>
      <c r="AE305" s="56">
        <v>33</v>
      </c>
      <c r="AF305" s="54">
        <v>10.5</v>
      </c>
      <c r="AG305" s="55">
        <v>0</v>
      </c>
      <c r="AH305" s="55">
        <v>6.6</v>
      </c>
      <c r="AI305" s="57">
        <v>14</v>
      </c>
      <c r="AJ305" s="56">
        <v>34</v>
      </c>
      <c r="AK305" s="54">
        <v>10.5</v>
      </c>
      <c r="AL305" s="54">
        <v>0</v>
      </c>
      <c r="AM305" s="54">
        <v>6.4</v>
      </c>
      <c r="AN305" s="57">
        <v>13</v>
      </c>
      <c r="AO305" s="53">
        <v>34</v>
      </c>
      <c r="AP305" s="54">
        <v>10.6</v>
      </c>
      <c r="AQ305" s="54">
        <v>350</v>
      </c>
      <c r="AR305" s="54">
        <v>6</v>
      </c>
      <c r="AS305" s="57">
        <v>12</v>
      </c>
      <c r="AT305" s="56">
        <v>0</v>
      </c>
      <c r="AU305" s="57">
        <v>0</v>
      </c>
      <c r="AV305" s="56">
        <v>57.954914093017599</v>
      </c>
      <c r="AW305" s="57">
        <v>374.23357865015663</v>
      </c>
      <c r="AX305" s="8"/>
      <c r="AZ305" s="1">
        <v>90</v>
      </c>
    </row>
    <row r="306" spans="3:52" ht="15" customHeight="1" x14ac:dyDescent="0.25">
      <c r="C306" s="42"/>
      <c r="D306" s="43">
        <f>D304</f>
        <v>45682</v>
      </c>
      <c r="E306" s="44">
        <f t="shared" ref="E306:E315" si="30">E305+2/24</f>
        <v>24.41666666666659</v>
      </c>
      <c r="F306" s="45">
        <f t="shared" si="27"/>
        <v>45682.41666666737</v>
      </c>
      <c r="G306" s="52">
        <v>36</v>
      </c>
      <c r="H306" s="53">
        <v>33</v>
      </c>
      <c r="I306" s="54">
        <v>10.199999999999999</v>
      </c>
      <c r="J306" s="54">
        <v>450</v>
      </c>
      <c r="K306" s="55">
        <v>9.6999999999999993</v>
      </c>
      <c r="L306" s="56">
        <v>38</v>
      </c>
      <c r="M306" s="54">
        <v>10.3</v>
      </c>
      <c r="N306" s="54">
        <v>400</v>
      </c>
      <c r="O306" s="57">
        <v>9.4</v>
      </c>
      <c r="P306" s="53">
        <v>34</v>
      </c>
      <c r="Q306" s="54">
        <v>10.3</v>
      </c>
      <c r="R306" s="55">
        <v>0</v>
      </c>
      <c r="S306" s="55">
        <v>8.1</v>
      </c>
      <c r="T306" s="57">
        <v>14</v>
      </c>
      <c r="U306" s="56">
        <v>0</v>
      </c>
      <c r="V306" s="54">
        <v>0</v>
      </c>
      <c r="W306" s="55">
        <v>0</v>
      </c>
      <c r="X306" s="55">
        <v>0</v>
      </c>
      <c r="Y306" s="57">
        <v>11</v>
      </c>
      <c r="Z306" s="53">
        <v>34</v>
      </c>
      <c r="AA306" s="54">
        <v>10.5</v>
      </c>
      <c r="AB306" s="55">
        <v>0</v>
      </c>
      <c r="AC306" s="55">
        <v>7</v>
      </c>
      <c r="AD306" s="57">
        <v>12</v>
      </c>
      <c r="AE306" s="56">
        <v>33</v>
      </c>
      <c r="AF306" s="54">
        <v>10.4</v>
      </c>
      <c r="AG306" s="55">
        <v>0</v>
      </c>
      <c r="AH306" s="55">
        <v>6.9</v>
      </c>
      <c r="AI306" s="57">
        <v>14</v>
      </c>
      <c r="AJ306" s="56">
        <v>35</v>
      </c>
      <c r="AK306" s="54">
        <v>10.4</v>
      </c>
      <c r="AL306" s="54">
        <v>290</v>
      </c>
      <c r="AM306" s="54">
        <v>6.2</v>
      </c>
      <c r="AN306" s="57">
        <v>15</v>
      </c>
      <c r="AO306" s="53">
        <v>0</v>
      </c>
      <c r="AP306" s="54">
        <v>0</v>
      </c>
      <c r="AQ306" s="54">
        <v>0</v>
      </c>
      <c r="AR306" s="54">
        <v>0</v>
      </c>
      <c r="AS306" s="57">
        <v>0</v>
      </c>
      <c r="AT306" s="56">
        <v>24</v>
      </c>
      <c r="AU306" s="57">
        <v>280</v>
      </c>
      <c r="AV306" s="56">
        <v>63.313800811767599</v>
      </c>
      <c r="AW306" s="57">
        <v>353.97063013712562</v>
      </c>
      <c r="AX306" s="8"/>
      <c r="AZ306" s="1">
        <v>90</v>
      </c>
    </row>
    <row r="307" spans="3:52" ht="15" customHeight="1" x14ac:dyDescent="0.25">
      <c r="C307" s="42"/>
      <c r="D307" s="43">
        <f>D304</f>
        <v>45682</v>
      </c>
      <c r="E307" s="44">
        <f t="shared" si="30"/>
        <v>24.499999999999922</v>
      </c>
      <c r="F307" s="45">
        <f t="shared" si="27"/>
        <v>45682.500000000706</v>
      </c>
      <c r="G307" s="52">
        <v>35</v>
      </c>
      <c r="H307" s="53">
        <v>35</v>
      </c>
      <c r="I307" s="54">
        <v>10.3</v>
      </c>
      <c r="J307" s="54">
        <v>400</v>
      </c>
      <c r="K307" s="55">
        <v>9.5</v>
      </c>
      <c r="L307" s="56">
        <v>36</v>
      </c>
      <c r="M307" s="54">
        <v>10.3</v>
      </c>
      <c r="N307" s="54">
        <v>0</v>
      </c>
      <c r="O307" s="57">
        <v>9.1</v>
      </c>
      <c r="P307" s="53">
        <v>37</v>
      </c>
      <c r="Q307" s="54">
        <v>10.3</v>
      </c>
      <c r="R307" s="55">
        <v>0</v>
      </c>
      <c r="S307" s="55">
        <v>8.1</v>
      </c>
      <c r="T307" s="57">
        <v>14</v>
      </c>
      <c r="U307" s="56">
        <v>0</v>
      </c>
      <c r="V307" s="54">
        <v>0</v>
      </c>
      <c r="W307" s="55">
        <v>0</v>
      </c>
      <c r="X307" s="55">
        <v>0</v>
      </c>
      <c r="Y307" s="57">
        <v>0</v>
      </c>
      <c r="Z307" s="53">
        <v>36</v>
      </c>
      <c r="AA307" s="54">
        <v>10.4</v>
      </c>
      <c r="AB307" s="55">
        <v>0</v>
      </c>
      <c r="AC307" s="55">
        <v>7.1</v>
      </c>
      <c r="AD307" s="57">
        <v>12</v>
      </c>
      <c r="AE307" s="56">
        <v>35</v>
      </c>
      <c r="AF307" s="54">
        <v>10.3</v>
      </c>
      <c r="AG307" s="55">
        <v>0</v>
      </c>
      <c r="AH307" s="55">
        <v>6.7</v>
      </c>
      <c r="AI307" s="57">
        <v>14</v>
      </c>
      <c r="AJ307" s="56">
        <v>34</v>
      </c>
      <c r="AK307" s="54">
        <v>10.3</v>
      </c>
      <c r="AL307" s="54">
        <v>290</v>
      </c>
      <c r="AM307" s="54">
        <v>6.1</v>
      </c>
      <c r="AN307" s="57">
        <v>14</v>
      </c>
      <c r="AO307" s="53">
        <v>0</v>
      </c>
      <c r="AP307" s="54">
        <v>0</v>
      </c>
      <c r="AQ307" s="54">
        <v>0</v>
      </c>
      <c r="AR307" s="54">
        <v>0</v>
      </c>
      <c r="AS307" s="57">
        <v>0</v>
      </c>
      <c r="AT307" s="56">
        <v>26</v>
      </c>
      <c r="AU307" s="57">
        <v>240</v>
      </c>
      <c r="AV307" s="56">
        <v>57.87353515625</v>
      </c>
      <c r="AW307" s="57">
        <v>376.98242136637367</v>
      </c>
      <c r="AX307" s="8"/>
      <c r="AZ307" s="1">
        <v>90</v>
      </c>
    </row>
    <row r="308" spans="3:52" ht="15" customHeight="1" x14ac:dyDescent="0.25">
      <c r="C308" s="42"/>
      <c r="D308" s="43">
        <f>D304</f>
        <v>45682</v>
      </c>
      <c r="E308" s="44">
        <f t="shared" si="30"/>
        <v>24.583333333333254</v>
      </c>
      <c r="F308" s="45">
        <f t="shared" si="27"/>
        <v>45682.583333334042</v>
      </c>
      <c r="G308" s="52">
        <v>36</v>
      </c>
      <c r="H308" s="53">
        <v>36</v>
      </c>
      <c r="I308" s="54">
        <v>10.48</v>
      </c>
      <c r="J308" s="54">
        <v>350</v>
      </c>
      <c r="K308" s="55">
        <v>9.1999999999999993</v>
      </c>
      <c r="L308" s="56">
        <v>35</v>
      </c>
      <c r="M308" s="54">
        <v>10.7</v>
      </c>
      <c r="N308" s="54">
        <v>350</v>
      </c>
      <c r="O308" s="57">
        <v>9.3000000000000007</v>
      </c>
      <c r="P308" s="53">
        <v>36</v>
      </c>
      <c r="Q308" s="54">
        <v>10.199999999999999</v>
      </c>
      <c r="R308" s="55">
        <v>0</v>
      </c>
      <c r="S308" s="55">
        <v>8.1999999999999993</v>
      </c>
      <c r="T308" s="57">
        <v>14</v>
      </c>
      <c r="U308" s="56">
        <v>0</v>
      </c>
      <c r="V308" s="54">
        <v>0</v>
      </c>
      <c r="W308" s="55">
        <v>0</v>
      </c>
      <c r="X308" s="55">
        <v>0</v>
      </c>
      <c r="Y308" s="57">
        <v>0</v>
      </c>
      <c r="Z308" s="53">
        <v>36</v>
      </c>
      <c r="AA308" s="54">
        <v>10.3</v>
      </c>
      <c r="AB308" s="55">
        <v>0</v>
      </c>
      <c r="AC308" s="55">
        <v>7.1</v>
      </c>
      <c r="AD308" s="57">
        <v>12</v>
      </c>
      <c r="AE308" s="56">
        <v>35</v>
      </c>
      <c r="AF308" s="54">
        <v>10.3</v>
      </c>
      <c r="AG308" s="55">
        <v>0</v>
      </c>
      <c r="AH308" s="55">
        <v>6.8</v>
      </c>
      <c r="AI308" s="57">
        <v>14.6</v>
      </c>
      <c r="AJ308" s="56">
        <v>37</v>
      </c>
      <c r="AK308" s="54">
        <v>10.3</v>
      </c>
      <c r="AL308" s="54">
        <v>270</v>
      </c>
      <c r="AM308" s="54">
        <v>6.5</v>
      </c>
      <c r="AN308" s="57">
        <v>13.8</v>
      </c>
      <c r="AO308" s="53">
        <v>0</v>
      </c>
      <c r="AP308" s="54">
        <v>0</v>
      </c>
      <c r="AQ308" s="54">
        <v>0</v>
      </c>
      <c r="AR308" s="54">
        <v>0</v>
      </c>
      <c r="AS308" s="57">
        <v>0</v>
      </c>
      <c r="AT308" s="56">
        <v>24</v>
      </c>
      <c r="AU308" s="57">
        <v>200</v>
      </c>
      <c r="AV308" s="56">
        <v>57.40966796875</v>
      </c>
      <c r="AW308" s="57">
        <v>379.34208641052248</v>
      </c>
      <c r="AX308" s="8"/>
      <c r="AZ308" s="1">
        <v>90</v>
      </c>
    </row>
    <row r="309" spans="3:52" ht="15" customHeight="1" x14ac:dyDescent="0.25">
      <c r="C309" s="42"/>
      <c r="D309" s="43">
        <f>D304</f>
        <v>45682</v>
      </c>
      <c r="E309" s="44">
        <f t="shared" si="30"/>
        <v>24.666666666666586</v>
      </c>
      <c r="F309" s="45">
        <f t="shared" si="27"/>
        <v>45682.666666667377</v>
      </c>
      <c r="G309" s="52">
        <v>35</v>
      </c>
      <c r="H309" s="53">
        <v>36</v>
      </c>
      <c r="I309" s="54">
        <v>10.6</v>
      </c>
      <c r="J309" s="54">
        <v>350</v>
      </c>
      <c r="K309" s="55">
        <v>9.1</v>
      </c>
      <c r="L309" s="56">
        <v>35</v>
      </c>
      <c r="M309" s="54">
        <v>10.4</v>
      </c>
      <c r="N309" s="54">
        <v>500</v>
      </c>
      <c r="O309" s="57">
        <v>9</v>
      </c>
      <c r="P309" s="53">
        <v>34</v>
      </c>
      <c r="Q309" s="54">
        <v>10.6</v>
      </c>
      <c r="R309" s="55">
        <v>0</v>
      </c>
      <c r="S309" s="55">
        <v>7.9</v>
      </c>
      <c r="T309" s="57">
        <v>14</v>
      </c>
      <c r="U309" s="56">
        <v>0</v>
      </c>
      <c r="V309" s="54">
        <v>0</v>
      </c>
      <c r="W309" s="55">
        <v>0</v>
      </c>
      <c r="X309" s="55">
        <v>0</v>
      </c>
      <c r="Y309" s="57">
        <v>0</v>
      </c>
      <c r="Z309" s="53">
        <v>36</v>
      </c>
      <c r="AA309" s="54">
        <v>10.3</v>
      </c>
      <c r="AB309" s="55">
        <v>0</v>
      </c>
      <c r="AC309" s="55">
        <v>7</v>
      </c>
      <c r="AD309" s="57">
        <v>11</v>
      </c>
      <c r="AE309" s="56">
        <v>35</v>
      </c>
      <c r="AF309" s="54">
        <v>10.3</v>
      </c>
      <c r="AG309" s="55">
        <v>0</v>
      </c>
      <c r="AH309" s="55">
        <v>6</v>
      </c>
      <c r="AI309" s="57">
        <v>14</v>
      </c>
      <c r="AJ309" s="56">
        <v>35</v>
      </c>
      <c r="AK309" s="54">
        <v>10.199999999999999</v>
      </c>
      <c r="AL309" s="54">
        <v>360</v>
      </c>
      <c r="AM309" s="54">
        <v>6</v>
      </c>
      <c r="AN309" s="57">
        <v>17</v>
      </c>
      <c r="AO309" s="53">
        <v>0</v>
      </c>
      <c r="AP309" s="54">
        <v>0</v>
      </c>
      <c r="AQ309" s="54">
        <v>0</v>
      </c>
      <c r="AR309" s="54">
        <v>0</v>
      </c>
      <c r="AS309" s="57">
        <v>0</v>
      </c>
      <c r="AT309" s="56">
        <v>23</v>
      </c>
      <c r="AU309" s="57">
        <v>270</v>
      </c>
      <c r="AV309" s="56">
        <v>56.819660186767599</v>
      </c>
      <c r="AW309" s="57">
        <v>378.53575789133708</v>
      </c>
      <c r="AX309" s="8"/>
      <c r="AZ309" s="1">
        <v>90</v>
      </c>
    </row>
    <row r="310" spans="3:52" ht="15" customHeight="1" x14ac:dyDescent="0.25">
      <c r="C310" s="42"/>
      <c r="D310" s="43">
        <f>D304</f>
        <v>45682</v>
      </c>
      <c r="E310" s="44">
        <f t="shared" si="30"/>
        <v>24.749999999999918</v>
      </c>
      <c r="F310" s="45">
        <f t="shared" si="27"/>
        <v>45682.750000000713</v>
      </c>
      <c r="G310" s="52">
        <v>35</v>
      </c>
      <c r="H310" s="53">
        <v>37</v>
      </c>
      <c r="I310" s="54">
        <v>10.5</v>
      </c>
      <c r="J310" s="54">
        <v>300</v>
      </c>
      <c r="K310" s="55">
        <v>9.3000000000000007</v>
      </c>
      <c r="L310" s="56">
        <v>36</v>
      </c>
      <c r="M310" s="54">
        <v>10.4</v>
      </c>
      <c r="N310" s="54">
        <v>450</v>
      </c>
      <c r="O310" s="57">
        <v>9.1</v>
      </c>
      <c r="P310" s="53">
        <v>36</v>
      </c>
      <c r="Q310" s="54">
        <v>11.5</v>
      </c>
      <c r="R310" s="55">
        <v>0</v>
      </c>
      <c r="S310" s="55">
        <v>7.6</v>
      </c>
      <c r="T310" s="57">
        <v>13.6</v>
      </c>
      <c r="U310" s="56">
        <v>0</v>
      </c>
      <c r="V310" s="54">
        <v>0</v>
      </c>
      <c r="W310" s="55">
        <v>0</v>
      </c>
      <c r="X310" s="55">
        <v>0</v>
      </c>
      <c r="Y310" s="57">
        <v>0</v>
      </c>
      <c r="Z310" s="53">
        <v>34</v>
      </c>
      <c r="AA310" s="54">
        <v>10.199999999999999</v>
      </c>
      <c r="AB310" s="55">
        <v>0</v>
      </c>
      <c r="AC310" s="55">
        <v>7.1</v>
      </c>
      <c r="AD310" s="57">
        <v>11.2</v>
      </c>
      <c r="AE310" s="56">
        <v>36</v>
      </c>
      <c r="AF310" s="54">
        <v>10.199999999999999</v>
      </c>
      <c r="AG310" s="55">
        <v>0</v>
      </c>
      <c r="AH310" s="55">
        <v>6.1</v>
      </c>
      <c r="AI310" s="57">
        <v>13.8</v>
      </c>
      <c r="AJ310" s="56">
        <v>35</v>
      </c>
      <c r="AK310" s="54">
        <v>10.199999999999999</v>
      </c>
      <c r="AL310" s="54">
        <v>350</v>
      </c>
      <c r="AM310" s="54">
        <v>0</v>
      </c>
      <c r="AN310" s="57">
        <v>17</v>
      </c>
      <c r="AO310" s="53">
        <v>0</v>
      </c>
      <c r="AP310" s="54">
        <v>0</v>
      </c>
      <c r="AQ310" s="54">
        <v>0</v>
      </c>
      <c r="AR310" s="54">
        <v>0</v>
      </c>
      <c r="AS310" s="57">
        <v>0</v>
      </c>
      <c r="AT310" s="56">
        <v>22</v>
      </c>
      <c r="AU310" s="57">
        <v>290</v>
      </c>
      <c r="AV310" s="56">
        <v>57.059734344482401</v>
      </c>
      <c r="AW310" s="57">
        <v>378.16876455942787</v>
      </c>
      <c r="AX310" s="8"/>
      <c r="AZ310" s="1">
        <v>90</v>
      </c>
    </row>
    <row r="311" spans="3:52" ht="15" customHeight="1" x14ac:dyDescent="0.25">
      <c r="C311" s="42"/>
      <c r="D311" s="43">
        <f>D304</f>
        <v>45682</v>
      </c>
      <c r="E311" s="44">
        <f t="shared" si="30"/>
        <v>24.83333333333325</v>
      </c>
      <c r="F311" s="45">
        <f t="shared" si="27"/>
        <v>45682.833333334049</v>
      </c>
      <c r="G311" s="52">
        <v>38</v>
      </c>
      <c r="H311" s="53">
        <v>38</v>
      </c>
      <c r="I311" s="54">
        <v>11</v>
      </c>
      <c r="J311" s="54">
        <v>300</v>
      </c>
      <c r="K311" s="55">
        <v>8.1999999999999993</v>
      </c>
      <c r="L311" s="56">
        <v>37</v>
      </c>
      <c r="M311" s="54">
        <v>10.8</v>
      </c>
      <c r="N311" s="54">
        <v>450</v>
      </c>
      <c r="O311" s="57">
        <v>8.4</v>
      </c>
      <c r="P311" s="53">
        <v>35</v>
      </c>
      <c r="Q311" s="54">
        <v>10.7</v>
      </c>
      <c r="R311" s="55">
        <v>0</v>
      </c>
      <c r="S311" s="55">
        <v>7.7</v>
      </c>
      <c r="T311" s="57">
        <v>14.42</v>
      </c>
      <c r="U311" s="56">
        <v>34</v>
      </c>
      <c r="V311" s="54">
        <v>10.4</v>
      </c>
      <c r="W311" s="55">
        <v>0</v>
      </c>
      <c r="X311" s="55">
        <v>6.6</v>
      </c>
      <c r="Y311" s="57">
        <v>9.6</v>
      </c>
      <c r="Z311" s="53">
        <v>35</v>
      </c>
      <c r="AA311" s="54">
        <v>10.6</v>
      </c>
      <c r="AB311" s="55">
        <v>0</v>
      </c>
      <c r="AC311" s="55">
        <v>7</v>
      </c>
      <c r="AD311" s="57">
        <v>8.65</v>
      </c>
      <c r="AE311" s="56">
        <v>35</v>
      </c>
      <c r="AF311" s="54">
        <v>105</v>
      </c>
      <c r="AG311" s="55">
        <v>0</v>
      </c>
      <c r="AH311" s="55">
        <v>8.6</v>
      </c>
      <c r="AI311" s="57">
        <v>13.46</v>
      </c>
      <c r="AJ311" s="56">
        <v>34</v>
      </c>
      <c r="AK311" s="54">
        <v>10.4</v>
      </c>
      <c r="AL311" s="54">
        <v>320</v>
      </c>
      <c r="AM311" s="54">
        <v>5.8</v>
      </c>
      <c r="AN311" s="57">
        <v>16.73</v>
      </c>
      <c r="AO311" s="53">
        <v>34</v>
      </c>
      <c r="AP311" s="54">
        <v>10.4</v>
      </c>
      <c r="AQ311" s="54">
        <v>0</v>
      </c>
      <c r="AR311" s="54">
        <v>5.7</v>
      </c>
      <c r="AS311" s="57">
        <v>17.690000000000001</v>
      </c>
      <c r="AT311" s="56">
        <v>27</v>
      </c>
      <c r="AU311" s="57">
        <v>270</v>
      </c>
      <c r="AV311" s="56">
        <v>57.2265625</v>
      </c>
      <c r="AW311" s="57">
        <v>373.7005686442057</v>
      </c>
      <c r="AX311" s="8"/>
      <c r="AZ311" s="1">
        <v>90</v>
      </c>
    </row>
    <row r="312" spans="3:52" ht="15" customHeight="1" x14ac:dyDescent="0.25">
      <c r="C312" s="42"/>
      <c r="D312" s="43">
        <f>D304</f>
        <v>45682</v>
      </c>
      <c r="E312" s="44">
        <f t="shared" si="30"/>
        <v>24.916666666666583</v>
      </c>
      <c r="F312" s="45">
        <f t="shared" si="27"/>
        <v>45682.916666667385</v>
      </c>
      <c r="G312" s="52">
        <v>39</v>
      </c>
      <c r="H312" s="53">
        <v>38</v>
      </c>
      <c r="I312" s="54">
        <v>11</v>
      </c>
      <c r="J312" s="54">
        <v>300</v>
      </c>
      <c r="K312" s="55">
        <v>8.4</v>
      </c>
      <c r="L312" s="56">
        <v>37</v>
      </c>
      <c r="M312" s="54">
        <v>10.8</v>
      </c>
      <c r="N312" s="54">
        <v>400</v>
      </c>
      <c r="O312" s="57">
        <v>8.5</v>
      </c>
      <c r="P312" s="53">
        <v>36</v>
      </c>
      <c r="Q312" s="54">
        <v>10.7</v>
      </c>
      <c r="R312" s="55">
        <v>0</v>
      </c>
      <c r="S312" s="55">
        <v>7.5</v>
      </c>
      <c r="T312" s="57">
        <v>14.42</v>
      </c>
      <c r="U312" s="56">
        <v>34</v>
      </c>
      <c r="V312" s="54">
        <v>10.5</v>
      </c>
      <c r="W312" s="55">
        <v>0</v>
      </c>
      <c r="X312" s="55">
        <v>6.4</v>
      </c>
      <c r="Y312" s="57" t="s">
        <v>38</v>
      </c>
      <c r="Z312" s="53">
        <v>35</v>
      </c>
      <c r="AA312" s="54">
        <v>10.6</v>
      </c>
      <c r="AB312" s="55">
        <v>0</v>
      </c>
      <c r="AC312" s="55">
        <v>7.2</v>
      </c>
      <c r="AD312" s="57">
        <v>8.65</v>
      </c>
      <c r="AE312" s="56">
        <v>35</v>
      </c>
      <c r="AF312" s="54">
        <v>10.6</v>
      </c>
      <c r="AG312" s="55">
        <v>0</v>
      </c>
      <c r="AH312" s="55">
        <v>6.4</v>
      </c>
      <c r="AI312" s="57">
        <v>13.26</v>
      </c>
      <c r="AJ312" s="56">
        <v>34</v>
      </c>
      <c r="AK312" s="54">
        <v>10.5</v>
      </c>
      <c r="AL312" s="54">
        <v>330</v>
      </c>
      <c r="AM312" s="54">
        <v>5.4</v>
      </c>
      <c r="AN312" s="57">
        <v>16.73</v>
      </c>
      <c r="AO312" s="53">
        <v>34</v>
      </c>
      <c r="AP312" s="54">
        <v>10.5</v>
      </c>
      <c r="AQ312" s="54">
        <v>0</v>
      </c>
      <c r="AR312" s="54">
        <v>5.8</v>
      </c>
      <c r="AS312" s="57">
        <v>17.690000000000001</v>
      </c>
      <c r="AT312" s="56">
        <v>28</v>
      </c>
      <c r="AU312" s="57">
        <v>260</v>
      </c>
      <c r="AV312" s="56">
        <v>57.027179718017599</v>
      </c>
      <c r="AW312" s="57">
        <v>388.49127095540365</v>
      </c>
      <c r="AX312" s="8"/>
      <c r="AZ312" s="1">
        <v>90</v>
      </c>
    </row>
    <row r="313" spans="3:52" ht="15" customHeight="1" x14ac:dyDescent="0.25">
      <c r="C313" s="42"/>
      <c r="D313" s="43">
        <f>D304</f>
        <v>45682</v>
      </c>
      <c r="E313" s="44">
        <f t="shared" si="30"/>
        <v>24.999999999999915</v>
      </c>
      <c r="F313" s="45">
        <f t="shared" si="27"/>
        <v>45683.00000000072</v>
      </c>
      <c r="G313" s="52">
        <v>39</v>
      </c>
      <c r="H313" s="53">
        <v>38</v>
      </c>
      <c r="I313" s="54">
        <v>10.9</v>
      </c>
      <c r="J313" s="54">
        <v>250</v>
      </c>
      <c r="K313" s="55">
        <v>8.1999999999999993</v>
      </c>
      <c r="L313" s="56">
        <v>38</v>
      </c>
      <c r="M313" s="54">
        <v>10.9</v>
      </c>
      <c r="N313" s="54">
        <v>350</v>
      </c>
      <c r="O313" s="57">
        <v>8.9</v>
      </c>
      <c r="P313" s="53">
        <v>36</v>
      </c>
      <c r="Q313" s="54">
        <v>10.8</v>
      </c>
      <c r="R313" s="55">
        <v>0</v>
      </c>
      <c r="S313" s="55">
        <v>7.4</v>
      </c>
      <c r="T313" s="57">
        <v>14.61</v>
      </c>
      <c r="U313" s="56" t="s">
        <v>38</v>
      </c>
      <c r="V313" s="54" t="s">
        <v>38</v>
      </c>
      <c r="W313" s="55" t="s">
        <v>38</v>
      </c>
      <c r="X313" s="55" t="s">
        <v>38</v>
      </c>
      <c r="Y313" s="57" t="s">
        <v>38</v>
      </c>
      <c r="Z313" s="53">
        <v>37</v>
      </c>
      <c r="AA313" s="54">
        <v>10.7</v>
      </c>
      <c r="AB313" s="55">
        <v>0</v>
      </c>
      <c r="AC313" s="55">
        <v>7</v>
      </c>
      <c r="AD313" s="57">
        <v>9.8000000000000007</v>
      </c>
      <c r="AE313" s="56">
        <v>34</v>
      </c>
      <c r="AF313" s="54">
        <v>10.5</v>
      </c>
      <c r="AG313" s="55">
        <v>0</v>
      </c>
      <c r="AH313" s="55">
        <v>6.1</v>
      </c>
      <c r="AI313" s="57">
        <v>13.26</v>
      </c>
      <c r="AJ313" s="56">
        <v>34</v>
      </c>
      <c r="AK313" s="54">
        <v>10.5</v>
      </c>
      <c r="AL313" s="54">
        <v>350</v>
      </c>
      <c r="AM313" s="54">
        <v>5.4</v>
      </c>
      <c r="AN313" s="57">
        <v>16.34</v>
      </c>
      <c r="AO313" s="53" t="s">
        <v>38</v>
      </c>
      <c r="AP313" s="54" t="s">
        <v>38</v>
      </c>
      <c r="AQ313" s="54" t="s">
        <v>38</v>
      </c>
      <c r="AR313" s="54" t="s">
        <v>38</v>
      </c>
      <c r="AS313" s="57" t="s">
        <v>38</v>
      </c>
      <c r="AT313" s="56">
        <v>27</v>
      </c>
      <c r="AU313" s="57">
        <v>270</v>
      </c>
      <c r="AV313" s="56">
        <v>57.259113311767599</v>
      </c>
      <c r="AW313" s="57">
        <v>388.5350362141927</v>
      </c>
      <c r="AX313" s="8"/>
      <c r="AZ313" s="1">
        <v>90</v>
      </c>
    </row>
    <row r="314" spans="3:52" ht="15" customHeight="1" x14ac:dyDescent="0.25">
      <c r="C314" s="42"/>
      <c r="D314" s="43">
        <f>D304</f>
        <v>45682</v>
      </c>
      <c r="E314" s="44">
        <f t="shared" si="30"/>
        <v>25.083333333333247</v>
      </c>
      <c r="F314" s="45">
        <f t="shared" si="27"/>
        <v>45683.083333334056</v>
      </c>
      <c r="G314" s="52">
        <v>41</v>
      </c>
      <c r="H314" s="53">
        <v>38</v>
      </c>
      <c r="I314" s="54">
        <v>10.8</v>
      </c>
      <c r="J314" s="54">
        <v>300</v>
      </c>
      <c r="K314" s="55">
        <v>8.4</v>
      </c>
      <c r="L314" s="56">
        <v>38</v>
      </c>
      <c r="M314" s="54">
        <v>10.9</v>
      </c>
      <c r="N314" s="54">
        <v>350</v>
      </c>
      <c r="O314" s="57">
        <v>8.1</v>
      </c>
      <c r="P314" s="53">
        <v>36</v>
      </c>
      <c r="Q314" s="54">
        <v>10.7</v>
      </c>
      <c r="R314" s="55">
        <v>0</v>
      </c>
      <c r="S314" s="55">
        <v>7.2</v>
      </c>
      <c r="T314" s="57">
        <v>14.23</v>
      </c>
      <c r="U314" s="56" t="s">
        <v>38</v>
      </c>
      <c r="V314" s="54" t="s">
        <v>38</v>
      </c>
      <c r="W314" s="55" t="s">
        <v>38</v>
      </c>
      <c r="X314" s="55" t="s">
        <v>38</v>
      </c>
      <c r="Y314" s="57" t="s">
        <v>38</v>
      </c>
      <c r="Z314" s="53">
        <v>37</v>
      </c>
      <c r="AA314" s="54">
        <v>10</v>
      </c>
      <c r="AB314" s="55">
        <v>0</v>
      </c>
      <c r="AC314" s="55">
        <v>7.1</v>
      </c>
      <c r="AD314" s="57">
        <v>10.19</v>
      </c>
      <c r="AE314" s="56">
        <v>34</v>
      </c>
      <c r="AF314" s="54">
        <v>10.6</v>
      </c>
      <c r="AG314" s="55">
        <v>0</v>
      </c>
      <c r="AH314" s="55">
        <v>6.2</v>
      </c>
      <c r="AI314" s="57">
        <v>13.46</v>
      </c>
      <c r="AJ314" s="56">
        <v>34</v>
      </c>
      <c r="AK314" s="54">
        <v>10.5</v>
      </c>
      <c r="AL314" s="54">
        <v>350</v>
      </c>
      <c r="AM314" s="54">
        <v>5.7</v>
      </c>
      <c r="AN314" s="57">
        <v>17.11</v>
      </c>
      <c r="AO314" s="53" t="s">
        <v>38</v>
      </c>
      <c r="AP314" s="54" t="s">
        <v>38</v>
      </c>
      <c r="AQ314" s="54" t="s">
        <v>38</v>
      </c>
      <c r="AR314" s="54" t="s">
        <v>38</v>
      </c>
      <c r="AS314" s="57" t="s">
        <v>38</v>
      </c>
      <c r="AT314" s="56">
        <v>27</v>
      </c>
      <c r="AU314" s="57">
        <v>250</v>
      </c>
      <c r="AV314" s="56">
        <v>58.292644500732401</v>
      </c>
      <c r="AW314" s="57">
        <v>384.23755798339846</v>
      </c>
      <c r="AX314" s="8"/>
      <c r="AZ314" s="1">
        <v>90</v>
      </c>
    </row>
    <row r="315" spans="3:52" ht="15" customHeight="1" x14ac:dyDescent="0.25">
      <c r="C315" s="42"/>
      <c r="D315" s="69">
        <f>D304</f>
        <v>45682</v>
      </c>
      <c r="E315" s="70">
        <f t="shared" si="30"/>
        <v>25.166666666666579</v>
      </c>
      <c r="F315" s="71">
        <f t="shared" si="27"/>
        <v>45683.166666667392</v>
      </c>
      <c r="G315" s="60">
        <v>42</v>
      </c>
      <c r="H315" s="61">
        <v>39</v>
      </c>
      <c r="I315" s="62">
        <v>10.7</v>
      </c>
      <c r="J315" s="62">
        <v>300</v>
      </c>
      <c r="K315" s="63">
        <v>9.1</v>
      </c>
      <c r="L315" s="64">
        <v>39</v>
      </c>
      <c r="M315" s="62">
        <v>10.6</v>
      </c>
      <c r="N315" s="62">
        <v>200</v>
      </c>
      <c r="O315" s="65">
        <v>8.4</v>
      </c>
      <c r="P315" s="61">
        <v>37</v>
      </c>
      <c r="Q315" s="62">
        <v>0.7</v>
      </c>
      <c r="R315" s="63">
        <v>0</v>
      </c>
      <c r="S315" s="63">
        <v>7.2</v>
      </c>
      <c r="T315" s="65">
        <v>14.23</v>
      </c>
      <c r="U315" s="64" t="s">
        <v>38</v>
      </c>
      <c r="V315" s="62" t="s">
        <v>38</v>
      </c>
      <c r="W315" s="63" t="s">
        <v>38</v>
      </c>
      <c r="X315" s="63" t="s">
        <v>38</v>
      </c>
      <c r="Y315" s="65" t="s">
        <v>38</v>
      </c>
      <c r="Z315" s="61">
        <v>36</v>
      </c>
      <c r="AA315" s="62">
        <v>10.6</v>
      </c>
      <c r="AB315" s="63">
        <v>0</v>
      </c>
      <c r="AC315" s="63">
        <v>7.2</v>
      </c>
      <c r="AD315" s="65">
        <v>10</v>
      </c>
      <c r="AE315" s="64">
        <v>36</v>
      </c>
      <c r="AF315" s="62">
        <v>10.6</v>
      </c>
      <c r="AG315" s="63">
        <v>0</v>
      </c>
      <c r="AH315" s="63">
        <v>6.4</v>
      </c>
      <c r="AI315" s="65">
        <v>13.46</v>
      </c>
      <c r="AJ315" s="64">
        <v>33</v>
      </c>
      <c r="AK315" s="62" t="s">
        <v>40</v>
      </c>
      <c r="AL315" s="62">
        <v>350</v>
      </c>
      <c r="AM315" s="62">
        <v>5.7</v>
      </c>
      <c r="AN315" s="65">
        <v>17.3</v>
      </c>
      <c r="AO315" s="61" t="s">
        <v>38</v>
      </c>
      <c r="AP315" s="62" t="s">
        <v>38</v>
      </c>
      <c r="AQ315" s="62" t="s">
        <v>38</v>
      </c>
      <c r="AR315" s="62" t="s">
        <v>38</v>
      </c>
      <c r="AS315" s="65" t="s">
        <v>38</v>
      </c>
      <c r="AT315" s="64">
        <v>29</v>
      </c>
      <c r="AU315" s="65">
        <v>280</v>
      </c>
      <c r="AV315" s="64">
        <v>58.11767578125</v>
      </c>
      <c r="AW315" s="65">
        <v>388.58748041788738</v>
      </c>
      <c r="AX315" s="8"/>
      <c r="AZ315" s="1">
        <v>90</v>
      </c>
    </row>
    <row r="316" spans="3:52" ht="15" customHeight="1" x14ac:dyDescent="0.25">
      <c r="C316" s="42">
        <f>C304+1</f>
        <v>26</v>
      </c>
      <c r="D316" s="66">
        <f>DATE([1]Dash!$F$3,VLOOKUP([1]Dash!$E$3,[1]Abb!$C$3:$D$14,2,FALSE),C316)</f>
        <v>45683</v>
      </c>
      <c r="E316" s="67">
        <f>E315+2/24</f>
        <v>25.249999999999911</v>
      </c>
      <c r="F316" s="68">
        <f t="shared" si="27"/>
        <v>45683.250000000728</v>
      </c>
      <c r="G316" s="46">
        <v>41</v>
      </c>
      <c r="H316" s="47">
        <v>39</v>
      </c>
      <c r="I316" s="48">
        <v>10.7</v>
      </c>
      <c r="J316" s="48">
        <v>300</v>
      </c>
      <c r="K316" s="49">
        <v>9.1</v>
      </c>
      <c r="L316" s="50">
        <v>38</v>
      </c>
      <c r="M316" s="48">
        <v>10.7</v>
      </c>
      <c r="N316" s="48">
        <v>300</v>
      </c>
      <c r="O316" s="51">
        <v>8.1</v>
      </c>
      <c r="P316" s="47">
        <v>37</v>
      </c>
      <c r="Q316" s="48">
        <v>10.7</v>
      </c>
      <c r="R316" s="49">
        <v>0</v>
      </c>
      <c r="S316" s="49">
        <v>7.4</v>
      </c>
      <c r="T316" s="51">
        <v>14.42</v>
      </c>
      <c r="U316" s="50" t="s">
        <v>38</v>
      </c>
      <c r="V316" s="48" t="s">
        <v>38</v>
      </c>
      <c r="W316" s="49" t="s">
        <v>38</v>
      </c>
      <c r="X316" s="49" t="s">
        <v>38</v>
      </c>
      <c r="Y316" s="51" t="s">
        <v>38</v>
      </c>
      <c r="Z316" s="47">
        <v>37</v>
      </c>
      <c r="AA316" s="48">
        <v>10.7</v>
      </c>
      <c r="AB316" s="49">
        <v>0</v>
      </c>
      <c r="AC316" s="49">
        <v>7.4</v>
      </c>
      <c r="AD316" s="51">
        <v>10</v>
      </c>
      <c r="AE316" s="50">
        <v>33</v>
      </c>
      <c r="AF316" s="48">
        <v>10.5</v>
      </c>
      <c r="AG316" s="49">
        <v>0</v>
      </c>
      <c r="AH316" s="49">
        <v>6.2</v>
      </c>
      <c r="AI316" s="51">
        <v>13.26</v>
      </c>
      <c r="AJ316" s="50">
        <v>33</v>
      </c>
      <c r="AK316" s="48">
        <v>10.5</v>
      </c>
      <c r="AL316" s="48">
        <v>340</v>
      </c>
      <c r="AM316" s="48">
        <v>5.2</v>
      </c>
      <c r="AN316" s="51">
        <v>17.3</v>
      </c>
      <c r="AO316" s="47" t="s">
        <v>38</v>
      </c>
      <c r="AP316" s="48" t="s">
        <v>38</v>
      </c>
      <c r="AQ316" s="48" t="s">
        <v>38</v>
      </c>
      <c r="AR316" s="48" t="s">
        <v>38</v>
      </c>
      <c r="AS316" s="51" t="s">
        <v>38</v>
      </c>
      <c r="AT316" s="50">
        <v>38</v>
      </c>
      <c r="AU316" s="51">
        <v>260</v>
      </c>
      <c r="AV316" s="50">
        <v>58.125812530517599</v>
      </c>
      <c r="AW316" s="51">
        <v>387.96115417480468</v>
      </c>
      <c r="AX316" s="8"/>
      <c r="AZ316" s="1">
        <v>90</v>
      </c>
    </row>
    <row r="317" spans="3:52" ht="15" customHeight="1" x14ac:dyDescent="0.25">
      <c r="C317" s="42"/>
      <c r="D317" s="43">
        <f>D316</f>
        <v>45683</v>
      </c>
      <c r="E317" s="44">
        <f>E316+2/24</f>
        <v>25.333333333333243</v>
      </c>
      <c r="F317" s="45">
        <f t="shared" si="27"/>
        <v>45683.333333334063</v>
      </c>
      <c r="G317" s="52">
        <v>41</v>
      </c>
      <c r="H317" s="53">
        <v>40</v>
      </c>
      <c r="I317" s="54">
        <v>10.8</v>
      </c>
      <c r="J317" s="54">
        <v>250</v>
      </c>
      <c r="K317" s="55">
        <v>9.8000000000000007</v>
      </c>
      <c r="L317" s="56">
        <v>38</v>
      </c>
      <c r="M317" s="54">
        <v>10.7</v>
      </c>
      <c r="N317" s="54">
        <v>300</v>
      </c>
      <c r="O317" s="57">
        <v>8.9</v>
      </c>
      <c r="P317" s="53">
        <v>38</v>
      </c>
      <c r="Q317" s="54">
        <v>10.8</v>
      </c>
      <c r="R317" s="55">
        <v>0</v>
      </c>
      <c r="S317" s="55">
        <v>7.2</v>
      </c>
      <c r="T317" s="57">
        <v>13.7</v>
      </c>
      <c r="U317" s="56">
        <v>0</v>
      </c>
      <c r="V317" s="54">
        <v>0</v>
      </c>
      <c r="W317" s="55">
        <v>0</v>
      </c>
      <c r="X317" s="55">
        <v>0</v>
      </c>
      <c r="Y317" s="57">
        <v>0</v>
      </c>
      <c r="Z317" s="53">
        <v>38</v>
      </c>
      <c r="AA317" s="54">
        <v>10.8</v>
      </c>
      <c r="AB317" s="55">
        <v>0</v>
      </c>
      <c r="AC317" s="55">
        <v>6.7</v>
      </c>
      <c r="AD317" s="57">
        <v>10.19</v>
      </c>
      <c r="AE317" s="56">
        <v>36</v>
      </c>
      <c r="AF317" s="54">
        <v>10.8</v>
      </c>
      <c r="AG317" s="55">
        <v>0</v>
      </c>
      <c r="AH317" s="55">
        <v>5.5</v>
      </c>
      <c r="AI317" s="57">
        <v>13.64</v>
      </c>
      <c r="AJ317" s="56">
        <v>38</v>
      </c>
      <c r="AK317" s="54">
        <v>10.8</v>
      </c>
      <c r="AL317" s="54">
        <v>300</v>
      </c>
      <c r="AM317" s="54">
        <v>6.2</v>
      </c>
      <c r="AN317" s="57">
        <v>17.3</v>
      </c>
      <c r="AO317" s="53">
        <v>0</v>
      </c>
      <c r="AP317" s="54">
        <v>0</v>
      </c>
      <c r="AQ317" s="54">
        <v>0</v>
      </c>
      <c r="AR317" s="54">
        <v>0</v>
      </c>
      <c r="AS317" s="57">
        <v>0</v>
      </c>
      <c r="AT317" s="56">
        <v>29</v>
      </c>
      <c r="AU317" s="57">
        <v>260</v>
      </c>
      <c r="AV317" s="56">
        <v>59.0087890625</v>
      </c>
      <c r="AW317" s="57">
        <v>388.41893335978187</v>
      </c>
      <c r="AX317" s="8"/>
      <c r="AZ317" s="1">
        <v>90</v>
      </c>
    </row>
    <row r="318" spans="3:52" ht="15" customHeight="1" x14ac:dyDescent="0.25">
      <c r="C318" s="42"/>
      <c r="D318" s="43">
        <f>D316</f>
        <v>45683</v>
      </c>
      <c r="E318" s="44">
        <f t="shared" ref="E318:E327" si="31">E317+2/24</f>
        <v>25.416666666666575</v>
      </c>
      <c r="F318" s="45">
        <f t="shared" si="27"/>
        <v>45683.416666667399</v>
      </c>
      <c r="G318" s="52">
        <v>42</v>
      </c>
      <c r="H318" s="53">
        <v>38</v>
      </c>
      <c r="I318" s="54">
        <v>10.6</v>
      </c>
      <c r="J318" s="54">
        <v>250</v>
      </c>
      <c r="K318" s="55">
        <v>9.9</v>
      </c>
      <c r="L318" s="56">
        <v>40</v>
      </c>
      <c r="M318" s="54">
        <v>10.6</v>
      </c>
      <c r="N318" s="54">
        <v>300</v>
      </c>
      <c r="O318" s="57">
        <v>8.6999999999999993</v>
      </c>
      <c r="P318" s="53">
        <v>39</v>
      </c>
      <c r="Q318" s="54">
        <v>10.5</v>
      </c>
      <c r="R318" s="55">
        <v>0</v>
      </c>
      <c r="S318" s="55">
        <v>7</v>
      </c>
      <c r="T318" s="57">
        <v>14.4</v>
      </c>
      <c r="U318" s="56">
        <v>38</v>
      </c>
      <c r="V318" s="54">
        <v>10.6</v>
      </c>
      <c r="W318" s="55">
        <v>0</v>
      </c>
      <c r="X318" s="55">
        <v>7</v>
      </c>
      <c r="Y318" s="57">
        <v>9.6</v>
      </c>
      <c r="Z318" s="53">
        <v>36</v>
      </c>
      <c r="AA318" s="54">
        <v>10.6</v>
      </c>
      <c r="AB318" s="55">
        <v>0</v>
      </c>
      <c r="AC318" s="55">
        <v>6.3</v>
      </c>
      <c r="AD318" s="57">
        <v>0</v>
      </c>
      <c r="AE318" s="56">
        <v>35</v>
      </c>
      <c r="AF318" s="54">
        <v>10.7</v>
      </c>
      <c r="AG318" s="55">
        <v>0</v>
      </c>
      <c r="AH318" s="55">
        <v>6.1</v>
      </c>
      <c r="AI318" s="57">
        <v>13</v>
      </c>
      <c r="AJ318" s="56">
        <v>35</v>
      </c>
      <c r="AK318" s="54">
        <v>10.7</v>
      </c>
      <c r="AL318" s="54">
        <v>450</v>
      </c>
      <c r="AM318" s="54">
        <v>6.3</v>
      </c>
      <c r="AN318" s="57">
        <v>17.3</v>
      </c>
      <c r="AO318" s="53">
        <v>0</v>
      </c>
      <c r="AP318" s="54">
        <v>0</v>
      </c>
      <c r="AQ318" s="54">
        <v>0</v>
      </c>
      <c r="AR318" s="54">
        <v>0</v>
      </c>
      <c r="AS318" s="57">
        <v>0</v>
      </c>
      <c r="AT318" s="56">
        <v>22</v>
      </c>
      <c r="AU318" s="57">
        <v>400</v>
      </c>
      <c r="AV318" s="56">
        <v>59.065753936767599</v>
      </c>
      <c r="AW318" s="57">
        <v>387.85722859700519</v>
      </c>
      <c r="AX318" s="8"/>
      <c r="AZ318" s="1">
        <v>90</v>
      </c>
    </row>
    <row r="319" spans="3:52" ht="15" customHeight="1" x14ac:dyDescent="0.25">
      <c r="C319" s="42"/>
      <c r="D319" s="43">
        <f>D316</f>
        <v>45683</v>
      </c>
      <c r="E319" s="44">
        <f t="shared" si="31"/>
        <v>25.499999999999908</v>
      </c>
      <c r="F319" s="45">
        <f t="shared" si="27"/>
        <v>45683.500000000735</v>
      </c>
      <c r="G319" s="52">
        <v>41</v>
      </c>
      <c r="H319" s="53">
        <v>39</v>
      </c>
      <c r="I319" s="54">
        <v>10.6</v>
      </c>
      <c r="J319" s="54">
        <v>300</v>
      </c>
      <c r="K319" s="55">
        <v>9.6</v>
      </c>
      <c r="L319" s="56">
        <v>38</v>
      </c>
      <c r="M319" s="54">
        <v>10.7</v>
      </c>
      <c r="N319" s="54">
        <v>250</v>
      </c>
      <c r="O319" s="57">
        <v>8.5</v>
      </c>
      <c r="P319" s="53">
        <v>38</v>
      </c>
      <c r="Q319" s="54">
        <v>10.5</v>
      </c>
      <c r="R319" s="55">
        <v>0</v>
      </c>
      <c r="S319" s="55">
        <v>7.2</v>
      </c>
      <c r="T319" s="57">
        <v>16.34</v>
      </c>
      <c r="U319" s="56">
        <v>36</v>
      </c>
      <c r="V319" s="54">
        <v>10.6</v>
      </c>
      <c r="W319" s="55">
        <v>0</v>
      </c>
      <c r="X319" s="55">
        <v>6.8</v>
      </c>
      <c r="Y319" s="57">
        <v>9.61</v>
      </c>
      <c r="Z319" s="53">
        <v>37</v>
      </c>
      <c r="AA319" s="54">
        <v>10.7</v>
      </c>
      <c r="AB319" s="55">
        <v>0</v>
      </c>
      <c r="AC319" s="55">
        <v>6.1</v>
      </c>
      <c r="AD319" s="57">
        <v>9.65</v>
      </c>
      <c r="AE319" s="56">
        <v>36</v>
      </c>
      <c r="AF319" s="54">
        <v>10.7</v>
      </c>
      <c r="AG319" s="55">
        <v>0</v>
      </c>
      <c r="AH319" s="55">
        <v>6.1</v>
      </c>
      <c r="AI319" s="57">
        <v>13.4</v>
      </c>
      <c r="AJ319" s="56">
        <v>36</v>
      </c>
      <c r="AK319" s="54">
        <v>10.6</v>
      </c>
      <c r="AL319" s="54">
        <v>0</v>
      </c>
      <c r="AM319" s="54">
        <v>6.1</v>
      </c>
      <c r="AN319" s="57">
        <v>17.3</v>
      </c>
      <c r="AO319" s="53">
        <v>34</v>
      </c>
      <c r="AP319" s="54">
        <v>10.4</v>
      </c>
      <c r="AQ319" s="54">
        <v>300</v>
      </c>
      <c r="AR319" s="54">
        <v>5.0999999999999996</v>
      </c>
      <c r="AS319" s="57">
        <v>16.34</v>
      </c>
      <c r="AT319" s="56">
        <v>24</v>
      </c>
      <c r="AU319" s="57">
        <v>270</v>
      </c>
      <c r="AV319" s="56">
        <v>60.176593780517599</v>
      </c>
      <c r="AW319" s="57">
        <v>380.40979461669923</v>
      </c>
      <c r="AX319" s="8"/>
      <c r="AZ319" s="1">
        <v>90</v>
      </c>
    </row>
    <row r="320" spans="3:52" ht="15" customHeight="1" x14ac:dyDescent="0.25">
      <c r="C320" s="42"/>
      <c r="D320" s="43">
        <f>D316</f>
        <v>45683</v>
      </c>
      <c r="E320" s="44">
        <f t="shared" si="31"/>
        <v>25.58333333333324</v>
      </c>
      <c r="F320" s="45">
        <f t="shared" si="27"/>
        <v>45683.583333334071</v>
      </c>
      <c r="G320" s="52">
        <v>40</v>
      </c>
      <c r="H320" s="53">
        <v>41</v>
      </c>
      <c r="I320" s="54">
        <v>10.6</v>
      </c>
      <c r="J320" s="54">
        <v>300</v>
      </c>
      <c r="K320" s="55">
        <v>9.6999999999999993</v>
      </c>
      <c r="L320" s="56">
        <v>40</v>
      </c>
      <c r="M320" s="54">
        <v>10.6</v>
      </c>
      <c r="N320" s="54">
        <v>300</v>
      </c>
      <c r="O320" s="57">
        <v>8.3000000000000007</v>
      </c>
      <c r="P320" s="53">
        <v>39</v>
      </c>
      <c r="Q320" s="54">
        <v>10.5</v>
      </c>
      <c r="R320" s="55">
        <v>0</v>
      </c>
      <c r="S320" s="55">
        <v>7.3</v>
      </c>
      <c r="T320" s="57">
        <v>16.3</v>
      </c>
      <c r="U320" s="56">
        <v>38</v>
      </c>
      <c r="V320" s="54">
        <v>10.6</v>
      </c>
      <c r="W320" s="55">
        <v>0</v>
      </c>
      <c r="X320" s="55">
        <v>6.5</v>
      </c>
      <c r="Y320" s="57">
        <v>13.4</v>
      </c>
      <c r="Z320" s="53">
        <v>39</v>
      </c>
      <c r="AA320" s="54">
        <v>10.5</v>
      </c>
      <c r="AB320" s="55">
        <v>0</v>
      </c>
      <c r="AC320" s="55">
        <v>6</v>
      </c>
      <c r="AD320" s="57">
        <v>8.4</v>
      </c>
      <c r="AE320" s="56">
        <v>36</v>
      </c>
      <c r="AF320" s="54">
        <v>0</v>
      </c>
      <c r="AG320" s="55">
        <v>0</v>
      </c>
      <c r="AH320" s="55">
        <v>6</v>
      </c>
      <c r="AI320" s="57">
        <v>11.53</v>
      </c>
      <c r="AJ320" s="56">
        <v>36</v>
      </c>
      <c r="AK320" s="54">
        <v>10.6</v>
      </c>
      <c r="AL320" s="54">
        <v>0</v>
      </c>
      <c r="AM320" s="54">
        <v>5.5</v>
      </c>
      <c r="AN320" s="57">
        <v>17.899999999999999</v>
      </c>
      <c r="AO320" s="53">
        <v>34</v>
      </c>
      <c r="AP320" s="54">
        <v>10.4</v>
      </c>
      <c r="AQ320" s="54">
        <v>300</v>
      </c>
      <c r="AR320" s="54">
        <v>5.2</v>
      </c>
      <c r="AS320" s="57">
        <v>17.3</v>
      </c>
      <c r="AT320" s="56">
        <v>27</v>
      </c>
      <c r="AU320" s="57">
        <v>290</v>
      </c>
      <c r="AV320" s="56">
        <v>62.019855499267599</v>
      </c>
      <c r="AW320" s="57">
        <v>374.13001416524253</v>
      </c>
      <c r="AX320" s="8"/>
      <c r="AZ320" s="1">
        <v>90</v>
      </c>
    </row>
    <row r="321" spans="3:52" ht="15" customHeight="1" x14ac:dyDescent="0.25">
      <c r="C321" s="42"/>
      <c r="D321" s="43">
        <f>D316</f>
        <v>45683</v>
      </c>
      <c r="E321" s="44">
        <f t="shared" si="31"/>
        <v>25.666666666666572</v>
      </c>
      <c r="F321" s="45">
        <f t="shared" si="27"/>
        <v>45683.666666667406</v>
      </c>
      <c r="G321" s="52">
        <v>41</v>
      </c>
      <c r="H321" s="53">
        <v>40</v>
      </c>
      <c r="I321" s="54">
        <v>10.5</v>
      </c>
      <c r="J321" s="54">
        <v>350</v>
      </c>
      <c r="K321" s="55">
        <v>9.6999999999999993</v>
      </c>
      <c r="L321" s="56">
        <v>39</v>
      </c>
      <c r="M321" s="54">
        <v>10.5</v>
      </c>
      <c r="N321" s="54">
        <v>300</v>
      </c>
      <c r="O321" s="57">
        <v>8.6999999999999993</v>
      </c>
      <c r="P321" s="53">
        <v>36</v>
      </c>
      <c r="Q321" s="54">
        <v>10.5</v>
      </c>
      <c r="R321" s="55">
        <v>0</v>
      </c>
      <c r="S321" s="55">
        <v>7.2</v>
      </c>
      <c r="T321" s="57">
        <v>16.34</v>
      </c>
      <c r="U321" s="56">
        <v>35</v>
      </c>
      <c r="V321" s="54">
        <v>10.5</v>
      </c>
      <c r="W321" s="55">
        <v>0</v>
      </c>
      <c r="X321" s="55">
        <v>6.5</v>
      </c>
      <c r="Y321" s="57">
        <v>13.46</v>
      </c>
      <c r="Z321" s="53">
        <v>35</v>
      </c>
      <c r="AA321" s="54">
        <v>10.5</v>
      </c>
      <c r="AB321" s="55">
        <v>0</v>
      </c>
      <c r="AC321" s="55">
        <v>5.5</v>
      </c>
      <c r="AD321" s="57">
        <v>10.57</v>
      </c>
      <c r="AE321" s="56">
        <v>36</v>
      </c>
      <c r="AF321" s="54">
        <v>10.5</v>
      </c>
      <c r="AG321" s="55">
        <v>0</v>
      </c>
      <c r="AH321" s="55">
        <v>6.1</v>
      </c>
      <c r="AI321" s="57">
        <v>12.5</v>
      </c>
      <c r="AJ321" s="56">
        <v>36</v>
      </c>
      <c r="AK321" s="54">
        <v>10.5</v>
      </c>
      <c r="AL321" s="54">
        <v>0</v>
      </c>
      <c r="AM321" s="54">
        <v>5.4</v>
      </c>
      <c r="AN321" s="57">
        <v>12.5</v>
      </c>
      <c r="AO321" s="53">
        <v>31</v>
      </c>
      <c r="AP321" s="54">
        <v>10.6</v>
      </c>
      <c r="AQ321" s="54">
        <v>300</v>
      </c>
      <c r="AR321" s="54">
        <v>5.0999999999999996</v>
      </c>
      <c r="AS321" s="57">
        <v>16.34</v>
      </c>
      <c r="AT321" s="56">
        <v>26</v>
      </c>
      <c r="AU321" s="57">
        <v>280</v>
      </c>
      <c r="AV321" s="56">
        <v>60.80322265625</v>
      </c>
      <c r="AW321" s="57">
        <v>368.95966033935548</v>
      </c>
      <c r="AX321" s="8"/>
      <c r="AZ321" s="1">
        <v>90</v>
      </c>
    </row>
    <row r="322" spans="3:52" ht="15" customHeight="1" x14ac:dyDescent="0.25">
      <c r="C322" s="42"/>
      <c r="D322" s="43">
        <f>D316</f>
        <v>45683</v>
      </c>
      <c r="E322" s="44">
        <f t="shared" si="31"/>
        <v>25.749999999999904</v>
      </c>
      <c r="F322" s="45">
        <f t="shared" si="27"/>
        <v>45683.750000000742</v>
      </c>
      <c r="G322" s="52">
        <v>40</v>
      </c>
      <c r="H322" s="53">
        <v>40</v>
      </c>
      <c r="I322" s="54">
        <v>10.5</v>
      </c>
      <c r="J322" s="54">
        <v>350</v>
      </c>
      <c r="K322" s="55">
        <v>9.6</v>
      </c>
      <c r="L322" s="56">
        <v>40</v>
      </c>
      <c r="M322" s="54">
        <v>10.5</v>
      </c>
      <c r="N322" s="54">
        <v>300</v>
      </c>
      <c r="O322" s="57">
        <v>9.1</v>
      </c>
      <c r="P322" s="53">
        <v>35</v>
      </c>
      <c r="Q322" s="54">
        <v>10.5</v>
      </c>
      <c r="R322" s="55">
        <v>0</v>
      </c>
      <c r="S322" s="55">
        <v>8.1</v>
      </c>
      <c r="T322" s="57">
        <v>16.5</v>
      </c>
      <c r="U322" s="56">
        <v>36</v>
      </c>
      <c r="V322" s="54">
        <v>10.5</v>
      </c>
      <c r="W322" s="55">
        <v>0</v>
      </c>
      <c r="X322" s="55">
        <v>7.3</v>
      </c>
      <c r="Y322" s="57">
        <v>13.4</v>
      </c>
      <c r="Z322" s="53">
        <v>36</v>
      </c>
      <c r="AA322" s="54">
        <v>10.5</v>
      </c>
      <c r="AB322" s="55">
        <v>0</v>
      </c>
      <c r="AC322" s="55">
        <v>6</v>
      </c>
      <c r="AD322" s="57">
        <v>14.4</v>
      </c>
      <c r="AE322" s="56">
        <v>36</v>
      </c>
      <c r="AF322" s="54">
        <v>10.5</v>
      </c>
      <c r="AG322" s="55">
        <v>0</v>
      </c>
      <c r="AH322" s="55">
        <v>5.5</v>
      </c>
      <c r="AI322" s="57">
        <v>8.6</v>
      </c>
      <c r="AJ322" s="56">
        <v>34</v>
      </c>
      <c r="AK322" s="54">
        <v>10.5</v>
      </c>
      <c r="AL322" s="54">
        <v>0</v>
      </c>
      <c r="AM322" s="54">
        <v>5</v>
      </c>
      <c r="AN322" s="57">
        <v>12.5</v>
      </c>
      <c r="AO322" s="53">
        <v>33</v>
      </c>
      <c r="AP322" s="54">
        <v>10.6</v>
      </c>
      <c r="AQ322" s="54">
        <v>300</v>
      </c>
      <c r="AR322" s="54">
        <v>4.9000000000000004</v>
      </c>
      <c r="AS322" s="57">
        <v>16.3</v>
      </c>
      <c r="AT322" s="56">
        <v>0</v>
      </c>
      <c r="AU322" s="57">
        <v>0</v>
      </c>
      <c r="AV322" s="56">
        <v>56.465656280517599</v>
      </c>
      <c r="AW322" s="57">
        <v>371.49426180521647</v>
      </c>
      <c r="AX322" s="8"/>
      <c r="AZ322" s="1">
        <v>90</v>
      </c>
    </row>
    <row r="323" spans="3:52" ht="15" customHeight="1" x14ac:dyDescent="0.25">
      <c r="C323" s="42"/>
      <c r="D323" s="43">
        <f>D316</f>
        <v>45683</v>
      </c>
      <c r="E323" s="44">
        <f t="shared" si="31"/>
        <v>25.833333333333236</v>
      </c>
      <c r="F323" s="45">
        <f t="shared" si="27"/>
        <v>45683.833333334078</v>
      </c>
      <c r="G323" s="52">
        <v>38</v>
      </c>
      <c r="H323" s="53">
        <v>41</v>
      </c>
      <c r="I323" s="54">
        <v>10.4</v>
      </c>
      <c r="J323" s="54">
        <v>400</v>
      </c>
      <c r="K323" s="55">
        <v>8.6999999999999993</v>
      </c>
      <c r="L323" s="56">
        <v>41</v>
      </c>
      <c r="M323" s="54">
        <v>10.5</v>
      </c>
      <c r="N323" s="54">
        <v>300</v>
      </c>
      <c r="O323" s="57">
        <v>8.4</v>
      </c>
      <c r="P323" s="53">
        <v>39</v>
      </c>
      <c r="Q323" s="54">
        <v>10.5</v>
      </c>
      <c r="R323" s="55">
        <v>0</v>
      </c>
      <c r="S323" s="55">
        <v>8.1999999999999993</v>
      </c>
      <c r="T323" s="57">
        <v>16.34</v>
      </c>
      <c r="U323" s="56">
        <v>39</v>
      </c>
      <c r="V323" s="54" t="s">
        <v>40</v>
      </c>
      <c r="W323" s="55">
        <v>0</v>
      </c>
      <c r="X323" s="55">
        <v>7.4</v>
      </c>
      <c r="Y323" s="57">
        <v>14.42</v>
      </c>
      <c r="Z323" s="53">
        <v>35</v>
      </c>
      <c r="AA323" s="54">
        <v>10.5</v>
      </c>
      <c r="AB323" s="55">
        <v>0</v>
      </c>
      <c r="AC323" s="55">
        <v>6.8</v>
      </c>
      <c r="AD323" s="57">
        <v>13.45</v>
      </c>
      <c r="AE323" s="56">
        <v>35</v>
      </c>
      <c r="AF323" s="54">
        <v>10.5</v>
      </c>
      <c r="AG323" s="55">
        <v>0</v>
      </c>
      <c r="AH323" s="55">
        <v>6.8</v>
      </c>
      <c r="AI323" s="57">
        <v>9.61</v>
      </c>
      <c r="AJ323" s="56">
        <v>36</v>
      </c>
      <c r="AK323" s="54">
        <v>10.5</v>
      </c>
      <c r="AL323" s="54">
        <v>0</v>
      </c>
      <c r="AM323" s="54">
        <v>7</v>
      </c>
      <c r="AN323" s="57">
        <v>10.57</v>
      </c>
      <c r="AO323" s="53">
        <v>36</v>
      </c>
      <c r="AP323" s="54">
        <v>10.4</v>
      </c>
      <c r="AQ323" s="54">
        <v>290</v>
      </c>
      <c r="AR323" s="54">
        <v>6.8</v>
      </c>
      <c r="AS323" s="57">
        <v>16.34</v>
      </c>
      <c r="AT323" s="56">
        <v>29</v>
      </c>
      <c r="AU323" s="57">
        <v>320</v>
      </c>
      <c r="AV323" s="56">
        <v>57.169597625732401</v>
      </c>
      <c r="AW323" s="57">
        <v>384.60467319488527</v>
      </c>
      <c r="AX323" s="8"/>
      <c r="AZ323" s="1">
        <v>90</v>
      </c>
    </row>
    <row r="324" spans="3:52" ht="15" customHeight="1" x14ac:dyDescent="0.25">
      <c r="C324" s="42"/>
      <c r="D324" s="43">
        <f>D316</f>
        <v>45683</v>
      </c>
      <c r="E324" s="44">
        <f t="shared" si="31"/>
        <v>25.916666666666568</v>
      </c>
      <c r="F324" s="45">
        <f t="shared" si="27"/>
        <v>45683.916666667414</v>
      </c>
      <c r="G324" s="52">
        <v>39</v>
      </c>
      <c r="H324" s="53">
        <v>42</v>
      </c>
      <c r="I324" s="54">
        <v>10.5</v>
      </c>
      <c r="J324" s="54">
        <v>400</v>
      </c>
      <c r="K324" s="55">
        <v>8.5</v>
      </c>
      <c r="L324" s="56">
        <v>41</v>
      </c>
      <c r="M324" s="54">
        <v>10.5</v>
      </c>
      <c r="N324" s="54">
        <v>300</v>
      </c>
      <c r="O324" s="57">
        <v>8.4</v>
      </c>
      <c r="P324" s="53">
        <v>39</v>
      </c>
      <c r="Q324" s="54">
        <v>10.5</v>
      </c>
      <c r="R324" s="55">
        <v>0</v>
      </c>
      <c r="S324" s="55">
        <v>8.4</v>
      </c>
      <c r="T324" s="57">
        <v>16.53</v>
      </c>
      <c r="U324" s="56">
        <v>39</v>
      </c>
      <c r="V324" s="54">
        <v>10.5</v>
      </c>
      <c r="W324" s="55">
        <v>0</v>
      </c>
      <c r="X324" s="55">
        <v>7.1</v>
      </c>
      <c r="Y324" s="57">
        <v>14.42</v>
      </c>
      <c r="Z324" s="53">
        <v>36</v>
      </c>
      <c r="AA324" s="54">
        <v>10.5</v>
      </c>
      <c r="AB324" s="55">
        <v>0</v>
      </c>
      <c r="AC324" s="55">
        <v>6.4</v>
      </c>
      <c r="AD324" s="57">
        <v>13.65</v>
      </c>
      <c r="AE324" s="56">
        <v>36</v>
      </c>
      <c r="AF324" s="54">
        <v>10.5</v>
      </c>
      <c r="AG324" s="55">
        <v>0</v>
      </c>
      <c r="AH324" s="55">
        <v>6.4</v>
      </c>
      <c r="AI324" s="57">
        <v>9.61</v>
      </c>
      <c r="AJ324" s="56">
        <v>36</v>
      </c>
      <c r="AK324" s="54">
        <v>10.4</v>
      </c>
      <c r="AL324" s="54">
        <v>0</v>
      </c>
      <c r="AM324" s="54">
        <v>7.2</v>
      </c>
      <c r="AN324" s="57">
        <v>16.34</v>
      </c>
      <c r="AO324" s="53">
        <v>35</v>
      </c>
      <c r="AP324" s="54">
        <v>10.4</v>
      </c>
      <c r="AQ324" s="54">
        <v>300</v>
      </c>
      <c r="AR324" s="54">
        <v>6.2</v>
      </c>
      <c r="AS324" s="57">
        <v>11.53</v>
      </c>
      <c r="AT324" s="56">
        <v>38</v>
      </c>
      <c r="AU324" s="57">
        <v>310</v>
      </c>
      <c r="AV324" s="56">
        <v>59.330242156982401</v>
      </c>
      <c r="AW324" s="57">
        <v>381.00863304138181</v>
      </c>
      <c r="AX324" s="8"/>
      <c r="AZ324" s="1">
        <v>90</v>
      </c>
    </row>
    <row r="325" spans="3:52" ht="15" customHeight="1" x14ac:dyDescent="0.25">
      <c r="C325" s="42"/>
      <c r="D325" s="43">
        <f>D316</f>
        <v>45683</v>
      </c>
      <c r="E325" s="44">
        <f t="shared" si="31"/>
        <v>25.999999999999901</v>
      </c>
      <c r="F325" s="45">
        <f t="shared" si="27"/>
        <v>45684.000000000749</v>
      </c>
      <c r="G325" s="52">
        <v>39</v>
      </c>
      <c r="H325" s="53">
        <v>41</v>
      </c>
      <c r="I325" s="54">
        <v>10.5</v>
      </c>
      <c r="J325" s="54">
        <v>350</v>
      </c>
      <c r="K325" s="55">
        <v>8.1999999999999993</v>
      </c>
      <c r="L325" s="56">
        <v>42</v>
      </c>
      <c r="M325" s="54">
        <v>10.4</v>
      </c>
      <c r="N325" s="54">
        <v>300</v>
      </c>
      <c r="O325" s="57">
        <v>8.5</v>
      </c>
      <c r="P325" s="53">
        <v>40</v>
      </c>
      <c r="Q325" s="54">
        <v>10.5</v>
      </c>
      <c r="R325" s="55">
        <v>0</v>
      </c>
      <c r="S325" s="55">
        <v>8.6999999999999993</v>
      </c>
      <c r="T325" s="57">
        <v>16.96</v>
      </c>
      <c r="U325" s="56">
        <v>39</v>
      </c>
      <c r="V325" s="54">
        <v>10.6</v>
      </c>
      <c r="W325" s="55">
        <v>0</v>
      </c>
      <c r="X325" s="55">
        <v>7</v>
      </c>
      <c r="Y325" s="57">
        <v>14.61</v>
      </c>
      <c r="Z325" s="53">
        <v>37</v>
      </c>
      <c r="AA325" s="54">
        <v>10.6</v>
      </c>
      <c r="AB325" s="55">
        <v>0</v>
      </c>
      <c r="AC325" s="55">
        <v>6.9</v>
      </c>
      <c r="AD325" s="57">
        <v>13.65</v>
      </c>
      <c r="AE325" s="56">
        <v>30</v>
      </c>
      <c r="AF325" s="54">
        <v>10.5</v>
      </c>
      <c r="AG325" s="55">
        <v>0</v>
      </c>
      <c r="AH325" s="55">
        <v>6.9</v>
      </c>
      <c r="AI325" s="57">
        <v>12.5</v>
      </c>
      <c r="AJ325" s="56">
        <v>36</v>
      </c>
      <c r="AK325" s="54">
        <v>10.6</v>
      </c>
      <c r="AL325" s="54">
        <v>0</v>
      </c>
      <c r="AM325" s="54">
        <v>7</v>
      </c>
      <c r="AN325" s="57">
        <v>13.46</v>
      </c>
      <c r="AO325" s="53">
        <v>37</v>
      </c>
      <c r="AP325" s="54">
        <v>10.6</v>
      </c>
      <c r="AQ325" s="54">
        <v>300</v>
      </c>
      <c r="AR325" s="54">
        <v>6.9</v>
      </c>
      <c r="AS325" s="57">
        <v>11.53</v>
      </c>
      <c r="AT325" s="56">
        <v>30</v>
      </c>
      <c r="AU325" s="57">
        <v>290</v>
      </c>
      <c r="AV325" s="56">
        <v>58.951824188232401</v>
      </c>
      <c r="AW325" s="57">
        <v>379.75127855936688</v>
      </c>
      <c r="AX325" s="8"/>
      <c r="AZ325" s="1">
        <v>90</v>
      </c>
    </row>
    <row r="326" spans="3:52" ht="15" customHeight="1" x14ac:dyDescent="0.25">
      <c r="C326" s="42"/>
      <c r="D326" s="43">
        <f>D316</f>
        <v>45683</v>
      </c>
      <c r="E326" s="44">
        <f t="shared" si="31"/>
        <v>26.083333333333233</v>
      </c>
      <c r="F326" s="45">
        <f t="shared" si="27"/>
        <v>45684.083333334085</v>
      </c>
      <c r="G326" s="52">
        <v>40</v>
      </c>
      <c r="H326" s="53">
        <v>42</v>
      </c>
      <c r="I326" s="54">
        <v>10.6</v>
      </c>
      <c r="J326" s="54">
        <v>350</v>
      </c>
      <c r="K326" s="55">
        <v>8.4</v>
      </c>
      <c r="L326" s="56">
        <v>41</v>
      </c>
      <c r="M326" s="54">
        <v>10.4</v>
      </c>
      <c r="N326" s="54">
        <v>350</v>
      </c>
      <c r="O326" s="57">
        <v>8.1999999999999993</v>
      </c>
      <c r="P326" s="53">
        <v>40</v>
      </c>
      <c r="Q326" s="54">
        <v>10.5</v>
      </c>
      <c r="R326" s="55">
        <v>0</v>
      </c>
      <c r="S326" s="55">
        <v>8.5</v>
      </c>
      <c r="T326" s="57">
        <v>16.53</v>
      </c>
      <c r="U326" s="56">
        <v>39</v>
      </c>
      <c r="V326" s="54">
        <v>10.5</v>
      </c>
      <c r="W326" s="55">
        <v>0</v>
      </c>
      <c r="X326" s="55">
        <v>6.8</v>
      </c>
      <c r="Y326" s="57">
        <v>14.8</v>
      </c>
      <c r="Z326" s="53">
        <v>38</v>
      </c>
      <c r="AA326" s="54">
        <v>10.5</v>
      </c>
      <c r="AB326" s="55">
        <v>0</v>
      </c>
      <c r="AC326" s="55">
        <v>6.9</v>
      </c>
      <c r="AD326" s="57">
        <v>14.23</v>
      </c>
      <c r="AE326" s="56">
        <v>38</v>
      </c>
      <c r="AF326" s="54">
        <v>10.5</v>
      </c>
      <c r="AG326" s="55">
        <v>0</v>
      </c>
      <c r="AH326" s="55">
        <v>6.7</v>
      </c>
      <c r="AI326" s="57">
        <v>15</v>
      </c>
      <c r="AJ326" s="56">
        <v>36</v>
      </c>
      <c r="AK326" s="54">
        <v>10.5</v>
      </c>
      <c r="AL326" s="54">
        <v>0</v>
      </c>
      <c r="AM326" s="54">
        <v>6.9</v>
      </c>
      <c r="AN326" s="57">
        <v>12.5</v>
      </c>
      <c r="AO326" s="53">
        <v>37</v>
      </c>
      <c r="AP326" s="54">
        <v>10.6</v>
      </c>
      <c r="AQ326" s="54">
        <v>300</v>
      </c>
      <c r="AR326" s="54">
        <v>6.6</v>
      </c>
      <c r="AS326" s="57">
        <v>11.34</v>
      </c>
      <c r="AT326" s="56">
        <v>29</v>
      </c>
      <c r="AU326" s="57">
        <v>290</v>
      </c>
      <c r="AV326" s="56">
        <v>57.869464874267599</v>
      </c>
      <c r="AW326" s="57">
        <v>387.79369252522787</v>
      </c>
      <c r="AX326" s="8"/>
      <c r="AZ326" s="1">
        <v>90</v>
      </c>
    </row>
    <row r="327" spans="3:52" ht="15" customHeight="1" x14ac:dyDescent="0.25">
      <c r="C327" s="42"/>
      <c r="D327" s="69">
        <f>D316</f>
        <v>45683</v>
      </c>
      <c r="E327" s="70">
        <f t="shared" si="31"/>
        <v>26.166666666666565</v>
      </c>
      <c r="F327" s="71">
        <f t="shared" si="27"/>
        <v>45684.166666667421</v>
      </c>
      <c r="G327" s="60">
        <v>40</v>
      </c>
      <c r="H327" s="61">
        <v>39</v>
      </c>
      <c r="I327" s="62">
        <v>10.6</v>
      </c>
      <c r="J327" s="62">
        <v>400</v>
      </c>
      <c r="K327" s="63">
        <v>8.1999999999999993</v>
      </c>
      <c r="L327" s="64">
        <v>41</v>
      </c>
      <c r="M327" s="62">
        <v>10.5</v>
      </c>
      <c r="N327" s="62">
        <v>350</v>
      </c>
      <c r="O327" s="65">
        <v>8</v>
      </c>
      <c r="P327" s="61">
        <v>39</v>
      </c>
      <c r="Q327" s="62">
        <v>10.5</v>
      </c>
      <c r="R327" s="63">
        <v>0</v>
      </c>
      <c r="S327" s="63">
        <v>8.5</v>
      </c>
      <c r="T327" s="65">
        <v>15.96</v>
      </c>
      <c r="U327" s="64">
        <v>37</v>
      </c>
      <c r="V327" s="62">
        <v>10.5</v>
      </c>
      <c r="W327" s="63">
        <v>0</v>
      </c>
      <c r="X327" s="63">
        <v>6.2</v>
      </c>
      <c r="Y327" s="65">
        <v>14.42</v>
      </c>
      <c r="Z327" s="61">
        <v>37</v>
      </c>
      <c r="AA327" s="62">
        <v>10.5</v>
      </c>
      <c r="AB327" s="63">
        <v>0</v>
      </c>
      <c r="AC327" s="63">
        <v>6.4</v>
      </c>
      <c r="AD327" s="65">
        <v>13.46</v>
      </c>
      <c r="AE327" s="64">
        <v>38</v>
      </c>
      <c r="AF327" s="62">
        <v>10.5</v>
      </c>
      <c r="AG327" s="63">
        <v>0</v>
      </c>
      <c r="AH327" s="63">
        <v>6.2</v>
      </c>
      <c r="AI327" s="65">
        <v>13.46</v>
      </c>
      <c r="AJ327" s="64">
        <v>37</v>
      </c>
      <c r="AK327" s="62">
        <v>10.5</v>
      </c>
      <c r="AL327" s="62">
        <v>0</v>
      </c>
      <c r="AM327" s="62">
        <v>6.3</v>
      </c>
      <c r="AN327" s="65">
        <v>11.5</v>
      </c>
      <c r="AO327" s="61">
        <v>36</v>
      </c>
      <c r="AP327" s="62">
        <v>10.6</v>
      </c>
      <c r="AQ327" s="62">
        <v>250</v>
      </c>
      <c r="AR327" s="62">
        <v>6.1</v>
      </c>
      <c r="AS327" s="65">
        <v>11.53</v>
      </c>
      <c r="AT327" s="64">
        <v>29</v>
      </c>
      <c r="AU327" s="65">
        <v>280</v>
      </c>
      <c r="AV327" s="64">
        <v>58.231609344482401</v>
      </c>
      <c r="AW327" s="65">
        <v>387.57981236775714</v>
      </c>
      <c r="AX327" s="8"/>
      <c r="AZ327" s="1">
        <v>90</v>
      </c>
    </row>
    <row r="328" spans="3:52" ht="15" customHeight="1" x14ac:dyDescent="0.25">
      <c r="C328" s="42">
        <f>C316+1</f>
        <v>27</v>
      </c>
      <c r="D328" s="66">
        <f>DATE([1]Dash!$F$3,VLOOKUP([1]Dash!$E$3,[1]Abb!$C$3:$D$14,2,FALSE),C328)</f>
        <v>45684</v>
      </c>
      <c r="E328" s="67">
        <f>E327+2/24</f>
        <v>26.249999999999897</v>
      </c>
      <c r="F328" s="68">
        <f t="shared" si="27"/>
        <v>45684.250000000757</v>
      </c>
      <c r="G328" s="46">
        <v>40</v>
      </c>
      <c r="H328" s="47">
        <v>40</v>
      </c>
      <c r="I328" s="48">
        <v>10.6</v>
      </c>
      <c r="J328" s="48">
        <v>400</v>
      </c>
      <c r="K328" s="49">
        <v>8.1999999999999993</v>
      </c>
      <c r="L328" s="50">
        <v>40</v>
      </c>
      <c r="M328" s="48">
        <v>10.5</v>
      </c>
      <c r="N328" s="48">
        <v>400</v>
      </c>
      <c r="O328" s="51">
        <v>8.1999999999999993</v>
      </c>
      <c r="P328" s="47">
        <v>38</v>
      </c>
      <c r="Q328" s="48">
        <v>10.5</v>
      </c>
      <c r="R328" s="49">
        <v>0</v>
      </c>
      <c r="S328" s="49">
        <v>8.4</v>
      </c>
      <c r="T328" s="51">
        <v>15.96</v>
      </c>
      <c r="U328" s="50">
        <v>37</v>
      </c>
      <c r="V328" s="48">
        <v>10.5</v>
      </c>
      <c r="W328" s="49">
        <v>0</v>
      </c>
      <c r="X328" s="49">
        <v>8.4</v>
      </c>
      <c r="Y328" s="51">
        <v>14.8</v>
      </c>
      <c r="Z328" s="47">
        <v>38</v>
      </c>
      <c r="AA328" s="48">
        <v>10.5</v>
      </c>
      <c r="AB328" s="49">
        <v>0</v>
      </c>
      <c r="AC328" s="49">
        <v>6.4</v>
      </c>
      <c r="AD328" s="51">
        <v>13.46</v>
      </c>
      <c r="AE328" s="50">
        <v>38</v>
      </c>
      <c r="AF328" s="48">
        <v>10.5</v>
      </c>
      <c r="AG328" s="49">
        <v>0</v>
      </c>
      <c r="AH328" s="49">
        <v>6.5</v>
      </c>
      <c r="AI328" s="51">
        <v>14.2</v>
      </c>
      <c r="AJ328" s="50">
        <v>36</v>
      </c>
      <c r="AK328" s="48">
        <v>10.5</v>
      </c>
      <c r="AL328" s="48">
        <v>0</v>
      </c>
      <c r="AM328" s="48">
        <v>6.2</v>
      </c>
      <c r="AN328" s="51">
        <v>11.5</v>
      </c>
      <c r="AO328" s="47">
        <v>37</v>
      </c>
      <c r="AP328" s="48">
        <v>10.6</v>
      </c>
      <c r="AQ328" s="48">
        <v>250</v>
      </c>
      <c r="AR328" s="48">
        <v>6.1</v>
      </c>
      <c r="AS328" s="51">
        <v>11.53</v>
      </c>
      <c r="AT328" s="50">
        <v>30</v>
      </c>
      <c r="AU328" s="51">
        <v>270</v>
      </c>
      <c r="AV328" s="50">
        <v>58.292644500732401</v>
      </c>
      <c r="AW328" s="51">
        <v>389.03826624552408</v>
      </c>
      <c r="AX328" s="8"/>
      <c r="AZ328" s="1">
        <v>90</v>
      </c>
    </row>
    <row r="329" spans="3:52" ht="15" customHeight="1" x14ac:dyDescent="0.25">
      <c r="C329" s="42"/>
      <c r="D329" s="43">
        <f>D328</f>
        <v>45684</v>
      </c>
      <c r="E329" s="44">
        <f>E328+2/24</f>
        <v>26.333333333333229</v>
      </c>
      <c r="F329" s="45">
        <f t="shared" si="27"/>
        <v>45684.333333334092</v>
      </c>
      <c r="G329" s="52">
        <v>38</v>
      </c>
      <c r="H329" s="53">
        <v>40</v>
      </c>
      <c r="I329" s="54">
        <v>10.8</v>
      </c>
      <c r="J329" s="54">
        <v>350</v>
      </c>
      <c r="K329" s="55">
        <v>7.1</v>
      </c>
      <c r="L329" s="56">
        <v>38</v>
      </c>
      <c r="M329" s="54">
        <v>10.5</v>
      </c>
      <c r="N329" s="54">
        <v>350</v>
      </c>
      <c r="O329" s="57">
        <v>6.9</v>
      </c>
      <c r="P329" s="53">
        <v>39</v>
      </c>
      <c r="Q329" s="54">
        <v>10.4</v>
      </c>
      <c r="R329" s="55">
        <v>0</v>
      </c>
      <c r="S329" s="55">
        <v>5.0999999999999996</v>
      </c>
      <c r="T329" s="57">
        <v>15.38</v>
      </c>
      <c r="U329" s="56">
        <v>38</v>
      </c>
      <c r="V329" s="54">
        <v>10.4</v>
      </c>
      <c r="W329" s="55">
        <v>0</v>
      </c>
      <c r="X329" s="55">
        <v>5.0999999999999996</v>
      </c>
      <c r="Y329" s="57">
        <v>14.42</v>
      </c>
      <c r="Z329" s="53">
        <v>37</v>
      </c>
      <c r="AA329" s="54">
        <v>10.4</v>
      </c>
      <c r="AB329" s="55">
        <v>0</v>
      </c>
      <c r="AC329" s="55">
        <v>5</v>
      </c>
      <c r="AD329" s="57">
        <v>13.46</v>
      </c>
      <c r="AE329" s="56">
        <v>35</v>
      </c>
      <c r="AF329" s="54">
        <v>10.4</v>
      </c>
      <c r="AG329" s="55">
        <v>0</v>
      </c>
      <c r="AH329" s="55">
        <v>5</v>
      </c>
      <c r="AI329" s="57">
        <v>13.46</v>
      </c>
      <c r="AJ329" s="56">
        <v>35</v>
      </c>
      <c r="AK329" s="54">
        <v>10.5</v>
      </c>
      <c r="AL329" s="54">
        <v>0</v>
      </c>
      <c r="AM329" s="54">
        <v>6.3</v>
      </c>
      <c r="AN329" s="57">
        <v>13.05</v>
      </c>
      <c r="AO329" s="53">
        <v>34</v>
      </c>
      <c r="AP329" s="54">
        <v>10.5</v>
      </c>
      <c r="AQ329" s="54">
        <v>300</v>
      </c>
      <c r="AR329" s="54">
        <v>6</v>
      </c>
      <c r="AS329" s="57">
        <v>11.53</v>
      </c>
      <c r="AT329" s="56">
        <v>31</v>
      </c>
      <c r="AU329" s="57">
        <v>220</v>
      </c>
      <c r="AV329" s="56">
        <v>58.829753875732401</v>
      </c>
      <c r="AW329" s="57">
        <v>388.15851669311525</v>
      </c>
      <c r="AX329" s="8"/>
      <c r="AZ329" s="1">
        <v>90</v>
      </c>
    </row>
    <row r="330" spans="3:52" ht="15" customHeight="1" x14ac:dyDescent="0.25">
      <c r="C330" s="42"/>
      <c r="D330" s="43">
        <f>D328</f>
        <v>45684</v>
      </c>
      <c r="E330" s="44">
        <f t="shared" ref="E330:E339" si="32">E329+2/24</f>
        <v>26.416666666666561</v>
      </c>
      <c r="F330" s="45">
        <f t="shared" si="27"/>
        <v>45684.416666667428</v>
      </c>
      <c r="G330" s="52">
        <v>39</v>
      </c>
      <c r="H330" s="53">
        <v>39</v>
      </c>
      <c r="I330" s="54">
        <v>10.8</v>
      </c>
      <c r="J330" s="54">
        <v>350</v>
      </c>
      <c r="K330" s="55">
        <v>8.8000000000000007</v>
      </c>
      <c r="L330" s="56">
        <v>40</v>
      </c>
      <c r="M330" s="54">
        <v>10.5</v>
      </c>
      <c r="N330" s="54">
        <v>350</v>
      </c>
      <c r="O330" s="57">
        <v>7</v>
      </c>
      <c r="P330" s="53">
        <v>38</v>
      </c>
      <c r="Q330" s="54">
        <v>10.5</v>
      </c>
      <c r="R330" s="55">
        <v>0</v>
      </c>
      <c r="S330" s="55">
        <v>6.3</v>
      </c>
      <c r="T330" s="57">
        <v>16.34</v>
      </c>
      <c r="U330" s="56">
        <v>37</v>
      </c>
      <c r="V330" s="54">
        <v>10.4</v>
      </c>
      <c r="W330" s="55">
        <v>0</v>
      </c>
      <c r="X330" s="55">
        <v>6.4</v>
      </c>
      <c r="Y330" s="57">
        <v>14.03</v>
      </c>
      <c r="Z330" s="53">
        <v>36</v>
      </c>
      <c r="AA330" s="54">
        <v>10.3</v>
      </c>
      <c r="AB330" s="55">
        <v>0</v>
      </c>
      <c r="AC330" s="55">
        <v>6.1</v>
      </c>
      <c r="AD330" s="57">
        <v>14.42</v>
      </c>
      <c r="AE330" s="56">
        <v>35</v>
      </c>
      <c r="AF330" s="54">
        <v>10.3</v>
      </c>
      <c r="AG330" s="55">
        <v>0</v>
      </c>
      <c r="AH330" s="55">
        <v>6.1</v>
      </c>
      <c r="AI330" s="57">
        <v>14.61</v>
      </c>
      <c r="AJ330" s="56">
        <v>34</v>
      </c>
      <c r="AK330" s="54">
        <v>10.5</v>
      </c>
      <c r="AL330" s="54">
        <v>0</v>
      </c>
      <c r="AM330" s="54">
        <v>5.7</v>
      </c>
      <c r="AN330" s="57">
        <v>13.44</v>
      </c>
      <c r="AO330" s="53">
        <v>35</v>
      </c>
      <c r="AP330" s="54">
        <v>10.4</v>
      </c>
      <c r="AQ330" s="54">
        <v>300</v>
      </c>
      <c r="AR330" s="54">
        <v>5.7</v>
      </c>
      <c r="AS330" s="57">
        <v>12.11</v>
      </c>
      <c r="AT330" s="56">
        <v>30</v>
      </c>
      <c r="AU330" s="57">
        <v>210</v>
      </c>
      <c r="AV330" s="56">
        <v>59.037273406982401</v>
      </c>
      <c r="AW330" s="57">
        <v>384.33774642944337</v>
      </c>
      <c r="AX330" s="8"/>
      <c r="AZ330" s="1">
        <v>90</v>
      </c>
    </row>
    <row r="331" spans="3:52" ht="15" customHeight="1" x14ac:dyDescent="0.25">
      <c r="C331" s="42"/>
      <c r="D331" s="43">
        <f>D328</f>
        <v>45684</v>
      </c>
      <c r="E331" s="44">
        <f t="shared" si="32"/>
        <v>26.499999999999893</v>
      </c>
      <c r="F331" s="45">
        <f t="shared" si="27"/>
        <v>45684.500000000764</v>
      </c>
      <c r="G331" s="52">
        <v>37</v>
      </c>
      <c r="H331" s="53">
        <v>39</v>
      </c>
      <c r="I331" s="54">
        <v>10.9</v>
      </c>
      <c r="J331" s="54">
        <v>300</v>
      </c>
      <c r="K331" s="55">
        <v>7.2</v>
      </c>
      <c r="L331" s="56">
        <v>39</v>
      </c>
      <c r="M331" s="54">
        <v>10.6</v>
      </c>
      <c r="N331" s="54">
        <v>350</v>
      </c>
      <c r="O331" s="57">
        <v>7.1</v>
      </c>
      <c r="P331" s="53">
        <v>38</v>
      </c>
      <c r="Q331" s="54">
        <v>10.6</v>
      </c>
      <c r="R331" s="55">
        <v>0</v>
      </c>
      <c r="S331" s="55">
        <v>6.6</v>
      </c>
      <c r="T331" s="57">
        <v>16.149999999999999</v>
      </c>
      <c r="U331" s="56">
        <v>38</v>
      </c>
      <c r="V331" s="54">
        <v>10.5</v>
      </c>
      <c r="W331" s="55">
        <v>0</v>
      </c>
      <c r="X331" s="55">
        <v>6.5</v>
      </c>
      <c r="Y331" s="57">
        <v>14.42</v>
      </c>
      <c r="Z331" s="53">
        <v>37</v>
      </c>
      <c r="AA331" s="54">
        <v>10.4</v>
      </c>
      <c r="AB331" s="55">
        <v>0</v>
      </c>
      <c r="AC331" s="55">
        <v>6.1</v>
      </c>
      <c r="AD331" s="57">
        <v>13.84</v>
      </c>
      <c r="AE331" s="56">
        <v>36</v>
      </c>
      <c r="AF331" s="54">
        <v>10.4</v>
      </c>
      <c r="AG331" s="55">
        <v>0</v>
      </c>
      <c r="AH331" s="55">
        <v>6.1</v>
      </c>
      <c r="AI331" s="57">
        <v>14.42</v>
      </c>
      <c r="AJ331" s="56">
        <v>35</v>
      </c>
      <c r="AK331" s="54">
        <v>10.4</v>
      </c>
      <c r="AL331" s="54">
        <v>0</v>
      </c>
      <c r="AM331" s="54">
        <v>6</v>
      </c>
      <c r="AN331" s="57">
        <v>13.46</v>
      </c>
      <c r="AO331" s="53">
        <v>35</v>
      </c>
      <c r="AP331" s="54">
        <v>10.4</v>
      </c>
      <c r="AQ331" s="54">
        <v>290</v>
      </c>
      <c r="AR331" s="54">
        <v>6.1</v>
      </c>
      <c r="AS331" s="57">
        <v>12.3</v>
      </c>
      <c r="AT331" s="56">
        <v>29</v>
      </c>
      <c r="AU331" s="57">
        <v>200</v>
      </c>
      <c r="AV331" s="56">
        <v>58.687335968017599</v>
      </c>
      <c r="AW331" s="57">
        <v>384.95997314453126</v>
      </c>
      <c r="AX331" s="8"/>
      <c r="AZ331" s="1">
        <v>90</v>
      </c>
    </row>
    <row r="332" spans="3:52" ht="15" customHeight="1" x14ac:dyDescent="0.25">
      <c r="C332" s="42"/>
      <c r="D332" s="43">
        <f>D328</f>
        <v>45684</v>
      </c>
      <c r="E332" s="44">
        <f t="shared" si="32"/>
        <v>26.583333333333226</v>
      </c>
      <c r="F332" s="45">
        <f t="shared" si="27"/>
        <v>45684.5833333341</v>
      </c>
      <c r="G332" s="52">
        <v>35</v>
      </c>
      <c r="H332" s="53">
        <v>38</v>
      </c>
      <c r="I332" s="54">
        <v>10.8</v>
      </c>
      <c r="J332" s="54">
        <v>400</v>
      </c>
      <c r="K332" s="55">
        <v>9</v>
      </c>
      <c r="L332" s="56">
        <v>39</v>
      </c>
      <c r="M332" s="54">
        <v>10.9</v>
      </c>
      <c r="N332" s="54">
        <v>350</v>
      </c>
      <c r="O332" s="57">
        <v>8.9</v>
      </c>
      <c r="P332" s="53">
        <v>37</v>
      </c>
      <c r="Q332" s="54">
        <v>10.6</v>
      </c>
      <c r="R332" s="55">
        <v>0</v>
      </c>
      <c r="S332" s="55">
        <v>6.9</v>
      </c>
      <c r="T332" s="57">
        <v>16.350000000000001</v>
      </c>
      <c r="U332" s="56">
        <v>37</v>
      </c>
      <c r="V332" s="54">
        <v>10.5</v>
      </c>
      <c r="W332" s="55">
        <v>0</v>
      </c>
      <c r="X332" s="55">
        <v>6.7</v>
      </c>
      <c r="Y332" s="57">
        <v>14.23</v>
      </c>
      <c r="Z332" s="53">
        <v>36</v>
      </c>
      <c r="AA332" s="54">
        <v>10.6</v>
      </c>
      <c r="AB332" s="55">
        <v>0</v>
      </c>
      <c r="AC332" s="55">
        <v>6.2</v>
      </c>
      <c r="AD332" s="57">
        <v>13.65</v>
      </c>
      <c r="AE332" s="56">
        <v>35</v>
      </c>
      <c r="AF332" s="54">
        <v>10.5</v>
      </c>
      <c r="AG332" s="55">
        <v>0</v>
      </c>
      <c r="AH332" s="55">
        <v>6.2</v>
      </c>
      <c r="AI332" s="57">
        <v>13.46</v>
      </c>
      <c r="AJ332" s="56">
        <v>35</v>
      </c>
      <c r="AK332" s="54">
        <v>10.11</v>
      </c>
      <c r="AL332" s="54">
        <v>0</v>
      </c>
      <c r="AM332" s="54">
        <v>6.3</v>
      </c>
      <c r="AN332" s="57">
        <v>13.69</v>
      </c>
      <c r="AO332" s="53">
        <v>34</v>
      </c>
      <c r="AP332" s="54">
        <v>10.4</v>
      </c>
      <c r="AQ332" s="54">
        <v>290</v>
      </c>
      <c r="AR332" s="54">
        <v>6.1</v>
      </c>
      <c r="AS332" s="57">
        <v>12.11</v>
      </c>
      <c r="AT332" s="56">
        <v>29</v>
      </c>
      <c r="AU332" s="57">
        <v>210</v>
      </c>
      <c r="AV332" s="56">
        <v>57.963054656982401</v>
      </c>
      <c r="AW332" s="57">
        <v>385.97632166544594</v>
      </c>
      <c r="AX332" s="8"/>
      <c r="AZ332" s="1">
        <v>90</v>
      </c>
    </row>
    <row r="333" spans="3:52" ht="15" customHeight="1" x14ac:dyDescent="0.25">
      <c r="C333" s="42"/>
      <c r="D333" s="43">
        <f>D328</f>
        <v>45684</v>
      </c>
      <c r="E333" s="44">
        <f t="shared" si="32"/>
        <v>26.666666666666558</v>
      </c>
      <c r="F333" s="45">
        <f t="shared" si="27"/>
        <v>45684.666666667435</v>
      </c>
      <c r="G333" s="52">
        <v>0</v>
      </c>
      <c r="H333" s="53">
        <v>41</v>
      </c>
      <c r="I333" s="54">
        <v>10.8</v>
      </c>
      <c r="J333" s="54">
        <v>350</v>
      </c>
      <c r="K333" s="55">
        <v>8.1</v>
      </c>
      <c r="L333" s="56">
        <v>40</v>
      </c>
      <c r="M333" s="54">
        <v>10.5</v>
      </c>
      <c r="N333" s="54">
        <v>400</v>
      </c>
      <c r="O333" s="57">
        <v>7.3</v>
      </c>
      <c r="P333" s="53">
        <v>36</v>
      </c>
      <c r="Q333" s="54">
        <v>10.5</v>
      </c>
      <c r="R333" s="55">
        <v>0</v>
      </c>
      <c r="S333" s="55">
        <v>6.3</v>
      </c>
      <c r="T333" s="57">
        <v>16.34</v>
      </c>
      <c r="U333" s="56">
        <v>34</v>
      </c>
      <c r="V333" s="54">
        <v>10.5</v>
      </c>
      <c r="W333" s="55">
        <v>0</v>
      </c>
      <c r="X333" s="55">
        <v>6.4</v>
      </c>
      <c r="Y333" s="57">
        <v>13.04</v>
      </c>
      <c r="Z333" s="53">
        <v>36</v>
      </c>
      <c r="AA333" s="54">
        <v>10.3</v>
      </c>
      <c r="AB333" s="55">
        <v>0</v>
      </c>
      <c r="AC333" s="55">
        <v>6.5</v>
      </c>
      <c r="AD333" s="57">
        <v>14.4</v>
      </c>
      <c r="AE333" s="56">
        <v>37</v>
      </c>
      <c r="AF333" s="54">
        <v>10.3</v>
      </c>
      <c r="AG333" s="55">
        <v>0</v>
      </c>
      <c r="AH333" s="55">
        <v>6.5</v>
      </c>
      <c r="AI333" s="57">
        <v>14.42</v>
      </c>
      <c r="AJ333" s="56">
        <v>37</v>
      </c>
      <c r="AK333" s="54">
        <v>10.3</v>
      </c>
      <c r="AL333" s="54">
        <v>0</v>
      </c>
      <c r="AM333" s="54">
        <v>6</v>
      </c>
      <c r="AN333" s="57">
        <v>12.5</v>
      </c>
      <c r="AO333" s="53">
        <v>37</v>
      </c>
      <c r="AP333" s="54">
        <v>10.3</v>
      </c>
      <c r="AQ333" s="54">
        <v>280</v>
      </c>
      <c r="AR333" s="54">
        <v>5.7</v>
      </c>
      <c r="AS333" s="57">
        <v>11.51</v>
      </c>
      <c r="AT333" s="56">
        <v>30</v>
      </c>
      <c r="AU333" s="57">
        <v>210</v>
      </c>
      <c r="AV333" s="56">
        <v>57.7392578125</v>
      </c>
      <c r="AW333" s="57">
        <v>377.8232303619385</v>
      </c>
      <c r="AX333" s="8"/>
      <c r="AZ333" s="1">
        <v>90</v>
      </c>
    </row>
    <row r="334" spans="3:52" ht="15" customHeight="1" x14ac:dyDescent="0.25">
      <c r="C334" s="42"/>
      <c r="D334" s="43">
        <f>D328</f>
        <v>45684</v>
      </c>
      <c r="E334" s="44">
        <f t="shared" si="32"/>
        <v>26.74999999999989</v>
      </c>
      <c r="F334" s="45">
        <f t="shared" si="27"/>
        <v>45684.750000000771</v>
      </c>
      <c r="G334" s="52">
        <v>0</v>
      </c>
      <c r="H334" s="53">
        <v>46</v>
      </c>
      <c r="I334" s="54">
        <v>10.7</v>
      </c>
      <c r="J334" s="54">
        <v>350</v>
      </c>
      <c r="K334" s="55">
        <v>8.1999999999999993</v>
      </c>
      <c r="L334" s="56">
        <v>39</v>
      </c>
      <c r="M334" s="54">
        <v>10.5</v>
      </c>
      <c r="N334" s="54">
        <v>350</v>
      </c>
      <c r="O334" s="57">
        <v>7.1</v>
      </c>
      <c r="P334" s="53">
        <v>37</v>
      </c>
      <c r="Q334" s="54">
        <v>10.5</v>
      </c>
      <c r="R334" s="55">
        <v>0</v>
      </c>
      <c r="S334" s="55">
        <v>6.3</v>
      </c>
      <c r="T334" s="57">
        <v>10.15</v>
      </c>
      <c r="U334" s="56">
        <v>35</v>
      </c>
      <c r="V334" s="54">
        <v>10.5</v>
      </c>
      <c r="W334" s="55">
        <v>0</v>
      </c>
      <c r="X334" s="55">
        <v>6.2</v>
      </c>
      <c r="Y334" s="57">
        <v>14.03</v>
      </c>
      <c r="Z334" s="53">
        <v>36</v>
      </c>
      <c r="AA334" s="54">
        <v>10.4</v>
      </c>
      <c r="AB334" s="55">
        <v>0</v>
      </c>
      <c r="AC334" s="55">
        <v>6.1</v>
      </c>
      <c r="AD334" s="57">
        <v>14.42</v>
      </c>
      <c r="AE334" s="56">
        <v>36</v>
      </c>
      <c r="AF334" s="54">
        <v>10.4</v>
      </c>
      <c r="AG334" s="55">
        <v>0</v>
      </c>
      <c r="AH334" s="55">
        <v>6.3</v>
      </c>
      <c r="AI334" s="57">
        <v>14.42</v>
      </c>
      <c r="AJ334" s="56">
        <v>35</v>
      </c>
      <c r="AK334" s="54">
        <v>10.3</v>
      </c>
      <c r="AL334" s="54">
        <v>0</v>
      </c>
      <c r="AM334" s="54">
        <v>6</v>
      </c>
      <c r="AN334" s="57">
        <v>12.88</v>
      </c>
      <c r="AO334" s="53">
        <v>36</v>
      </c>
      <c r="AP334" s="54">
        <v>10.3</v>
      </c>
      <c r="AQ334" s="54">
        <v>300</v>
      </c>
      <c r="AR334" s="54">
        <v>5.0999999999999996</v>
      </c>
      <c r="AS334" s="57">
        <v>11.92</v>
      </c>
      <c r="AT334" s="56">
        <v>29</v>
      </c>
      <c r="AU334" s="57">
        <v>220</v>
      </c>
      <c r="AV334" s="56">
        <v>58.1787109375</v>
      </c>
      <c r="AW334" s="57">
        <v>386.1236498514811</v>
      </c>
      <c r="AX334" s="8"/>
      <c r="AZ334" s="1">
        <v>90</v>
      </c>
    </row>
    <row r="335" spans="3:52" ht="15" customHeight="1" x14ac:dyDescent="0.25">
      <c r="C335" s="42"/>
      <c r="D335" s="43">
        <f>D328</f>
        <v>45684</v>
      </c>
      <c r="E335" s="44">
        <f t="shared" si="32"/>
        <v>26.833333333333222</v>
      </c>
      <c r="F335" s="45">
        <f t="shared" si="27"/>
        <v>45684.833333334107</v>
      </c>
      <c r="G335" s="52">
        <v>37</v>
      </c>
      <c r="H335" s="53">
        <v>42</v>
      </c>
      <c r="I335" s="54">
        <v>11</v>
      </c>
      <c r="J335" s="54">
        <v>350</v>
      </c>
      <c r="K335" s="55">
        <v>7.9</v>
      </c>
      <c r="L335" s="56">
        <v>41</v>
      </c>
      <c r="M335" s="54">
        <v>10.6</v>
      </c>
      <c r="N335" s="54">
        <v>350</v>
      </c>
      <c r="O335" s="57">
        <v>8.1999999999999993</v>
      </c>
      <c r="P335" s="53">
        <v>39</v>
      </c>
      <c r="Q335" s="54">
        <v>10.4</v>
      </c>
      <c r="R335" s="55">
        <v>0</v>
      </c>
      <c r="S335" s="55">
        <v>6.1</v>
      </c>
      <c r="T335" s="57">
        <v>16.34</v>
      </c>
      <c r="U335" s="56">
        <v>39</v>
      </c>
      <c r="V335" s="54">
        <v>10.4</v>
      </c>
      <c r="W335" s="55">
        <v>0</v>
      </c>
      <c r="X335" s="55">
        <v>6</v>
      </c>
      <c r="Y335" s="57">
        <v>14.42</v>
      </c>
      <c r="Z335" s="53">
        <v>38</v>
      </c>
      <c r="AA335" s="54">
        <v>10.4</v>
      </c>
      <c r="AB335" s="55">
        <v>0</v>
      </c>
      <c r="AC335" s="55">
        <v>5.4</v>
      </c>
      <c r="AD335" s="57">
        <v>13.46</v>
      </c>
      <c r="AE335" s="56">
        <v>37</v>
      </c>
      <c r="AF335" s="54">
        <v>10.4</v>
      </c>
      <c r="AG335" s="55">
        <v>0</v>
      </c>
      <c r="AH335" s="55">
        <v>5.2</v>
      </c>
      <c r="AI335" s="57">
        <v>13.46</v>
      </c>
      <c r="AJ335" s="56">
        <v>37</v>
      </c>
      <c r="AK335" s="54">
        <v>10.4</v>
      </c>
      <c r="AL335" s="54">
        <v>0</v>
      </c>
      <c r="AM335" s="54">
        <v>5.7</v>
      </c>
      <c r="AN335" s="57">
        <v>13.46</v>
      </c>
      <c r="AO335" s="53">
        <v>37</v>
      </c>
      <c r="AP335" s="54">
        <v>10.4</v>
      </c>
      <c r="AQ335" s="54">
        <v>250</v>
      </c>
      <c r="AR335" s="54">
        <v>5.7</v>
      </c>
      <c r="AS335" s="57">
        <v>12.5</v>
      </c>
      <c r="AT335" s="56">
        <v>29</v>
      </c>
      <c r="AU335" s="57">
        <v>130</v>
      </c>
      <c r="AV335" s="56">
        <v>57.816570281982401</v>
      </c>
      <c r="AW335" s="57">
        <v>383.99679260253907</v>
      </c>
      <c r="AX335" s="8"/>
      <c r="AZ335" s="1">
        <v>90</v>
      </c>
    </row>
    <row r="336" spans="3:52" ht="15" customHeight="1" x14ac:dyDescent="0.25">
      <c r="C336" s="42"/>
      <c r="D336" s="43">
        <f>D328</f>
        <v>45684</v>
      </c>
      <c r="E336" s="44">
        <f t="shared" si="32"/>
        <v>26.916666666666554</v>
      </c>
      <c r="F336" s="45">
        <f t="shared" si="27"/>
        <v>45684.916666667443</v>
      </c>
      <c r="G336" s="52">
        <v>37</v>
      </c>
      <c r="H336" s="53">
        <v>40</v>
      </c>
      <c r="I336" s="54">
        <v>10.9</v>
      </c>
      <c r="J336" s="54">
        <v>350</v>
      </c>
      <c r="K336" s="55">
        <v>8</v>
      </c>
      <c r="L336" s="56">
        <v>42</v>
      </c>
      <c r="M336" s="54">
        <v>10.8</v>
      </c>
      <c r="N336" s="54">
        <v>350</v>
      </c>
      <c r="O336" s="57">
        <v>8.3000000000000007</v>
      </c>
      <c r="P336" s="53">
        <v>40</v>
      </c>
      <c r="Q336" s="54">
        <v>10.6</v>
      </c>
      <c r="R336" s="55">
        <v>0</v>
      </c>
      <c r="S336" s="55">
        <v>6.1</v>
      </c>
      <c r="T336" s="57">
        <v>16.54</v>
      </c>
      <c r="U336" s="56">
        <v>39</v>
      </c>
      <c r="V336" s="54">
        <v>10.5</v>
      </c>
      <c r="W336" s="55">
        <v>0</v>
      </c>
      <c r="X336" s="55">
        <v>6.2</v>
      </c>
      <c r="Y336" s="57">
        <v>14.42</v>
      </c>
      <c r="Z336" s="53">
        <v>38</v>
      </c>
      <c r="AA336" s="54">
        <v>10.4</v>
      </c>
      <c r="AB336" s="55">
        <v>0</v>
      </c>
      <c r="AC336" s="55">
        <v>5.4</v>
      </c>
      <c r="AD336" s="57">
        <v>13.46</v>
      </c>
      <c r="AE336" s="56">
        <v>37</v>
      </c>
      <c r="AF336" s="54">
        <v>10.4</v>
      </c>
      <c r="AG336" s="55">
        <v>0</v>
      </c>
      <c r="AH336" s="55">
        <v>5.4</v>
      </c>
      <c r="AI336" s="57">
        <v>13.46</v>
      </c>
      <c r="AJ336" s="56">
        <v>38</v>
      </c>
      <c r="AK336" s="54">
        <v>10.4</v>
      </c>
      <c r="AL336" s="54">
        <v>0</v>
      </c>
      <c r="AM336" s="54">
        <v>5.8</v>
      </c>
      <c r="AN336" s="57">
        <v>13.46</v>
      </c>
      <c r="AO336" s="53">
        <v>38</v>
      </c>
      <c r="AP336" s="54">
        <v>10.4</v>
      </c>
      <c r="AQ336" s="54">
        <v>240</v>
      </c>
      <c r="AR336" s="54">
        <v>5.6</v>
      </c>
      <c r="AS336" s="57">
        <v>12.5</v>
      </c>
      <c r="AT336" s="56">
        <v>29</v>
      </c>
      <c r="AU336" s="57">
        <v>130</v>
      </c>
      <c r="AV336" s="56">
        <v>58.0078125</v>
      </c>
      <c r="AW336" s="57">
        <v>390.03628921508789</v>
      </c>
      <c r="AX336" s="8"/>
      <c r="AZ336" s="1">
        <v>90</v>
      </c>
    </row>
    <row r="337" spans="3:52" ht="15" customHeight="1" x14ac:dyDescent="0.25">
      <c r="C337" s="42"/>
      <c r="D337" s="43">
        <f>D328</f>
        <v>45684</v>
      </c>
      <c r="E337" s="44">
        <f t="shared" si="32"/>
        <v>26.999999999999886</v>
      </c>
      <c r="F337" s="45">
        <f t="shared" si="27"/>
        <v>45685.000000000779</v>
      </c>
      <c r="G337" s="52">
        <v>42</v>
      </c>
      <c r="H337" s="53">
        <v>40</v>
      </c>
      <c r="I337" s="54">
        <v>10.8</v>
      </c>
      <c r="J337" s="54">
        <v>300</v>
      </c>
      <c r="K337" s="55">
        <v>8.1999999999999993</v>
      </c>
      <c r="L337" s="56">
        <v>42</v>
      </c>
      <c r="M337" s="54">
        <v>10.8</v>
      </c>
      <c r="N337" s="54">
        <v>300</v>
      </c>
      <c r="O337" s="57">
        <v>8.3000000000000007</v>
      </c>
      <c r="P337" s="53">
        <v>40</v>
      </c>
      <c r="Q337" s="54">
        <v>10.6</v>
      </c>
      <c r="R337" s="55">
        <v>0</v>
      </c>
      <c r="S337" s="55">
        <v>6.2</v>
      </c>
      <c r="T337" s="57">
        <v>16.149999999999999</v>
      </c>
      <c r="U337" s="56">
        <v>40</v>
      </c>
      <c r="V337" s="54">
        <v>10.5</v>
      </c>
      <c r="W337" s="55">
        <v>0</v>
      </c>
      <c r="X337" s="55">
        <v>6.1</v>
      </c>
      <c r="Y337" s="57">
        <v>14.23</v>
      </c>
      <c r="Z337" s="53">
        <v>39</v>
      </c>
      <c r="AA337" s="54">
        <v>10.4</v>
      </c>
      <c r="AB337" s="55">
        <v>0</v>
      </c>
      <c r="AC337" s="55">
        <v>5.6</v>
      </c>
      <c r="AD337" s="57">
        <v>13.07</v>
      </c>
      <c r="AE337" s="56">
        <v>38</v>
      </c>
      <c r="AF337" s="54">
        <v>10.4</v>
      </c>
      <c r="AG337" s="55">
        <v>0</v>
      </c>
      <c r="AH337" s="55">
        <v>5.3</v>
      </c>
      <c r="AI337" s="57">
        <v>13.26</v>
      </c>
      <c r="AJ337" s="56">
        <v>38</v>
      </c>
      <c r="AK337" s="54">
        <v>10.5</v>
      </c>
      <c r="AL337" s="54">
        <v>0</v>
      </c>
      <c r="AM337" s="54">
        <v>5.8</v>
      </c>
      <c r="AN337" s="57">
        <v>13.07</v>
      </c>
      <c r="AO337" s="53">
        <v>38</v>
      </c>
      <c r="AP337" s="54">
        <v>10.5</v>
      </c>
      <c r="AQ337" s="54">
        <v>240</v>
      </c>
      <c r="AR337" s="54">
        <v>5.8</v>
      </c>
      <c r="AS337" s="57">
        <v>12.69</v>
      </c>
      <c r="AT337" s="56">
        <v>31</v>
      </c>
      <c r="AU337" s="57">
        <v>130</v>
      </c>
      <c r="AV337" s="56">
        <v>58.219402313232401</v>
      </c>
      <c r="AW337" s="57">
        <v>388.71407292683921</v>
      </c>
      <c r="AX337" s="8"/>
      <c r="AZ337" s="1">
        <v>90</v>
      </c>
    </row>
    <row r="338" spans="3:52" ht="15" customHeight="1" x14ac:dyDescent="0.25">
      <c r="C338" s="42"/>
      <c r="D338" s="43">
        <f>D328</f>
        <v>45684</v>
      </c>
      <c r="E338" s="44">
        <f t="shared" si="32"/>
        <v>27.083333333333218</v>
      </c>
      <c r="F338" s="45">
        <f t="shared" ref="F338:F387" si="33">F337+(E338-E337)</f>
        <v>45685.083333334114</v>
      </c>
      <c r="G338" s="52">
        <v>38</v>
      </c>
      <c r="H338" s="53">
        <v>37</v>
      </c>
      <c r="I338" s="54">
        <v>10.7</v>
      </c>
      <c r="J338" s="54">
        <v>300</v>
      </c>
      <c r="K338" s="55">
        <v>7.8</v>
      </c>
      <c r="L338" s="56">
        <v>38</v>
      </c>
      <c r="M338" s="54">
        <v>10.7</v>
      </c>
      <c r="N338" s="54">
        <v>300</v>
      </c>
      <c r="O338" s="57">
        <v>8.1</v>
      </c>
      <c r="P338" s="53">
        <v>37</v>
      </c>
      <c r="Q338" s="54">
        <v>10.7</v>
      </c>
      <c r="R338" s="55">
        <v>0</v>
      </c>
      <c r="S338" s="55">
        <v>6.1</v>
      </c>
      <c r="T338" s="57">
        <v>15.76</v>
      </c>
      <c r="U338" s="56">
        <v>38</v>
      </c>
      <c r="V338" s="54">
        <v>10.6</v>
      </c>
      <c r="W338" s="55">
        <v>0</v>
      </c>
      <c r="X338" s="55">
        <v>6</v>
      </c>
      <c r="Y338" s="57">
        <v>14.61</v>
      </c>
      <c r="Z338" s="53">
        <v>38</v>
      </c>
      <c r="AA338" s="54">
        <v>10.5</v>
      </c>
      <c r="AB338" s="55">
        <v>0</v>
      </c>
      <c r="AC338" s="55">
        <v>5.4</v>
      </c>
      <c r="AD338" s="57">
        <v>14.03</v>
      </c>
      <c r="AE338" s="56">
        <v>37</v>
      </c>
      <c r="AF338" s="54">
        <v>10.5</v>
      </c>
      <c r="AG338" s="55">
        <v>0</v>
      </c>
      <c r="AH338" s="55">
        <v>5.2</v>
      </c>
      <c r="AI338" s="57">
        <v>13.26</v>
      </c>
      <c r="AJ338" s="56">
        <v>37</v>
      </c>
      <c r="AK338" s="54">
        <v>10.5</v>
      </c>
      <c r="AL338" s="54">
        <v>0</v>
      </c>
      <c r="AM338" s="54">
        <v>5.4</v>
      </c>
      <c r="AN338" s="57">
        <v>12.88</v>
      </c>
      <c r="AO338" s="53">
        <v>37</v>
      </c>
      <c r="AP338" s="54">
        <v>10.5</v>
      </c>
      <c r="AQ338" s="54">
        <v>250</v>
      </c>
      <c r="AR338" s="54">
        <v>5.6</v>
      </c>
      <c r="AS338" s="57">
        <v>12.3</v>
      </c>
      <c r="AT338" s="56">
        <v>29</v>
      </c>
      <c r="AU338" s="57">
        <v>120</v>
      </c>
      <c r="AV338" s="56">
        <v>58.447265625</v>
      </c>
      <c r="AW338" s="57">
        <v>387.4022226969401</v>
      </c>
      <c r="AX338" s="8"/>
      <c r="AZ338" s="1">
        <v>90</v>
      </c>
    </row>
    <row r="339" spans="3:52" ht="15" customHeight="1" x14ac:dyDescent="0.25">
      <c r="C339" s="42"/>
      <c r="D339" s="69">
        <f>D328</f>
        <v>45684</v>
      </c>
      <c r="E339" s="70">
        <f t="shared" si="32"/>
        <v>27.166666666666551</v>
      </c>
      <c r="F339" s="71">
        <f t="shared" si="33"/>
        <v>45685.16666666745</v>
      </c>
      <c r="G339" s="60">
        <v>38</v>
      </c>
      <c r="H339" s="61">
        <v>39</v>
      </c>
      <c r="I339" s="62">
        <v>10.6</v>
      </c>
      <c r="J339" s="62">
        <v>200</v>
      </c>
      <c r="K339" s="63">
        <v>7.2</v>
      </c>
      <c r="L339" s="64">
        <v>39</v>
      </c>
      <c r="M339" s="62">
        <v>10.7</v>
      </c>
      <c r="N339" s="62">
        <v>250</v>
      </c>
      <c r="O339" s="65">
        <v>8.1999999999999993</v>
      </c>
      <c r="P339" s="61">
        <v>37</v>
      </c>
      <c r="Q339" s="62">
        <v>10.7</v>
      </c>
      <c r="R339" s="63">
        <v>0</v>
      </c>
      <c r="S339" s="63">
        <v>6.7</v>
      </c>
      <c r="T339" s="65">
        <v>15.38</v>
      </c>
      <c r="U339" s="64">
        <v>38</v>
      </c>
      <c r="V339" s="62">
        <v>10.7</v>
      </c>
      <c r="W339" s="63">
        <v>0</v>
      </c>
      <c r="X339" s="63">
        <v>6.5</v>
      </c>
      <c r="Y339" s="65">
        <v>14.42</v>
      </c>
      <c r="Z339" s="61">
        <v>39</v>
      </c>
      <c r="AA339" s="62">
        <v>10.6</v>
      </c>
      <c r="AB339" s="63">
        <v>0</v>
      </c>
      <c r="AC339" s="63">
        <v>5.4</v>
      </c>
      <c r="AD339" s="65">
        <v>14.42</v>
      </c>
      <c r="AE339" s="64">
        <v>40</v>
      </c>
      <c r="AF339" s="62">
        <v>10.5</v>
      </c>
      <c r="AG339" s="63">
        <v>0</v>
      </c>
      <c r="AH339" s="63">
        <v>5.9</v>
      </c>
      <c r="AI339" s="65">
        <v>13.46</v>
      </c>
      <c r="AJ339" s="64">
        <v>37</v>
      </c>
      <c r="AK339" s="62">
        <v>10.4</v>
      </c>
      <c r="AL339" s="62">
        <v>0</v>
      </c>
      <c r="AM339" s="62">
        <v>5.2</v>
      </c>
      <c r="AN339" s="65">
        <v>12.5</v>
      </c>
      <c r="AO339" s="61">
        <v>36</v>
      </c>
      <c r="AP339" s="62">
        <v>10.4</v>
      </c>
      <c r="AQ339" s="62">
        <v>220</v>
      </c>
      <c r="AR339" s="62">
        <v>5.8</v>
      </c>
      <c r="AS339" s="65">
        <v>12.5</v>
      </c>
      <c r="AT339" s="64">
        <v>28</v>
      </c>
      <c r="AU339" s="65">
        <v>140</v>
      </c>
      <c r="AV339" s="64">
        <v>58.260089874267599</v>
      </c>
      <c r="AW339" s="65">
        <v>387.45792363484702</v>
      </c>
      <c r="AX339" s="8"/>
      <c r="AZ339" s="1">
        <v>90</v>
      </c>
    </row>
    <row r="340" spans="3:52" ht="15" customHeight="1" x14ac:dyDescent="0.25">
      <c r="C340" s="42">
        <f>C328+1</f>
        <v>28</v>
      </c>
      <c r="D340" s="66">
        <f>DATE([1]Dash!$F$3,VLOOKUP([1]Dash!$E$3,[1]Abb!$C$3:$D$14,2,FALSE),C340)</f>
        <v>45685</v>
      </c>
      <c r="E340" s="67">
        <f>E339+2/24</f>
        <v>27.249999999999883</v>
      </c>
      <c r="F340" s="68">
        <f t="shared" si="33"/>
        <v>45685.250000000786</v>
      </c>
      <c r="G340" s="46">
        <v>40</v>
      </c>
      <c r="H340" s="47">
        <v>40</v>
      </c>
      <c r="I340" s="48">
        <v>10.6</v>
      </c>
      <c r="J340" s="48">
        <v>200</v>
      </c>
      <c r="K340" s="49">
        <v>7</v>
      </c>
      <c r="L340" s="50">
        <v>39</v>
      </c>
      <c r="M340" s="48">
        <v>10.7</v>
      </c>
      <c r="N340" s="48">
        <v>250</v>
      </c>
      <c r="O340" s="51">
        <v>8.1</v>
      </c>
      <c r="P340" s="47">
        <v>37</v>
      </c>
      <c r="Q340" s="48">
        <v>10.7</v>
      </c>
      <c r="R340" s="49">
        <v>0</v>
      </c>
      <c r="S340" s="49">
        <v>6.5</v>
      </c>
      <c r="T340" s="51">
        <v>15.76</v>
      </c>
      <c r="U340" s="50">
        <v>38</v>
      </c>
      <c r="V340" s="48">
        <v>10.7</v>
      </c>
      <c r="W340" s="49">
        <v>0</v>
      </c>
      <c r="X340" s="49">
        <v>6.4</v>
      </c>
      <c r="Y340" s="51">
        <v>14.61</v>
      </c>
      <c r="Z340" s="47">
        <v>38</v>
      </c>
      <c r="AA340" s="48">
        <v>10.6</v>
      </c>
      <c r="AB340" s="49">
        <v>0</v>
      </c>
      <c r="AC340" s="49">
        <v>5</v>
      </c>
      <c r="AD340" s="51">
        <v>13.07</v>
      </c>
      <c r="AE340" s="50">
        <v>39</v>
      </c>
      <c r="AF340" s="48">
        <v>10.5</v>
      </c>
      <c r="AG340" s="49">
        <v>0</v>
      </c>
      <c r="AH340" s="49">
        <v>5.8</v>
      </c>
      <c r="AI340" s="51">
        <v>13.26</v>
      </c>
      <c r="AJ340" s="50">
        <v>37</v>
      </c>
      <c r="AK340" s="48">
        <v>10.4</v>
      </c>
      <c r="AL340" s="48">
        <v>0</v>
      </c>
      <c r="AM340" s="48">
        <v>5.7</v>
      </c>
      <c r="AN340" s="51">
        <v>13.46</v>
      </c>
      <c r="AO340" s="47">
        <v>36</v>
      </c>
      <c r="AP340" s="48">
        <v>10.4</v>
      </c>
      <c r="AQ340" s="48">
        <v>220</v>
      </c>
      <c r="AR340" s="48">
        <v>5.6</v>
      </c>
      <c r="AS340" s="51">
        <v>12.69</v>
      </c>
      <c r="AT340" s="50">
        <v>28</v>
      </c>
      <c r="AU340" s="51">
        <v>130</v>
      </c>
      <c r="AV340" s="50">
        <v>58.512371063232401</v>
      </c>
      <c r="AW340" s="51">
        <v>385.82802912394203</v>
      </c>
      <c r="AX340" s="8"/>
      <c r="AZ340" s="1">
        <v>90</v>
      </c>
    </row>
    <row r="341" spans="3:52" ht="15" customHeight="1" x14ac:dyDescent="0.25">
      <c r="C341" s="42"/>
      <c r="D341" s="43">
        <f>D340</f>
        <v>45685</v>
      </c>
      <c r="E341" s="44">
        <f>E340+2/24</f>
        <v>27.333333333333215</v>
      </c>
      <c r="F341" s="45">
        <f t="shared" si="33"/>
        <v>45685.333333334122</v>
      </c>
      <c r="G341" s="52">
        <v>37</v>
      </c>
      <c r="H341" s="53">
        <v>39</v>
      </c>
      <c r="I341" s="54">
        <v>11</v>
      </c>
      <c r="J341" s="54">
        <v>200</v>
      </c>
      <c r="K341" s="55">
        <v>7.6</v>
      </c>
      <c r="L341" s="56">
        <v>38</v>
      </c>
      <c r="M341" s="54">
        <v>10.8</v>
      </c>
      <c r="N341" s="54">
        <v>250</v>
      </c>
      <c r="O341" s="57">
        <v>7.2</v>
      </c>
      <c r="P341" s="53">
        <v>36</v>
      </c>
      <c r="Q341" s="54">
        <v>10.8</v>
      </c>
      <c r="R341" s="55">
        <v>0</v>
      </c>
      <c r="S341" s="55">
        <v>7</v>
      </c>
      <c r="T341" s="57">
        <v>17.3</v>
      </c>
      <c r="U341" s="56">
        <v>38</v>
      </c>
      <c r="V341" s="54">
        <v>10.7</v>
      </c>
      <c r="W341" s="55">
        <v>0</v>
      </c>
      <c r="X341" s="55">
        <v>6.8</v>
      </c>
      <c r="Y341" s="57">
        <v>14.42</v>
      </c>
      <c r="Z341" s="53">
        <v>36</v>
      </c>
      <c r="AA341" s="54">
        <v>10.7</v>
      </c>
      <c r="AB341" s="55">
        <v>0</v>
      </c>
      <c r="AC341" s="55">
        <v>5.9</v>
      </c>
      <c r="AD341" s="57">
        <v>14.03</v>
      </c>
      <c r="AE341" s="56">
        <v>36</v>
      </c>
      <c r="AF341" s="54">
        <v>10.6</v>
      </c>
      <c r="AG341" s="55">
        <v>0</v>
      </c>
      <c r="AH341" s="55">
        <v>6</v>
      </c>
      <c r="AI341" s="57">
        <v>14.23</v>
      </c>
      <c r="AJ341" s="56">
        <v>37</v>
      </c>
      <c r="AK341" s="54">
        <v>10.5</v>
      </c>
      <c r="AL341" s="54">
        <v>0</v>
      </c>
      <c r="AM341" s="54">
        <v>5.8</v>
      </c>
      <c r="AN341" s="57">
        <v>12.88</v>
      </c>
      <c r="AO341" s="53">
        <v>36</v>
      </c>
      <c r="AP341" s="54">
        <v>10.5</v>
      </c>
      <c r="AQ341" s="54">
        <v>250</v>
      </c>
      <c r="AR341" s="54">
        <v>6</v>
      </c>
      <c r="AS341" s="57">
        <v>11.53</v>
      </c>
      <c r="AT341" s="56">
        <v>30</v>
      </c>
      <c r="AU341" s="57">
        <v>200</v>
      </c>
      <c r="AV341" s="56">
        <v>58.9111328125</v>
      </c>
      <c r="AW341" s="57">
        <v>385.55977465311685</v>
      </c>
      <c r="AX341" s="8"/>
      <c r="AZ341" s="1">
        <v>90</v>
      </c>
    </row>
    <row r="342" spans="3:52" ht="15" customHeight="1" x14ac:dyDescent="0.25">
      <c r="C342" s="42"/>
      <c r="D342" s="43">
        <f>D340</f>
        <v>45685</v>
      </c>
      <c r="E342" s="44">
        <f t="shared" ref="E342:E351" si="34">E341+2/24</f>
        <v>27.416666666666547</v>
      </c>
      <c r="F342" s="45">
        <f t="shared" si="33"/>
        <v>45685.416666667457</v>
      </c>
      <c r="G342" s="52">
        <v>38</v>
      </c>
      <c r="H342" s="53">
        <v>39</v>
      </c>
      <c r="I342" s="54">
        <v>11.1</v>
      </c>
      <c r="J342" s="54">
        <v>400</v>
      </c>
      <c r="K342" s="55">
        <v>8.9</v>
      </c>
      <c r="L342" s="56">
        <v>39</v>
      </c>
      <c r="M342" s="54">
        <v>11</v>
      </c>
      <c r="N342" s="54">
        <v>450</v>
      </c>
      <c r="O342" s="57">
        <v>8.6</v>
      </c>
      <c r="P342" s="53">
        <v>39</v>
      </c>
      <c r="Q342" s="54">
        <v>10.8</v>
      </c>
      <c r="R342" s="55">
        <v>0</v>
      </c>
      <c r="S342" s="55">
        <v>7.4</v>
      </c>
      <c r="T342" s="57">
        <v>16.920000000000002</v>
      </c>
      <c r="U342" s="56">
        <v>38</v>
      </c>
      <c r="V342" s="54">
        <v>10.8</v>
      </c>
      <c r="W342" s="55">
        <v>0</v>
      </c>
      <c r="X342" s="55">
        <v>6.9</v>
      </c>
      <c r="Y342" s="57">
        <v>14.03</v>
      </c>
      <c r="Z342" s="53">
        <v>36</v>
      </c>
      <c r="AA342" s="54">
        <v>10.7</v>
      </c>
      <c r="AB342" s="55">
        <v>0</v>
      </c>
      <c r="AC342" s="55">
        <v>7</v>
      </c>
      <c r="AD342" s="57">
        <v>14.42</v>
      </c>
      <c r="AE342" s="56">
        <v>35</v>
      </c>
      <c r="AF342" s="54">
        <v>10.5</v>
      </c>
      <c r="AG342" s="55">
        <v>0</v>
      </c>
      <c r="AH342" s="55">
        <v>6.4</v>
      </c>
      <c r="AI342" s="57">
        <v>13.46</v>
      </c>
      <c r="AJ342" s="56">
        <v>36</v>
      </c>
      <c r="AK342" s="54">
        <v>10.5</v>
      </c>
      <c r="AL342" s="54">
        <v>0</v>
      </c>
      <c r="AM342" s="54">
        <v>6.1</v>
      </c>
      <c r="AN342" s="57">
        <v>13.07</v>
      </c>
      <c r="AO342" s="53">
        <v>34</v>
      </c>
      <c r="AP342" s="54">
        <v>10.5</v>
      </c>
      <c r="AQ342" s="54">
        <v>270</v>
      </c>
      <c r="AR342" s="54">
        <v>6.7</v>
      </c>
      <c r="AS342" s="57">
        <v>11.73</v>
      </c>
      <c r="AT342" s="56">
        <v>28</v>
      </c>
      <c r="AU342" s="57">
        <v>220</v>
      </c>
      <c r="AV342" s="56">
        <v>58.626300811767599</v>
      </c>
      <c r="AW342" s="57">
        <v>382.90569483439128</v>
      </c>
      <c r="AX342" s="8"/>
      <c r="AZ342" s="1">
        <v>90</v>
      </c>
    </row>
    <row r="343" spans="3:52" ht="15" customHeight="1" x14ac:dyDescent="0.25">
      <c r="C343" s="42"/>
      <c r="D343" s="43">
        <f>D340</f>
        <v>45685</v>
      </c>
      <c r="E343" s="44">
        <f t="shared" si="34"/>
        <v>27.499999999999879</v>
      </c>
      <c r="F343" s="45">
        <f t="shared" si="33"/>
        <v>45685.500000000793</v>
      </c>
      <c r="G343" s="52">
        <v>36</v>
      </c>
      <c r="H343" s="53">
        <v>37</v>
      </c>
      <c r="I343" s="54">
        <v>10.7</v>
      </c>
      <c r="J343" s="54">
        <v>300</v>
      </c>
      <c r="K343" s="55">
        <v>8.9</v>
      </c>
      <c r="L343" s="56">
        <v>39</v>
      </c>
      <c r="M343" s="54">
        <v>11.1</v>
      </c>
      <c r="N343" s="54">
        <v>300</v>
      </c>
      <c r="O343" s="57">
        <v>8.4</v>
      </c>
      <c r="P343" s="53">
        <v>38</v>
      </c>
      <c r="Q343" s="54">
        <v>10.8</v>
      </c>
      <c r="R343" s="55">
        <v>0</v>
      </c>
      <c r="S343" s="55">
        <v>7.1</v>
      </c>
      <c r="T343" s="57">
        <v>17.3</v>
      </c>
      <c r="U343" s="56">
        <v>38</v>
      </c>
      <c r="V343" s="54">
        <v>10.8</v>
      </c>
      <c r="W343" s="55">
        <v>0</v>
      </c>
      <c r="X343" s="55">
        <v>6.6</v>
      </c>
      <c r="Y343" s="57">
        <v>14.42</v>
      </c>
      <c r="Z343" s="53">
        <v>37</v>
      </c>
      <c r="AA343" s="54">
        <v>10.8</v>
      </c>
      <c r="AB343" s="55">
        <v>0</v>
      </c>
      <c r="AC343" s="55">
        <v>6.8</v>
      </c>
      <c r="AD343" s="57">
        <v>14.03</v>
      </c>
      <c r="AE343" s="56">
        <v>36</v>
      </c>
      <c r="AF343" s="54">
        <v>10.6</v>
      </c>
      <c r="AG343" s="55">
        <v>0</v>
      </c>
      <c r="AH343" s="55">
        <v>6.7</v>
      </c>
      <c r="AI343" s="57">
        <v>14.23</v>
      </c>
      <c r="AJ343" s="56">
        <v>36</v>
      </c>
      <c r="AK343" s="54">
        <v>10.6</v>
      </c>
      <c r="AL343" s="54">
        <v>0</v>
      </c>
      <c r="AM343" s="54">
        <v>6.2</v>
      </c>
      <c r="AN343" s="57">
        <v>12.88</v>
      </c>
      <c r="AO343" s="53">
        <v>35</v>
      </c>
      <c r="AP343" s="54">
        <v>10.5</v>
      </c>
      <c r="AQ343" s="54">
        <v>290</v>
      </c>
      <c r="AR343" s="54">
        <v>5.9</v>
      </c>
      <c r="AS343" s="57">
        <v>11.53</v>
      </c>
      <c r="AT343" s="56">
        <v>29</v>
      </c>
      <c r="AU343" s="57">
        <v>210</v>
      </c>
      <c r="AV343" s="56">
        <v>59.000652313232401</v>
      </c>
      <c r="AW343" s="57">
        <v>384.94321479797361</v>
      </c>
      <c r="AX343" s="8"/>
      <c r="AZ343" s="1">
        <v>90</v>
      </c>
    </row>
    <row r="344" spans="3:52" ht="15" customHeight="1" x14ac:dyDescent="0.25">
      <c r="C344" s="42"/>
      <c r="D344" s="43">
        <f>D340</f>
        <v>45685</v>
      </c>
      <c r="E344" s="44">
        <f t="shared" si="34"/>
        <v>27.583333333333211</v>
      </c>
      <c r="F344" s="45">
        <f t="shared" si="33"/>
        <v>45685.583333334129</v>
      </c>
      <c r="G344" s="52">
        <v>38</v>
      </c>
      <c r="H344" s="53">
        <v>39</v>
      </c>
      <c r="I344" s="54">
        <v>10.9</v>
      </c>
      <c r="J344" s="54">
        <v>300</v>
      </c>
      <c r="K344" s="55">
        <v>8.6</v>
      </c>
      <c r="L344" s="56">
        <v>38</v>
      </c>
      <c r="M344" s="54">
        <v>10.9</v>
      </c>
      <c r="N344" s="54">
        <v>300</v>
      </c>
      <c r="O344" s="57">
        <v>7.2</v>
      </c>
      <c r="P344" s="53">
        <v>37</v>
      </c>
      <c r="Q344" s="54">
        <v>10.8</v>
      </c>
      <c r="R344" s="55">
        <v>0</v>
      </c>
      <c r="S344" s="55">
        <v>7</v>
      </c>
      <c r="T344" s="57">
        <v>17.100000000000001</v>
      </c>
      <c r="U344" s="56">
        <v>37</v>
      </c>
      <c r="V344" s="54">
        <v>10.7</v>
      </c>
      <c r="W344" s="55">
        <v>0</v>
      </c>
      <c r="X344" s="55">
        <v>6.8</v>
      </c>
      <c r="Y344" s="57">
        <v>13.46</v>
      </c>
      <c r="Z344" s="53">
        <v>36</v>
      </c>
      <c r="AA344" s="54">
        <v>10.7</v>
      </c>
      <c r="AB344" s="55">
        <v>0</v>
      </c>
      <c r="AC344" s="55">
        <v>5.9</v>
      </c>
      <c r="AD344" s="57">
        <v>14.23</v>
      </c>
      <c r="AE344" s="56">
        <v>36</v>
      </c>
      <c r="AF344" s="54">
        <v>10.7</v>
      </c>
      <c r="AG344" s="55">
        <v>0</v>
      </c>
      <c r="AH344" s="55">
        <v>6</v>
      </c>
      <c r="AI344" s="57">
        <v>13.46</v>
      </c>
      <c r="AJ344" s="56">
        <v>36</v>
      </c>
      <c r="AK344" s="54">
        <v>10.6</v>
      </c>
      <c r="AL344" s="54">
        <v>0</v>
      </c>
      <c r="AM344" s="54">
        <v>5.8</v>
      </c>
      <c r="AN344" s="57">
        <v>12.5</v>
      </c>
      <c r="AO344" s="53">
        <v>35</v>
      </c>
      <c r="AP344" s="54">
        <v>10.5</v>
      </c>
      <c r="AQ344" s="54">
        <v>300</v>
      </c>
      <c r="AR344" s="54">
        <v>6</v>
      </c>
      <c r="AS344" s="57">
        <v>10.57</v>
      </c>
      <c r="AT344" s="56">
        <v>27</v>
      </c>
      <c r="AU344" s="57">
        <v>200</v>
      </c>
      <c r="AV344" s="56">
        <v>58.341472625732401</v>
      </c>
      <c r="AW344" s="57">
        <v>386.21853332519532</v>
      </c>
      <c r="AX344" s="8"/>
      <c r="AZ344" s="1">
        <v>90</v>
      </c>
    </row>
    <row r="345" spans="3:52" ht="15" customHeight="1" x14ac:dyDescent="0.25">
      <c r="C345" s="42"/>
      <c r="D345" s="43">
        <f>D340</f>
        <v>45685</v>
      </c>
      <c r="E345" s="44">
        <f t="shared" si="34"/>
        <v>27.666666666666544</v>
      </c>
      <c r="F345" s="45">
        <f t="shared" si="33"/>
        <v>45685.666666667465</v>
      </c>
      <c r="G345" s="52">
        <v>37</v>
      </c>
      <c r="H345" s="53">
        <v>37</v>
      </c>
      <c r="I345" s="54">
        <v>10.199999999999999</v>
      </c>
      <c r="J345" s="54">
        <v>300</v>
      </c>
      <c r="K345" s="55">
        <v>8.6999999999999993</v>
      </c>
      <c r="L345" s="56">
        <v>36</v>
      </c>
      <c r="M345" s="54">
        <v>10.7</v>
      </c>
      <c r="N345" s="54">
        <v>300</v>
      </c>
      <c r="O345" s="57">
        <v>8.8000000000000007</v>
      </c>
      <c r="P345" s="53">
        <v>36</v>
      </c>
      <c r="Q345" s="54">
        <v>10.6</v>
      </c>
      <c r="R345" s="55">
        <v>0</v>
      </c>
      <c r="S345" s="55">
        <v>6.9</v>
      </c>
      <c r="T345" s="57">
        <v>17.3</v>
      </c>
      <c r="U345" s="56">
        <v>34</v>
      </c>
      <c r="V345" s="54">
        <v>10.7</v>
      </c>
      <c r="W345" s="55">
        <v>0</v>
      </c>
      <c r="X345" s="55">
        <v>7.1</v>
      </c>
      <c r="Y345" s="57">
        <v>14.42</v>
      </c>
      <c r="Z345" s="53">
        <v>36</v>
      </c>
      <c r="AA345" s="54">
        <v>10.7</v>
      </c>
      <c r="AB345" s="55">
        <v>0</v>
      </c>
      <c r="AC345" s="55">
        <v>7</v>
      </c>
      <c r="AD345" s="57">
        <v>13.46</v>
      </c>
      <c r="AE345" s="56">
        <v>35</v>
      </c>
      <c r="AF345" s="54">
        <v>10.5</v>
      </c>
      <c r="AG345" s="55">
        <v>0</v>
      </c>
      <c r="AH345" s="55">
        <v>6.5</v>
      </c>
      <c r="AI345" s="57">
        <v>13.46</v>
      </c>
      <c r="AJ345" s="56">
        <v>35</v>
      </c>
      <c r="AK345" s="54">
        <v>10.5</v>
      </c>
      <c r="AL345" s="54">
        <v>0</v>
      </c>
      <c r="AM345" s="54">
        <v>6</v>
      </c>
      <c r="AN345" s="57">
        <v>13.84</v>
      </c>
      <c r="AO345" s="53">
        <v>33</v>
      </c>
      <c r="AP345" s="54">
        <v>10.4</v>
      </c>
      <c r="AQ345" s="54">
        <v>270</v>
      </c>
      <c r="AR345" s="54">
        <v>6.1</v>
      </c>
      <c r="AS345" s="57">
        <v>11.53</v>
      </c>
      <c r="AT345" s="56">
        <v>28</v>
      </c>
      <c r="AU345" s="57">
        <v>200</v>
      </c>
      <c r="AV345" s="56">
        <v>58.0078125</v>
      </c>
      <c r="AW345" s="57">
        <v>384.23804054260256</v>
      </c>
      <c r="AX345" s="8"/>
      <c r="AZ345" s="1">
        <v>90</v>
      </c>
    </row>
    <row r="346" spans="3:52" ht="15" customHeight="1" x14ac:dyDescent="0.25">
      <c r="C346" s="42"/>
      <c r="D346" s="43">
        <f>D340</f>
        <v>45685</v>
      </c>
      <c r="E346" s="44">
        <f t="shared" si="34"/>
        <v>27.749999999999876</v>
      </c>
      <c r="F346" s="45">
        <f t="shared" si="33"/>
        <v>45685.7500000008</v>
      </c>
      <c r="G346" s="52">
        <v>37</v>
      </c>
      <c r="H346" s="53">
        <v>38</v>
      </c>
      <c r="I346" s="54">
        <v>10.6</v>
      </c>
      <c r="J346" s="54">
        <v>350</v>
      </c>
      <c r="K346" s="55">
        <v>7.9</v>
      </c>
      <c r="L346" s="56">
        <v>37</v>
      </c>
      <c r="M346" s="54">
        <v>10.8</v>
      </c>
      <c r="N346" s="54">
        <v>300</v>
      </c>
      <c r="O346" s="57">
        <v>8.1999999999999993</v>
      </c>
      <c r="P346" s="53">
        <v>37</v>
      </c>
      <c r="Q346" s="54">
        <v>10.7</v>
      </c>
      <c r="R346" s="55">
        <v>0</v>
      </c>
      <c r="S346" s="55">
        <v>6.8</v>
      </c>
      <c r="T346" s="57">
        <v>17.100000000000001</v>
      </c>
      <c r="U346" s="56">
        <v>35</v>
      </c>
      <c r="V346" s="54">
        <v>10.7</v>
      </c>
      <c r="W346" s="55">
        <v>0</v>
      </c>
      <c r="X346" s="55">
        <v>6.6</v>
      </c>
      <c r="Y346" s="57">
        <v>14.09</v>
      </c>
      <c r="Z346" s="53">
        <v>35</v>
      </c>
      <c r="AA346" s="54">
        <v>10.6</v>
      </c>
      <c r="AB346" s="55">
        <v>0</v>
      </c>
      <c r="AC346" s="55">
        <v>6.7</v>
      </c>
      <c r="AD346" s="57">
        <v>14.03</v>
      </c>
      <c r="AE346" s="56">
        <v>34</v>
      </c>
      <c r="AF346" s="54">
        <v>10.5</v>
      </c>
      <c r="AG346" s="55">
        <v>0</v>
      </c>
      <c r="AH346" s="55">
        <v>6.4</v>
      </c>
      <c r="AI346" s="57">
        <v>13.46</v>
      </c>
      <c r="AJ346" s="56">
        <v>35</v>
      </c>
      <c r="AK346" s="54">
        <v>10.5</v>
      </c>
      <c r="AL346" s="54">
        <v>0</v>
      </c>
      <c r="AM346" s="54">
        <v>6.8</v>
      </c>
      <c r="AN346" s="57">
        <v>12.5</v>
      </c>
      <c r="AO346" s="53">
        <v>34</v>
      </c>
      <c r="AP346" s="54">
        <v>10.5</v>
      </c>
      <c r="AQ346" s="54">
        <v>270</v>
      </c>
      <c r="AR346" s="54">
        <v>5.9</v>
      </c>
      <c r="AS346" s="57">
        <v>11.73</v>
      </c>
      <c r="AT346" s="56">
        <v>30</v>
      </c>
      <c r="AU346" s="57">
        <v>190</v>
      </c>
      <c r="AV346" s="56">
        <v>57.954914093017599</v>
      </c>
      <c r="AW346" s="57">
        <v>389.8542386372884</v>
      </c>
      <c r="AX346" s="8"/>
      <c r="AZ346" s="1">
        <v>90</v>
      </c>
    </row>
    <row r="347" spans="3:52" ht="15" customHeight="1" x14ac:dyDescent="0.25">
      <c r="C347" s="42"/>
      <c r="D347" s="43">
        <f>D340</f>
        <v>45685</v>
      </c>
      <c r="E347" s="44">
        <f t="shared" si="34"/>
        <v>27.833333333333208</v>
      </c>
      <c r="F347" s="45">
        <f t="shared" si="33"/>
        <v>45685.833333334136</v>
      </c>
      <c r="G347" s="52">
        <v>35</v>
      </c>
      <c r="H347" s="53">
        <v>37</v>
      </c>
      <c r="I347" s="54">
        <v>10.3</v>
      </c>
      <c r="J347" s="54">
        <v>250</v>
      </c>
      <c r="K347" s="55">
        <v>7.3</v>
      </c>
      <c r="L347" s="56">
        <v>36</v>
      </c>
      <c r="M347" s="54">
        <v>10.5</v>
      </c>
      <c r="N347" s="54">
        <v>250</v>
      </c>
      <c r="O347" s="57">
        <v>8.4</v>
      </c>
      <c r="P347" s="53">
        <v>38</v>
      </c>
      <c r="Q347" s="54">
        <v>10.6</v>
      </c>
      <c r="R347" s="55">
        <v>0</v>
      </c>
      <c r="S347" s="55">
        <v>6.9</v>
      </c>
      <c r="T347" s="57">
        <v>15.3</v>
      </c>
      <c r="U347" s="56">
        <v>38</v>
      </c>
      <c r="V347" s="54">
        <v>10.6</v>
      </c>
      <c r="W347" s="55">
        <v>0</v>
      </c>
      <c r="X347" s="55">
        <v>6.6</v>
      </c>
      <c r="Y347" s="57">
        <v>14.2</v>
      </c>
      <c r="Z347" s="53">
        <v>36</v>
      </c>
      <c r="AA347" s="54">
        <v>10.6</v>
      </c>
      <c r="AB347" s="55">
        <v>0</v>
      </c>
      <c r="AC347" s="55">
        <v>6.2</v>
      </c>
      <c r="AD347" s="57">
        <v>14.2</v>
      </c>
      <c r="AE347" s="56">
        <v>36</v>
      </c>
      <c r="AF347" s="54">
        <v>10.5</v>
      </c>
      <c r="AG347" s="55">
        <v>0</v>
      </c>
      <c r="AH347" s="55">
        <v>6</v>
      </c>
      <c r="AI347" s="57">
        <v>13.4</v>
      </c>
      <c r="AJ347" s="56">
        <v>39</v>
      </c>
      <c r="AK347" s="54">
        <v>10.5</v>
      </c>
      <c r="AL347" s="54">
        <v>0</v>
      </c>
      <c r="AM347" s="54">
        <v>6.1</v>
      </c>
      <c r="AN347" s="57">
        <v>12.5</v>
      </c>
      <c r="AO347" s="53">
        <v>38</v>
      </c>
      <c r="AP347" s="54">
        <v>10.5</v>
      </c>
      <c r="AQ347" s="54">
        <v>280</v>
      </c>
      <c r="AR347" s="54">
        <v>6</v>
      </c>
      <c r="AS347" s="57">
        <v>10.3</v>
      </c>
      <c r="AT347" s="56">
        <v>30</v>
      </c>
      <c r="AU347" s="57">
        <v>200</v>
      </c>
      <c r="AV347" s="56">
        <v>57.511394500732401</v>
      </c>
      <c r="AW347" s="57">
        <v>390.58883031209308</v>
      </c>
      <c r="AX347" s="8"/>
      <c r="AZ347" s="1">
        <v>90</v>
      </c>
    </row>
    <row r="348" spans="3:52" ht="15" customHeight="1" x14ac:dyDescent="0.25">
      <c r="C348" s="42"/>
      <c r="D348" s="43">
        <f>D340</f>
        <v>45685</v>
      </c>
      <c r="E348" s="44">
        <f t="shared" si="34"/>
        <v>27.91666666666654</v>
      </c>
      <c r="F348" s="45">
        <f t="shared" si="33"/>
        <v>45685.916666667472</v>
      </c>
      <c r="G348" s="52">
        <v>33</v>
      </c>
      <c r="H348" s="53">
        <v>38</v>
      </c>
      <c r="I348" s="54">
        <v>10.3</v>
      </c>
      <c r="J348" s="54">
        <v>200</v>
      </c>
      <c r="K348" s="55">
        <v>7.1</v>
      </c>
      <c r="L348" s="56">
        <v>35</v>
      </c>
      <c r="M348" s="54">
        <v>10.6</v>
      </c>
      <c r="N348" s="54">
        <v>200</v>
      </c>
      <c r="O348" s="57">
        <v>8.4</v>
      </c>
      <c r="P348" s="53">
        <v>37</v>
      </c>
      <c r="Q348" s="54">
        <v>10.6</v>
      </c>
      <c r="R348" s="55">
        <v>0</v>
      </c>
      <c r="S348" s="55">
        <v>6.7</v>
      </c>
      <c r="T348" s="57">
        <v>15.9</v>
      </c>
      <c r="U348" s="56">
        <v>37</v>
      </c>
      <c r="V348" s="54">
        <v>10.6</v>
      </c>
      <c r="W348" s="55">
        <v>0</v>
      </c>
      <c r="X348" s="55">
        <v>6.5</v>
      </c>
      <c r="Y348" s="57">
        <v>14.2</v>
      </c>
      <c r="Z348" s="53">
        <v>37</v>
      </c>
      <c r="AA348" s="54">
        <v>10.6</v>
      </c>
      <c r="AB348" s="55">
        <v>0</v>
      </c>
      <c r="AC348" s="55">
        <v>6</v>
      </c>
      <c r="AD348" s="57">
        <v>14.2</v>
      </c>
      <c r="AE348" s="56">
        <v>36</v>
      </c>
      <c r="AF348" s="54">
        <v>10.6</v>
      </c>
      <c r="AG348" s="55">
        <v>0</v>
      </c>
      <c r="AH348" s="55">
        <v>5.9</v>
      </c>
      <c r="AI348" s="57">
        <v>13.6</v>
      </c>
      <c r="AJ348" s="56">
        <v>35</v>
      </c>
      <c r="AK348" s="54">
        <v>10.6</v>
      </c>
      <c r="AL348" s="54">
        <v>200</v>
      </c>
      <c r="AM348" s="54">
        <v>6.2</v>
      </c>
      <c r="AN348" s="57">
        <v>11.3</v>
      </c>
      <c r="AO348" s="53">
        <v>0</v>
      </c>
      <c r="AP348" s="54">
        <v>0</v>
      </c>
      <c r="AQ348" s="54">
        <v>0</v>
      </c>
      <c r="AR348" s="54">
        <v>0</v>
      </c>
      <c r="AS348" s="57">
        <v>0</v>
      </c>
      <c r="AT348" s="56">
        <v>29</v>
      </c>
      <c r="AU348" s="57">
        <v>190</v>
      </c>
      <c r="AV348" s="56">
        <v>57.942707061767599</v>
      </c>
      <c r="AW348" s="57">
        <v>390.22653834025067</v>
      </c>
      <c r="AX348" s="8"/>
      <c r="AZ348" s="1">
        <v>90</v>
      </c>
    </row>
    <row r="349" spans="3:52" ht="15" customHeight="1" x14ac:dyDescent="0.25">
      <c r="C349" s="42"/>
      <c r="D349" s="43">
        <f>D340</f>
        <v>45685</v>
      </c>
      <c r="E349" s="44">
        <f t="shared" si="34"/>
        <v>27.999999999999872</v>
      </c>
      <c r="F349" s="45">
        <f t="shared" si="33"/>
        <v>45686.000000000808</v>
      </c>
      <c r="G349" s="52">
        <v>37</v>
      </c>
      <c r="H349" s="53">
        <v>37</v>
      </c>
      <c r="I349" s="54">
        <v>10.6</v>
      </c>
      <c r="J349" s="54">
        <v>350</v>
      </c>
      <c r="K349" s="55">
        <v>7.4</v>
      </c>
      <c r="L349" s="56">
        <v>38</v>
      </c>
      <c r="M349" s="54">
        <v>10.6</v>
      </c>
      <c r="N349" s="54">
        <v>300</v>
      </c>
      <c r="O349" s="57">
        <v>8</v>
      </c>
      <c r="P349" s="53">
        <v>38</v>
      </c>
      <c r="Q349" s="54">
        <v>10.6</v>
      </c>
      <c r="R349" s="55">
        <v>0</v>
      </c>
      <c r="S349" s="55">
        <v>6.4</v>
      </c>
      <c r="T349" s="57">
        <v>15.9</v>
      </c>
      <c r="U349" s="56">
        <v>37</v>
      </c>
      <c r="V349" s="54">
        <v>10.6</v>
      </c>
      <c r="W349" s="55">
        <v>0</v>
      </c>
      <c r="X349" s="55">
        <v>6.5</v>
      </c>
      <c r="Y349" s="57">
        <v>14.2</v>
      </c>
      <c r="Z349" s="53">
        <v>38</v>
      </c>
      <c r="AA349" s="54">
        <v>10.6</v>
      </c>
      <c r="AB349" s="55">
        <v>0</v>
      </c>
      <c r="AC349" s="55">
        <v>6.1</v>
      </c>
      <c r="AD349" s="57">
        <v>13.2</v>
      </c>
      <c r="AE349" s="56">
        <v>36</v>
      </c>
      <c r="AF349" s="54">
        <v>10.6</v>
      </c>
      <c r="AG349" s="55">
        <v>0</v>
      </c>
      <c r="AH349" s="55">
        <v>5.7</v>
      </c>
      <c r="AI349" s="57">
        <v>13.6</v>
      </c>
      <c r="AJ349" s="56">
        <v>36</v>
      </c>
      <c r="AK349" s="54">
        <v>10.6</v>
      </c>
      <c r="AL349" s="54">
        <v>0</v>
      </c>
      <c r="AM349" s="54">
        <v>5.9</v>
      </c>
      <c r="AN349" s="57">
        <v>11.3</v>
      </c>
      <c r="AO349" s="53">
        <v>37</v>
      </c>
      <c r="AP349" s="54">
        <v>10.6</v>
      </c>
      <c r="AQ349" s="54">
        <v>300</v>
      </c>
      <c r="AR349" s="54">
        <v>5.6</v>
      </c>
      <c r="AS349" s="57">
        <v>10.7</v>
      </c>
      <c r="AT349" s="56">
        <v>31</v>
      </c>
      <c r="AU349" s="57">
        <v>220</v>
      </c>
      <c r="AV349" s="56">
        <v>57.975261688232401</v>
      </c>
      <c r="AW349" s="57">
        <v>388.87381820678712</v>
      </c>
      <c r="AX349" s="8"/>
      <c r="AZ349" s="1">
        <v>90</v>
      </c>
    </row>
    <row r="350" spans="3:52" ht="15" customHeight="1" x14ac:dyDescent="0.25">
      <c r="C350" s="42"/>
      <c r="D350" s="43">
        <f>D340</f>
        <v>45685</v>
      </c>
      <c r="E350" s="44">
        <f t="shared" si="34"/>
        <v>28.083333333333204</v>
      </c>
      <c r="F350" s="45">
        <f t="shared" si="33"/>
        <v>45686.083333334143</v>
      </c>
      <c r="G350" s="52">
        <v>36</v>
      </c>
      <c r="H350" s="53">
        <v>37</v>
      </c>
      <c r="I350" s="54">
        <v>10.5</v>
      </c>
      <c r="J350" s="54">
        <v>350</v>
      </c>
      <c r="K350" s="55">
        <v>7.1</v>
      </c>
      <c r="L350" s="56">
        <v>37</v>
      </c>
      <c r="M350" s="54">
        <v>10.5</v>
      </c>
      <c r="N350" s="54">
        <v>300</v>
      </c>
      <c r="O350" s="57">
        <v>7.9</v>
      </c>
      <c r="P350" s="53">
        <v>38</v>
      </c>
      <c r="Q350" s="54">
        <v>10.5</v>
      </c>
      <c r="R350" s="55">
        <v>0</v>
      </c>
      <c r="S350" s="55">
        <v>6.1</v>
      </c>
      <c r="T350" s="57">
        <v>15.3</v>
      </c>
      <c r="U350" s="56">
        <v>37</v>
      </c>
      <c r="V350" s="54">
        <v>10.6</v>
      </c>
      <c r="W350" s="55">
        <v>0</v>
      </c>
      <c r="X350" s="55">
        <v>6.7</v>
      </c>
      <c r="Y350" s="57">
        <v>14.4</v>
      </c>
      <c r="Z350" s="53">
        <v>36</v>
      </c>
      <c r="AA350" s="54">
        <v>10.6</v>
      </c>
      <c r="AB350" s="55">
        <v>0</v>
      </c>
      <c r="AC350" s="55">
        <v>6.1</v>
      </c>
      <c r="AD350" s="57">
        <v>14.2</v>
      </c>
      <c r="AE350" s="56">
        <v>35</v>
      </c>
      <c r="AF350" s="54">
        <v>10.6</v>
      </c>
      <c r="AG350" s="55">
        <v>0</v>
      </c>
      <c r="AH350" s="55">
        <v>5.4</v>
      </c>
      <c r="AI350" s="57">
        <v>13.6</v>
      </c>
      <c r="AJ350" s="56">
        <v>38</v>
      </c>
      <c r="AK350" s="54">
        <v>10.6</v>
      </c>
      <c r="AL350" s="54">
        <v>0</v>
      </c>
      <c r="AM350" s="54">
        <v>5.7</v>
      </c>
      <c r="AN350" s="57">
        <v>12.5</v>
      </c>
      <c r="AO350" s="53">
        <v>36</v>
      </c>
      <c r="AP350" s="54">
        <v>10.5</v>
      </c>
      <c r="AQ350" s="54">
        <v>290</v>
      </c>
      <c r="AR350" s="54">
        <v>5.2</v>
      </c>
      <c r="AS350" s="57">
        <v>10.3</v>
      </c>
      <c r="AT350" s="56">
        <v>31</v>
      </c>
      <c r="AU350" s="57">
        <v>220</v>
      </c>
      <c r="AV350" s="56">
        <v>58.0322265625</v>
      </c>
      <c r="AW350" s="57">
        <v>387.86615066528321</v>
      </c>
      <c r="AX350" s="8"/>
      <c r="AZ350" s="1">
        <v>90</v>
      </c>
    </row>
    <row r="351" spans="3:52" ht="15" customHeight="1" x14ac:dyDescent="0.25">
      <c r="C351" s="42"/>
      <c r="D351" s="69">
        <f>D340</f>
        <v>45685</v>
      </c>
      <c r="E351" s="70">
        <f t="shared" si="34"/>
        <v>28.166666666666536</v>
      </c>
      <c r="F351" s="71">
        <f t="shared" si="33"/>
        <v>45686.166666667479</v>
      </c>
      <c r="G351" s="60">
        <v>38</v>
      </c>
      <c r="H351" s="61">
        <v>35</v>
      </c>
      <c r="I351" s="62">
        <v>10.199999999999999</v>
      </c>
      <c r="J351" s="62">
        <v>300</v>
      </c>
      <c r="K351" s="63">
        <v>7.4</v>
      </c>
      <c r="L351" s="64">
        <v>36</v>
      </c>
      <c r="M351" s="62">
        <v>10.9</v>
      </c>
      <c r="N351" s="62">
        <v>300</v>
      </c>
      <c r="O351" s="65">
        <v>8.4</v>
      </c>
      <c r="P351" s="61">
        <v>35</v>
      </c>
      <c r="Q351" s="62">
        <v>10.4</v>
      </c>
      <c r="R351" s="63">
        <v>0</v>
      </c>
      <c r="S351" s="63">
        <v>6.1</v>
      </c>
      <c r="T351" s="65">
        <v>16.3</v>
      </c>
      <c r="U351" s="64">
        <v>36</v>
      </c>
      <c r="V351" s="62">
        <v>10.5</v>
      </c>
      <c r="W351" s="63">
        <v>0</v>
      </c>
      <c r="X351" s="63">
        <v>6.6</v>
      </c>
      <c r="Y351" s="65">
        <v>14.4</v>
      </c>
      <c r="Z351" s="61">
        <v>36</v>
      </c>
      <c r="AA351" s="62">
        <v>10.6</v>
      </c>
      <c r="AB351" s="63">
        <v>0</v>
      </c>
      <c r="AC351" s="63">
        <v>6.6</v>
      </c>
      <c r="AD351" s="65">
        <v>13.4</v>
      </c>
      <c r="AE351" s="64">
        <v>36</v>
      </c>
      <c r="AF351" s="62">
        <v>10.6</v>
      </c>
      <c r="AG351" s="63">
        <v>0</v>
      </c>
      <c r="AH351" s="63">
        <v>6.1</v>
      </c>
      <c r="AI351" s="65">
        <v>12.8</v>
      </c>
      <c r="AJ351" s="64">
        <v>36</v>
      </c>
      <c r="AK351" s="62">
        <v>10.6</v>
      </c>
      <c r="AL351" s="62">
        <v>0</v>
      </c>
      <c r="AM351" s="62">
        <v>6.1</v>
      </c>
      <c r="AN351" s="65">
        <v>12.8</v>
      </c>
      <c r="AO351" s="61">
        <v>34</v>
      </c>
      <c r="AP351" s="62">
        <v>10.5</v>
      </c>
      <c r="AQ351" s="62">
        <v>300</v>
      </c>
      <c r="AR351" s="62">
        <v>5.9</v>
      </c>
      <c r="AS351" s="65">
        <v>11.1</v>
      </c>
      <c r="AT351" s="64">
        <v>30</v>
      </c>
      <c r="AU351" s="65">
        <v>210</v>
      </c>
      <c r="AV351" s="64">
        <v>58.858234405517599</v>
      </c>
      <c r="AW351" s="65">
        <v>386.47786432902018</v>
      </c>
      <c r="AX351" s="8"/>
      <c r="AZ351" s="1">
        <v>90</v>
      </c>
    </row>
    <row r="352" spans="3:52" ht="15" customHeight="1" x14ac:dyDescent="0.25">
      <c r="C352" s="42">
        <f>DAY(D352)</f>
        <v>29</v>
      </c>
      <c r="D352" s="66">
        <f>D340+1</f>
        <v>45686</v>
      </c>
      <c r="E352" s="67">
        <f>E351+2/24</f>
        <v>28.249999999999869</v>
      </c>
      <c r="F352" s="68">
        <f t="shared" si="33"/>
        <v>45686.250000000815</v>
      </c>
      <c r="G352" s="46">
        <v>42</v>
      </c>
      <c r="H352" s="47">
        <v>36</v>
      </c>
      <c r="I352" s="48">
        <v>10.4</v>
      </c>
      <c r="J352" s="48">
        <v>300</v>
      </c>
      <c r="K352" s="49">
        <v>7.7</v>
      </c>
      <c r="L352" s="50">
        <v>37</v>
      </c>
      <c r="M352" s="48">
        <v>10.5</v>
      </c>
      <c r="N352" s="48">
        <v>300</v>
      </c>
      <c r="O352" s="51">
        <v>8.1999999999999993</v>
      </c>
      <c r="P352" s="47">
        <v>37</v>
      </c>
      <c r="Q352" s="48">
        <v>10.5</v>
      </c>
      <c r="R352" s="49">
        <v>0</v>
      </c>
      <c r="S352" s="49">
        <v>6.3</v>
      </c>
      <c r="T352" s="51">
        <v>16.3</v>
      </c>
      <c r="U352" s="50">
        <v>36</v>
      </c>
      <c r="V352" s="48">
        <v>10.6</v>
      </c>
      <c r="W352" s="49">
        <v>0</v>
      </c>
      <c r="X352" s="49">
        <v>6.6</v>
      </c>
      <c r="Y352" s="51">
        <v>14.2</v>
      </c>
      <c r="Z352" s="47">
        <v>36</v>
      </c>
      <c r="AA352" s="48">
        <v>10.6</v>
      </c>
      <c r="AB352" s="49">
        <v>0</v>
      </c>
      <c r="AC352" s="49">
        <v>6.4</v>
      </c>
      <c r="AD352" s="51">
        <v>13.4</v>
      </c>
      <c r="AE352" s="50">
        <v>35</v>
      </c>
      <c r="AF352" s="48">
        <v>10.6</v>
      </c>
      <c r="AG352" s="49">
        <v>0</v>
      </c>
      <c r="AH352" s="49">
        <v>6.3</v>
      </c>
      <c r="AI352" s="51">
        <v>13.4</v>
      </c>
      <c r="AJ352" s="50">
        <v>37</v>
      </c>
      <c r="AK352" s="48">
        <v>10.6</v>
      </c>
      <c r="AL352" s="48">
        <v>0</v>
      </c>
      <c r="AM352" s="48">
        <v>6</v>
      </c>
      <c r="AN352" s="51">
        <v>12.5</v>
      </c>
      <c r="AO352" s="47">
        <v>34</v>
      </c>
      <c r="AP352" s="48">
        <v>10.5</v>
      </c>
      <c r="AQ352" s="48">
        <v>300</v>
      </c>
      <c r="AR352" s="48">
        <v>5.7</v>
      </c>
      <c r="AS352" s="51">
        <v>11.1</v>
      </c>
      <c r="AT352" s="50">
        <v>28</v>
      </c>
      <c r="AU352" s="51">
        <v>200</v>
      </c>
      <c r="AV352" s="50">
        <v>58.402507781982401</v>
      </c>
      <c r="AW352" s="51">
        <v>388.22241566975913</v>
      </c>
      <c r="AX352" s="8"/>
      <c r="AZ352" s="1">
        <v>90</v>
      </c>
    </row>
    <row r="353" spans="3:52" ht="15" customHeight="1" x14ac:dyDescent="0.25">
      <c r="C353" s="42"/>
      <c r="D353" s="43">
        <f>D352</f>
        <v>45686</v>
      </c>
      <c r="E353" s="44">
        <f>E352+2/24</f>
        <v>28.333333333333201</v>
      </c>
      <c r="F353" s="45">
        <f t="shared" si="33"/>
        <v>45686.333333334151</v>
      </c>
      <c r="G353" s="52">
        <v>40</v>
      </c>
      <c r="H353" s="53">
        <v>39</v>
      </c>
      <c r="I353" s="54">
        <v>10.8</v>
      </c>
      <c r="J353" s="54">
        <v>350</v>
      </c>
      <c r="K353" s="55">
        <v>7</v>
      </c>
      <c r="L353" s="56">
        <v>37</v>
      </c>
      <c r="M353" s="54">
        <v>10.5</v>
      </c>
      <c r="N353" s="54">
        <v>350</v>
      </c>
      <c r="O353" s="57">
        <v>8.1999999999999993</v>
      </c>
      <c r="P353" s="53">
        <v>38</v>
      </c>
      <c r="Q353" s="54">
        <v>10.4</v>
      </c>
      <c r="R353" s="55">
        <v>0</v>
      </c>
      <c r="S353" s="55">
        <v>7.4</v>
      </c>
      <c r="T353" s="57">
        <v>16.34</v>
      </c>
      <c r="U353" s="56">
        <v>37</v>
      </c>
      <c r="V353" s="54">
        <v>10.5</v>
      </c>
      <c r="W353" s="55">
        <v>0</v>
      </c>
      <c r="X353" s="55">
        <v>6.1</v>
      </c>
      <c r="Y353" s="57">
        <v>13.84</v>
      </c>
      <c r="Z353" s="53">
        <v>38</v>
      </c>
      <c r="AA353" s="54">
        <v>10.6</v>
      </c>
      <c r="AB353" s="55">
        <v>0</v>
      </c>
      <c r="AC353" s="55">
        <v>6.6</v>
      </c>
      <c r="AD353" s="57">
        <v>13.46</v>
      </c>
      <c r="AE353" s="56">
        <v>39</v>
      </c>
      <c r="AF353" s="54">
        <v>10.6</v>
      </c>
      <c r="AG353" s="55">
        <v>0</v>
      </c>
      <c r="AH353" s="55">
        <v>5.8</v>
      </c>
      <c r="AI353" s="57">
        <v>14.42</v>
      </c>
      <c r="AJ353" s="56">
        <v>36</v>
      </c>
      <c r="AK353" s="54">
        <v>10.6</v>
      </c>
      <c r="AL353" s="54">
        <v>0</v>
      </c>
      <c r="AM353" s="54">
        <v>5.9</v>
      </c>
      <c r="AN353" s="57">
        <v>13.84</v>
      </c>
      <c r="AO353" s="53">
        <v>38</v>
      </c>
      <c r="AP353" s="54">
        <v>10.6</v>
      </c>
      <c r="AQ353" s="54">
        <v>200</v>
      </c>
      <c r="AR353" s="54">
        <v>5.2</v>
      </c>
      <c r="AS353" s="57">
        <v>9.01</v>
      </c>
      <c r="AT353" s="56">
        <v>29</v>
      </c>
      <c r="AU353" s="57">
        <v>160</v>
      </c>
      <c r="AV353" s="56">
        <v>58.77685546875</v>
      </c>
      <c r="AW353" s="57">
        <v>387.21788228352864</v>
      </c>
      <c r="AX353" s="8"/>
      <c r="AZ353" s="1">
        <v>90</v>
      </c>
    </row>
    <row r="354" spans="3:52" ht="15" customHeight="1" x14ac:dyDescent="0.25">
      <c r="C354" s="42"/>
      <c r="D354" s="43">
        <f>D352</f>
        <v>45686</v>
      </c>
      <c r="E354" s="44">
        <f t="shared" ref="E354:E363" si="35">E353+2/24</f>
        <v>28.416666666666533</v>
      </c>
      <c r="F354" s="45">
        <f t="shared" si="33"/>
        <v>45686.416666667486</v>
      </c>
      <c r="G354" s="52">
        <v>41</v>
      </c>
      <c r="H354" s="53">
        <v>38</v>
      </c>
      <c r="I354" s="54">
        <v>10.4</v>
      </c>
      <c r="J354" s="54">
        <v>300</v>
      </c>
      <c r="K354" s="55">
        <v>8.1</v>
      </c>
      <c r="L354" s="56">
        <v>39</v>
      </c>
      <c r="M354" s="54">
        <v>10.5</v>
      </c>
      <c r="N354" s="54">
        <v>250</v>
      </c>
      <c r="O354" s="57">
        <v>7.8</v>
      </c>
      <c r="P354" s="53">
        <v>37</v>
      </c>
      <c r="Q354" s="54">
        <v>10.4</v>
      </c>
      <c r="R354" s="55">
        <v>0</v>
      </c>
      <c r="S354" s="55">
        <v>7.2</v>
      </c>
      <c r="T354" s="57">
        <v>16.73</v>
      </c>
      <c r="U354" s="56">
        <v>37</v>
      </c>
      <c r="V354" s="54">
        <v>10.4</v>
      </c>
      <c r="W354" s="55">
        <v>0</v>
      </c>
      <c r="X354" s="55">
        <v>6</v>
      </c>
      <c r="Y354" s="57">
        <v>14.46</v>
      </c>
      <c r="Z354" s="53">
        <v>37</v>
      </c>
      <c r="AA354" s="54">
        <v>10.5</v>
      </c>
      <c r="AB354" s="55">
        <v>0</v>
      </c>
      <c r="AC354" s="55">
        <v>6</v>
      </c>
      <c r="AD354" s="57">
        <v>13.07</v>
      </c>
      <c r="AE354" s="56">
        <v>37</v>
      </c>
      <c r="AF354" s="54">
        <v>10.5</v>
      </c>
      <c r="AG354" s="55">
        <v>0</v>
      </c>
      <c r="AH354" s="55">
        <v>6.2</v>
      </c>
      <c r="AI354" s="57">
        <v>14.61</v>
      </c>
      <c r="AJ354" s="56">
        <v>36</v>
      </c>
      <c r="AK354" s="54">
        <v>10.5</v>
      </c>
      <c r="AL354" s="54">
        <v>0</v>
      </c>
      <c r="AM354" s="54">
        <v>6.1</v>
      </c>
      <c r="AN354" s="57">
        <v>13.26</v>
      </c>
      <c r="AO354" s="53">
        <v>37</v>
      </c>
      <c r="AP354" s="54">
        <v>10.5</v>
      </c>
      <c r="AQ354" s="54">
        <v>200</v>
      </c>
      <c r="AR354" s="54">
        <v>5.3</v>
      </c>
      <c r="AS354" s="57">
        <v>10.59</v>
      </c>
      <c r="AT354" s="56">
        <v>30</v>
      </c>
      <c r="AU354" s="57">
        <v>170</v>
      </c>
      <c r="AV354" s="56">
        <v>59.330242156982401</v>
      </c>
      <c r="AW354" s="57">
        <v>386.48582204182941</v>
      </c>
      <c r="AX354" s="8"/>
      <c r="AZ354" s="1">
        <v>90</v>
      </c>
    </row>
    <row r="355" spans="3:52" ht="15" customHeight="1" x14ac:dyDescent="0.25">
      <c r="C355" s="42"/>
      <c r="D355" s="43">
        <f>D352</f>
        <v>45686</v>
      </c>
      <c r="E355" s="44">
        <f t="shared" si="35"/>
        <v>28.499999999999865</v>
      </c>
      <c r="F355" s="45">
        <f t="shared" si="33"/>
        <v>45686.500000000822</v>
      </c>
      <c r="G355" s="52">
        <v>40</v>
      </c>
      <c r="H355" s="53">
        <v>38</v>
      </c>
      <c r="I355" s="54">
        <v>10.5</v>
      </c>
      <c r="J355" s="54">
        <v>300</v>
      </c>
      <c r="K355" s="55">
        <v>8.1999999999999993</v>
      </c>
      <c r="L355" s="56">
        <v>39</v>
      </c>
      <c r="M355" s="54">
        <v>10.5</v>
      </c>
      <c r="N355" s="54">
        <v>250</v>
      </c>
      <c r="O355" s="57">
        <v>7.7</v>
      </c>
      <c r="P355" s="53">
        <v>38</v>
      </c>
      <c r="Q355" s="54">
        <v>10.4</v>
      </c>
      <c r="R355" s="55">
        <v>0</v>
      </c>
      <c r="S355" s="55">
        <v>7.5</v>
      </c>
      <c r="T355" s="57">
        <v>18.34</v>
      </c>
      <c r="U355" s="56">
        <v>37</v>
      </c>
      <c r="V355" s="54">
        <v>10.4</v>
      </c>
      <c r="W355" s="55">
        <v>0</v>
      </c>
      <c r="X355" s="55">
        <v>6.5</v>
      </c>
      <c r="Y355" s="57">
        <v>13.84</v>
      </c>
      <c r="Z355" s="53">
        <v>37</v>
      </c>
      <c r="AA355" s="54">
        <v>10.5</v>
      </c>
      <c r="AB355" s="55">
        <v>0</v>
      </c>
      <c r="AC355" s="55">
        <v>6.2</v>
      </c>
      <c r="AD355" s="57">
        <v>13.46</v>
      </c>
      <c r="AE355" s="56">
        <v>37</v>
      </c>
      <c r="AF355" s="54">
        <v>10.5</v>
      </c>
      <c r="AG355" s="55">
        <v>0</v>
      </c>
      <c r="AH355" s="55">
        <v>6.3</v>
      </c>
      <c r="AI355" s="57">
        <v>14.42</v>
      </c>
      <c r="AJ355" s="56">
        <v>36</v>
      </c>
      <c r="AK355" s="54">
        <v>10.5</v>
      </c>
      <c r="AL355" s="54">
        <v>0</v>
      </c>
      <c r="AM355" s="54">
        <v>6</v>
      </c>
      <c r="AN355" s="57">
        <v>13.84</v>
      </c>
      <c r="AO355" s="53">
        <v>36</v>
      </c>
      <c r="AP355" s="54">
        <v>10.5</v>
      </c>
      <c r="AQ355" s="54">
        <v>200</v>
      </c>
      <c r="AR355" s="54">
        <v>5.5</v>
      </c>
      <c r="AS355" s="57">
        <v>9.01</v>
      </c>
      <c r="AT355" s="56">
        <v>30</v>
      </c>
      <c r="AU355" s="57">
        <v>170</v>
      </c>
      <c r="AV355" s="56">
        <v>58.642578125</v>
      </c>
      <c r="AW355" s="57">
        <v>385.69661432902018</v>
      </c>
      <c r="AX355" s="8"/>
      <c r="AZ355" s="1">
        <v>90</v>
      </c>
    </row>
    <row r="356" spans="3:52" ht="15" customHeight="1" x14ac:dyDescent="0.25">
      <c r="C356" s="42"/>
      <c r="D356" s="43">
        <f>D352</f>
        <v>45686</v>
      </c>
      <c r="E356" s="44">
        <f t="shared" si="35"/>
        <v>28.583333333333197</v>
      </c>
      <c r="F356" s="45">
        <f t="shared" si="33"/>
        <v>45686.583333334158</v>
      </c>
      <c r="G356" s="52">
        <v>40</v>
      </c>
      <c r="H356" s="53">
        <v>39</v>
      </c>
      <c r="I356" s="54">
        <v>10</v>
      </c>
      <c r="J356" s="54">
        <v>200</v>
      </c>
      <c r="K356" s="55">
        <v>7</v>
      </c>
      <c r="L356" s="56">
        <v>37</v>
      </c>
      <c r="M356" s="54">
        <v>10.1</v>
      </c>
      <c r="N356" s="54">
        <v>200</v>
      </c>
      <c r="O356" s="57">
        <v>8.1999999999999993</v>
      </c>
      <c r="P356" s="53">
        <v>36</v>
      </c>
      <c r="Q356" s="54">
        <v>10.4</v>
      </c>
      <c r="R356" s="55">
        <v>0</v>
      </c>
      <c r="S356" s="55">
        <v>7.4</v>
      </c>
      <c r="T356" s="57">
        <v>16.34</v>
      </c>
      <c r="U356" s="56">
        <v>36</v>
      </c>
      <c r="V356" s="54">
        <v>10.3</v>
      </c>
      <c r="W356" s="55">
        <v>0</v>
      </c>
      <c r="X356" s="55">
        <v>6.2</v>
      </c>
      <c r="Y356" s="57">
        <v>13.46</v>
      </c>
      <c r="Z356" s="53">
        <v>36</v>
      </c>
      <c r="AA356" s="54">
        <v>10.3</v>
      </c>
      <c r="AB356" s="55">
        <v>0</v>
      </c>
      <c r="AC356" s="55">
        <v>6.4</v>
      </c>
      <c r="AD356" s="57">
        <v>13.46</v>
      </c>
      <c r="AE356" s="56">
        <v>35</v>
      </c>
      <c r="AF356" s="54">
        <v>10.3</v>
      </c>
      <c r="AG356" s="55">
        <v>0</v>
      </c>
      <c r="AH356" s="55">
        <v>6</v>
      </c>
      <c r="AI356" s="57">
        <v>14.8</v>
      </c>
      <c r="AJ356" s="56">
        <v>35</v>
      </c>
      <c r="AK356" s="54">
        <v>10.3</v>
      </c>
      <c r="AL356" s="54">
        <v>0</v>
      </c>
      <c r="AM356" s="54">
        <v>6.1</v>
      </c>
      <c r="AN356" s="57">
        <v>13.84</v>
      </c>
      <c r="AO356" s="53">
        <v>36</v>
      </c>
      <c r="AP356" s="54">
        <v>10.4</v>
      </c>
      <c r="AQ356" s="54">
        <v>370</v>
      </c>
      <c r="AR356" s="54">
        <v>5.8</v>
      </c>
      <c r="AS356" s="57">
        <v>10</v>
      </c>
      <c r="AT356" s="56">
        <v>28</v>
      </c>
      <c r="AU356" s="57">
        <v>200</v>
      </c>
      <c r="AV356" s="56">
        <v>58.87451171875</v>
      </c>
      <c r="AW356" s="57">
        <v>387.18231557210288</v>
      </c>
      <c r="AX356" s="8"/>
      <c r="AZ356" s="1">
        <v>90</v>
      </c>
    </row>
    <row r="357" spans="3:52" ht="15" customHeight="1" x14ac:dyDescent="0.25">
      <c r="C357" s="42"/>
      <c r="D357" s="43">
        <f>D352</f>
        <v>45686</v>
      </c>
      <c r="E357" s="44">
        <f t="shared" si="35"/>
        <v>28.666666666666529</v>
      </c>
      <c r="F357" s="45">
        <f t="shared" si="33"/>
        <v>45686.666666667494</v>
      </c>
      <c r="G357" s="52">
        <v>44</v>
      </c>
      <c r="H357" s="53">
        <v>40</v>
      </c>
      <c r="I357" s="54">
        <v>10.199999999999999</v>
      </c>
      <c r="J357" s="54">
        <v>300</v>
      </c>
      <c r="K357" s="55">
        <v>6.5</v>
      </c>
      <c r="L357" s="56">
        <v>38</v>
      </c>
      <c r="M357" s="54">
        <v>10</v>
      </c>
      <c r="N357" s="54">
        <v>250</v>
      </c>
      <c r="O357" s="57">
        <v>7.7</v>
      </c>
      <c r="P357" s="53">
        <v>35</v>
      </c>
      <c r="Q357" s="54">
        <v>10.4</v>
      </c>
      <c r="R357" s="55">
        <v>0</v>
      </c>
      <c r="S357" s="55">
        <v>6.9</v>
      </c>
      <c r="T357" s="57">
        <v>8.26</v>
      </c>
      <c r="U357" s="56">
        <v>36</v>
      </c>
      <c r="V357" s="54">
        <v>10.3</v>
      </c>
      <c r="W357" s="55">
        <v>0</v>
      </c>
      <c r="X357" s="55">
        <v>6.7</v>
      </c>
      <c r="Y357" s="57">
        <v>14.42</v>
      </c>
      <c r="Z357" s="53">
        <v>34</v>
      </c>
      <c r="AA357" s="54">
        <v>10.4</v>
      </c>
      <c r="AB357" s="55">
        <v>0</v>
      </c>
      <c r="AC357" s="55">
        <v>6.1</v>
      </c>
      <c r="AD357" s="57">
        <v>13.46</v>
      </c>
      <c r="AE357" s="56">
        <v>37</v>
      </c>
      <c r="AF357" s="54">
        <v>10.3</v>
      </c>
      <c r="AG357" s="55">
        <v>0</v>
      </c>
      <c r="AH357" s="55">
        <v>6</v>
      </c>
      <c r="AI357" s="57">
        <v>12.5</v>
      </c>
      <c r="AJ357" s="56">
        <v>36</v>
      </c>
      <c r="AK357" s="54">
        <v>10.4</v>
      </c>
      <c r="AL357" s="54">
        <v>0</v>
      </c>
      <c r="AM357" s="54">
        <v>5.8</v>
      </c>
      <c r="AN357" s="57">
        <v>13.84</v>
      </c>
      <c r="AO357" s="53">
        <v>35</v>
      </c>
      <c r="AP357" s="54">
        <v>10.5</v>
      </c>
      <c r="AQ357" s="54">
        <v>250</v>
      </c>
      <c r="AR357" s="54">
        <v>4.9000000000000004</v>
      </c>
      <c r="AS357" s="57">
        <v>10.57</v>
      </c>
      <c r="AT357" s="56">
        <v>27</v>
      </c>
      <c r="AU357" s="57">
        <v>180</v>
      </c>
      <c r="AV357" s="56">
        <v>58.793132781982401</v>
      </c>
      <c r="AW357" s="57">
        <v>380.32045777638751</v>
      </c>
      <c r="AX357" s="8"/>
      <c r="AZ357" s="1">
        <v>90</v>
      </c>
    </row>
    <row r="358" spans="3:52" ht="15" customHeight="1" x14ac:dyDescent="0.25">
      <c r="C358" s="42"/>
      <c r="D358" s="43">
        <f>D352</f>
        <v>45686</v>
      </c>
      <c r="E358" s="44">
        <f t="shared" si="35"/>
        <v>28.749999999999861</v>
      </c>
      <c r="F358" s="45">
        <f t="shared" si="33"/>
        <v>45686.750000000829</v>
      </c>
      <c r="G358" s="52">
        <v>43</v>
      </c>
      <c r="H358" s="53">
        <v>38</v>
      </c>
      <c r="I358" s="54">
        <v>10.3</v>
      </c>
      <c r="J358" s="54">
        <v>300</v>
      </c>
      <c r="K358" s="55">
        <v>6.5</v>
      </c>
      <c r="L358" s="56">
        <v>38</v>
      </c>
      <c r="M358" s="54">
        <v>10.199999999999999</v>
      </c>
      <c r="N358" s="54">
        <v>300</v>
      </c>
      <c r="O358" s="57">
        <v>7.2</v>
      </c>
      <c r="P358" s="53">
        <v>38</v>
      </c>
      <c r="Q358" s="54">
        <v>10.199999999999999</v>
      </c>
      <c r="R358" s="55">
        <v>0</v>
      </c>
      <c r="S358" s="55">
        <v>6.8</v>
      </c>
      <c r="T358" s="57">
        <v>6.34</v>
      </c>
      <c r="U358" s="56">
        <v>37</v>
      </c>
      <c r="V358" s="54">
        <v>10.3</v>
      </c>
      <c r="W358" s="55">
        <v>0</v>
      </c>
      <c r="X358" s="55">
        <v>6.4</v>
      </c>
      <c r="Y358" s="57">
        <v>13.89</v>
      </c>
      <c r="Z358" s="53">
        <v>34</v>
      </c>
      <c r="AA358" s="54">
        <v>10.4</v>
      </c>
      <c r="AB358" s="55">
        <v>0</v>
      </c>
      <c r="AC358" s="55">
        <v>6.2</v>
      </c>
      <c r="AD358" s="57">
        <v>14.07</v>
      </c>
      <c r="AE358" s="56">
        <v>37</v>
      </c>
      <c r="AF358" s="54">
        <v>10.4</v>
      </c>
      <c r="AG358" s="55">
        <v>0</v>
      </c>
      <c r="AH358" s="55">
        <v>6.2</v>
      </c>
      <c r="AI358" s="57">
        <v>14.61</v>
      </c>
      <c r="AJ358" s="56">
        <v>36</v>
      </c>
      <c r="AK358" s="54">
        <v>10.5</v>
      </c>
      <c r="AL358" s="54">
        <v>0</v>
      </c>
      <c r="AM358" s="54">
        <v>5.7</v>
      </c>
      <c r="AN358" s="57">
        <v>13.84</v>
      </c>
      <c r="AO358" s="53">
        <v>35</v>
      </c>
      <c r="AP358" s="54">
        <v>10.5</v>
      </c>
      <c r="AQ358" s="54">
        <v>250</v>
      </c>
      <c r="AR358" s="54">
        <v>4.8</v>
      </c>
      <c r="AS358" s="57">
        <v>10.57</v>
      </c>
      <c r="AT358" s="56">
        <v>28</v>
      </c>
      <c r="AU358" s="57">
        <v>180</v>
      </c>
      <c r="AV358" s="56">
        <v>58.736164093017599</v>
      </c>
      <c r="AW358" s="57">
        <v>384.2374375661214</v>
      </c>
      <c r="AX358" s="8"/>
      <c r="AZ358" s="1">
        <v>90</v>
      </c>
    </row>
    <row r="359" spans="3:52" ht="15" customHeight="1" x14ac:dyDescent="0.25">
      <c r="C359" s="42"/>
      <c r="D359" s="43">
        <f>D352</f>
        <v>45686</v>
      </c>
      <c r="E359" s="44">
        <f t="shared" si="35"/>
        <v>28.833333333333194</v>
      </c>
      <c r="F359" s="45">
        <f t="shared" si="33"/>
        <v>45686.833333334165</v>
      </c>
      <c r="G359" s="52">
        <v>40</v>
      </c>
      <c r="H359" s="53">
        <v>39</v>
      </c>
      <c r="I359" s="54">
        <v>10.199999999999999</v>
      </c>
      <c r="J359" s="54">
        <v>300</v>
      </c>
      <c r="K359" s="55">
        <v>7.8</v>
      </c>
      <c r="L359" s="56">
        <v>39</v>
      </c>
      <c r="M359" s="54">
        <v>10.1</v>
      </c>
      <c r="N359" s="54">
        <v>300</v>
      </c>
      <c r="O359" s="57">
        <v>7.8</v>
      </c>
      <c r="P359" s="53">
        <v>36</v>
      </c>
      <c r="Q359" s="54">
        <v>10.199999999999999</v>
      </c>
      <c r="R359" s="55">
        <v>0</v>
      </c>
      <c r="S359" s="55">
        <v>8</v>
      </c>
      <c r="T359" s="57">
        <v>9.8000000000000007</v>
      </c>
      <c r="U359" s="56">
        <v>36</v>
      </c>
      <c r="V359" s="54">
        <v>10.199999999999999</v>
      </c>
      <c r="W359" s="55">
        <v>0</v>
      </c>
      <c r="X359" s="55">
        <v>7.7</v>
      </c>
      <c r="Y359" s="57">
        <v>14.4</v>
      </c>
      <c r="Z359" s="53">
        <v>35</v>
      </c>
      <c r="AA359" s="54">
        <v>10.3</v>
      </c>
      <c r="AB359" s="55">
        <v>0</v>
      </c>
      <c r="AC359" s="55">
        <v>7.5</v>
      </c>
      <c r="AD359" s="57">
        <v>13.46</v>
      </c>
      <c r="AE359" s="56">
        <v>34</v>
      </c>
      <c r="AF359" s="54">
        <v>10.4</v>
      </c>
      <c r="AG359" s="55">
        <v>0</v>
      </c>
      <c r="AH359" s="55">
        <v>7.5</v>
      </c>
      <c r="AI359" s="57">
        <v>12.5</v>
      </c>
      <c r="AJ359" s="56">
        <v>35</v>
      </c>
      <c r="AK359" s="54">
        <v>10.4</v>
      </c>
      <c r="AL359" s="54">
        <v>0</v>
      </c>
      <c r="AM359" s="54">
        <v>7.6</v>
      </c>
      <c r="AN359" s="57">
        <v>13.46</v>
      </c>
      <c r="AO359" s="53">
        <v>37</v>
      </c>
      <c r="AP359" s="54">
        <v>10.4</v>
      </c>
      <c r="AQ359" s="54">
        <v>280</v>
      </c>
      <c r="AR359" s="54">
        <v>7.4</v>
      </c>
      <c r="AS359" s="57">
        <v>12.8</v>
      </c>
      <c r="AT359" s="56">
        <v>31</v>
      </c>
      <c r="AU359" s="57">
        <v>210</v>
      </c>
      <c r="AV359" s="56">
        <v>58.455402374267599</v>
      </c>
      <c r="AW359" s="57">
        <v>384.72415211995445</v>
      </c>
      <c r="AX359" s="8"/>
      <c r="AZ359" s="1">
        <v>90</v>
      </c>
    </row>
    <row r="360" spans="3:52" ht="15" customHeight="1" x14ac:dyDescent="0.25">
      <c r="C360" s="42"/>
      <c r="D360" s="43">
        <f>D352</f>
        <v>45686</v>
      </c>
      <c r="E360" s="44">
        <f t="shared" si="35"/>
        <v>28.916666666666526</v>
      </c>
      <c r="F360" s="45">
        <f t="shared" si="33"/>
        <v>45686.916666667501</v>
      </c>
      <c r="G360" s="52">
        <v>41</v>
      </c>
      <c r="H360" s="53">
        <v>39</v>
      </c>
      <c r="I360" s="54">
        <v>10.199999999999999</v>
      </c>
      <c r="J360" s="54">
        <v>300</v>
      </c>
      <c r="K360" s="55">
        <v>7.9</v>
      </c>
      <c r="L360" s="56">
        <v>40</v>
      </c>
      <c r="M360" s="54">
        <v>10</v>
      </c>
      <c r="N360" s="54">
        <v>300</v>
      </c>
      <c r="O360" s="57">
        <v>7.8</v>
      </c>
      <c r="P360" s="53">
        <v>36</v>
      </c>
      <c r="Q360" s="54">
        <v>10.1</v>
      </c>
      <c r="R360" s="55">
        <v>0</v>
      </c>
      <c r="S360" s="55">
        <v>7.9</v>
      </c>
      <c r="T360" s="57">
        <v>10.5</v>
      </c>
      <c r="U360" s="56">
        <v>35</v>
      </c>
      <c r="V360" s="54">
        <v>10.199999999999999</v>
      </c>
      <c r="W360" s="55">
        <v>0</v>
      </c>
      <c r="X360" s="55">
        <v>7.2</v>
      </c>
      <c r="Y360" s="57">
        <v>8.6</v>
      </c>
      <c r="Z360" s="53">
        <v>35</v>
      </c>
      <c r="AA360" s="54">
        <v>10.3</v>
      </c>
      <c r="AB360" s="55">
        <v>0</v>
      </c>
      <c r="AC360" s="55">
        <v>7</v>
      </c>
      <c r="AD360" s="57">
        <v>13.46</v>
      </c>
      <c r="AE360" s="56">
        <v>34</v>
      </c>
      <c r="AF360" s="54">
        <v>10.4</v>
      </c>
      <c r="AG360" s="55">
        <v>0</v>
      </c>
      <c r="AH360" s="55">
        <v>7.2</v>
      </c>
      <c r="AI360" s="57">
        <v>12.3</v>
      </c>
      <c r="AJ360" s="56">
        <v>34</v>
      </c>
      <c r="AK360" s="54">
        <v>10.4</v>
      </c>
      <c r="AL360" s="54">
        <v>0</v>
      </c>
      <c r="AM360" s="54">
        <v>7.1</v>
      </c>
      <c r="AN360" s="57">
        <v>13.46</v>
      </c>
      <c r="AO360" s="53">
        <v>35</v>
      </c>
      <c r="AP360" s="54">
        <v>10.1</v>
      </c>
      <c r="AQ360" s="54">
        <v>270</v>
      </c>
      <c r="AR360" s="54">
        <v>5.9</v>
      </c>
      <c r="AS360" s="57">
        <v>12.11</v>
      </c>
      <c r="AT360" s="56">
        <v>30</v>
      </c>
      <c r="AU360" s="57">
        <v>210</v>
      </c>
      <c r="AV360" s="56">
        <v>59.285480499267599</v>
      </c>
      <c r="AW360" s="57">
        <v>385.4495798746745</v>
      </c>
      <c r="AX360" s="8"/>
      <c r="AZ360" s="1">
        <v>90</v>
      </c>
    </row>
    <row r="361" spans="3:52" ht="15" customHeight="1" x14ac:dyDescent="0.25">
      <c r="C361" s="42"/>
      <c r="D361" s="43">
        <f>D352</f>
        <v>45686</v>
      </c>
      <c r="E361" s="44">
        <f t="shared" si="35"/>
        <v>28.999999999999858</v>
      </c>
      <c r="F361" s="45">
        <f t="shared" si="33"/>
        <v>45687.000000000837</v>
      </c>
      <c r="G361" s="52">
        <v>44</v>
      </c>
      <c r="H361" s="53">
        <v>42</v>
      </c>
      <c r="I361" s="54">
        <v>10.7</v>
      </c>
      <c r="J361" s="54">
        <v>350</v>
      </c>
      <c r="K361" s="55">
        <v>7.5</v>
      </c>
      <c r="L361" s="56">
        <v>41</v>
      </c>
      <c r="M361" s="54">
        <v>10.3</v>
      </c>
      <c r="N361" s="54">
        <v>300</v>
      </c>
      <c r="O361" s="57">
        <v>7.6</v>
      </c>
      <c r="P361" s="53">
        <v>38</v>
      </c>
      <c r="Q361" s="54">
        <v>10.3</v>
      </c>
      <c r="R361" s="55">
        <v>0</v>
      </c>
      <c r="S361" s="55">
        <v>7.6</v>
      </c>
      <c r="T361" s="57">
        <v>14.4</v>
      </c>
      <c r="U361" s="56">
        <v>36</v>
      </c>
      <c r="V361" s="54">
        <v>10.3</v>
      </c>
      <c r="W361" s="55">
        <v>0</v>
      </c>
      <c r="X361" s="55">
        <v>7.7</v>
      </c>
      <c r="Y361" s="57">
        <v>4.8</v>
      </c>
      <c r="Z361" s="53">
        <v>36</v>
      </c>
      <c r="AA361" s="54">
        <v>10.4</v>
      </c>
      <c r="AB361" s="55">
        <v>0</v>
      </c>
      <c r="AC361" s="55">
        <v>7</v>
      </c>
      <c r="AD361" s="57">
        <v>13.65</v>
      </c>
      <c r="AE361" s="56">
        <v>35</v>
      </c>
      <c r="AF361" s="54">
        <v>10.5</v>
      </c>
      <c r="AG361" s="55">
        <v>0</v>
      </c>
      <c r="AH361" s="55">
        <v>7.4</v>
      </c>
      <c r="AI361" s="57">
        <v>12.69</v>
      </c>
      <c r="AJ361" s="56">
        <v>35</v>
      </c>
      <c r="AK361" s="54">
        <v>10.5</v>
      </c>
      <c r="AL361" s="54">
        <v>0</v>
      </c>
      <c r="AM361" s="54">
        <v>7.1</v>
      </c>
      <c r="AN361" s="57">
        <v>13.84</v>
      </c>
      <c r="AO361" s="53">
        <v>36</v>
      </c>
      <c r="AP361" s="54">
        <v>10.5</v>
      </c>
      <c r="AQ361" s="54">
        <v>300</v>
      </c>
      <c r="AR361" s="54">
        <v>7</v>
      </c>
      <c r="AS361" s="57">
        <v>12.11</v>
      </c>
      <c r="AT361" s="56">
        <v>31</v>
      </c>
      <c r="AU361" s="57">
        <v>240</v>
      </c>
      <c r="AV361" s="56">
        <v>59.427898406982401</v>
      </c>
      <c r="AW361" s="57">
        <v>378.41399027506509</v>
      </c>
      <c r="AX361" s="8"/>
      <c r="AZ361" s="1">
        <v>90</v>
      </c>
    </row>
    <row r="362" spans="3:52" ht="15" customHeight="1" x14ac:dyDescent="0.25">
      <c r="C362" s="42"/>
      <c r="D362" s="43">
        <f>D352</f>
        <v>45686</v>
      </c>
      <c r="E362" s="44">
        <f t="shared" si="35"/>
        <v>29.08333333333319</v>
      </c>
      <c r="F362" s="45">
        <f t="shared" si="33"/>
        <v>45687.083333334172</v>
      </c>
      <c r="G362" s="52">
        <v>41</v>
      </c>
      <c r="H362" s="53">
        <v>41</v>
      </c>
      <c r="I362" s="54">
        <v>10.6</v>
      </c>
      <c r="J362" s="54">
        <v>350</v>
      </c>
      <c r="K362" s="55">
        <v>7.5</v>
      </c>
      <c r="L362" s="56">
        <v>40</v>
      </c>
      <c r="M362" s="54">
        <v>10.199999999999999</v>
      </c>
      <c r="N362" s="54">
        <v>300</v>
      </c>
      <c r="O362" s="57">
        <v>7.4</v>
      </c>
      <c r="P362" s="53">
        <v>36</v>
      </c>
      <c r="Q362" s="54">
        <v>10.1</v>
      </c>
      <c r="R362" s="55">
        <v>0</v>
      </c>
      <c r="S362" s="55">
        <v>7.7</v>
      </c>
      <c r="T362" s="57">
        <v>17.3</v>
      </c>
      <c r="U362" s="56">
        <v>38</v>
      </c>
      <c r="V362" s="54">
        <v>10.199999999999999</v>
      </c>
      <c r="W362" s="55">
        <v>0</v>
      </c>
      <c r="X362" s="55">
        <v>7.4</v>
      </c>
      <c r="Y362" s="57">
        <v>5.7</v>
      </c>
      <c r="Z362" s="53">
        <v>37</v>
      </c>
      <c r="AA362" s="54">
        <v>10.4</v>
      </c>
      <c r="AB362" s="55">
        <v>0</v>
      </c>
      <c r="AC362" s="55">
        <v>7</v>
      </c>
      <c r="AD362" s="57">
        <v>10.57</v>
      </c>
      <c r="AE362" s="56">
        <v>36</v>
      </c>
      <c r="AF362" s="54">
        <v>10.4</v>
      </c>
      <c r="AG362" s="55">
        <v>0</v>
      </c>
      <c r="AH362" s="55">
        <v>7.2</v>
      </c>
      <c r="AI362" s="57">
        <v>13.26</v>
      </c>
      <c r="AJ362" s="56">
        <v>35</v>
      </c>
      <c r="AK362" s="54">
        <v>10.5</v>
      </c>
      <c r="AL362" s="54">
        <v>0</v>
      </c>
      <c r="AM362" s="54">
        <v>7</v>
      </c>
      <c r="AN362" s="57">
        <v>13.46</v>
      </c>
      <c r="AO362" s="53">
        <v>34</v>
      </c>
      <c r="AP362" s="54">
        <v>10.4</v>
      </c>
      <c r="AQ362" s="54">
        <v>300</v>
      </c>
      <c r="AR362" s="54">
        <v>7</v>
      </c>
      <c r="AS362" s="57">
        <v>11.53</v>
      </c>
      <c r="AT362" s="56">
        <v>30</v>
      </c>
      <c r="AU362" s="57">
        <v>230</v>
      </c>
      <c r="AV362" s="56">
        <v>60.201007843017599</v>
      </c>
      <c r="AW362" s="57">
        <v>374.45107523600262</v>
      </c>
      <c r="AX362" s="8"/>
      <c r="AZ362" s="1">
        <v>90</v>
      </c>
    </row>
    <row r="363" spans="3:52" ht="15" customHeight="1" x14ac:dyDescent="0.25">
      <c r="C363" s="42"/>
      <c r="D363" s="69">
        <f>D352</f>
        <v>45686</v>
      </c>
      <c r="E363" s="70">
        <f t="shared" si="35"/>
        <v>29.166666666666522</v>
      </c>
      <c r="F363" s="71">
        <f t="shared" si="33"/>
        <v>45687.166666667508</v>
      </c>
      <c r="G363" s="60">
        <v>46</v>
      </c>
      <c r="H363" s="61">
        <v>42</v>
      </c>
      <c r="I363" s="62">
        <v>10.7</v>
      </c>
      <c r="J363" s="62">
        <v>300</v>
      </c>
      <c r="K363" s="63">
        <v>8.1999999999999993</v>
      </c>
      <c r="L363" s="64">
        <v>42</v>
      </c>
      <c r="M363" s="62">
        <v>10.3</v>
      </c>
      <c r="N363" s="62">
        <v>300</v>
      </c>
      <c r="O363" s="65">
        <v>8</v>
      </c>
      <c r="P363" s="61">
        <v>37</v>
      </c>
      <c r="Q363" s="62">
        <v>10.199999999999999</v>
      </c>
      <c r="R363" s="63">
        <v>0</v>
      </c>
      <c r="S363" s="63">
        <v>7.9</v>
      </c>
      <c r="T363" s="65">
        <v>17.3</v>
      </c>
      <c r="U363" s="64">
        <v>36</v>
      </c>
      <c r="V363" s="62">
        <v>10.199999999999999</v>
      </c>
      <c r="W363" s="63">
        <v>0</v>
      </c>
      <c r="X363" s="63">
        <v>7.6</v>
      </c>
      <c r="Y363" s="65">
        <v>13.4</v>
      </c>
      <c r="Z363" s="61">
        <v>36</v>
      </c>
      <c r="AA363" s="62">
        <v>10.199999999999999</v>
      </c>
      <c r="AB363" s="63">
        <v>0</v>
      </c>
      <c r="AC363" s="63">
        <v>6.9</v>
      </c>
      <c r="AD363" s="65">
        <v>4.8</v>
      </c>
      <c r="AE363" s="64">
        <v>35</v>
      </c>
      <c r="AF363" s="62">
        <v>10.199999999999999</v>
      </c>
      <c r="AG363" s="63">
        <v>0</v>
      </c>
      <c r="AH363" s="63">
        <v>7.1</v>
      </c>
      <c r="AI363" s="65">
        <v>12.8</v>
      </c>
      <c r="AJ363" s="64">
        <v>33</v>
      </c>
      <c r="AK363" s="62">
        <v>10.3</v>
      </c>
      <c r="AL363" s="62">
        <v>0</v>
      </c>
      <c r="AM363" s="62">
        <v>6.8</v>
      </c>
      <c r="AN363" s="65">
        <v>13.2</v>
      </c>
      <c r="AO363" s="61">
        <v>34</v>
      </c>
      <c r="AP363" s="62">
        <v>10.3</v>
      </c>
      <c r="AQ363" s="62">
        <v>290</v>
      </c>
      <c r="AR363" s="62">
        <v>6.8</v>
      </c>
      <c r="AS363" s="65">
        <v>11.3</v>
      </c>
      <c r="AT363" s="64">
        <v>29</v>
      </c>
      <c r="AU363" s="65">
        <v>230</v>
      </c>
      <c r="AV363" s="64">
        <v>60.498046875</v>
      </c>
      <c r="AW363" s="65">
        <v>374.26082661946617</v>
      </c>
      <c r="AX363" s="8"/>
      <c r="AZ363" s="1">
        <v>90</v>
      </c>
    </row>
    <row r="364" spans="3:52" ht="15" customHeight="1" x14ac:dyDescent="0.25">
      <c r="C364" s="42">
        <f>DAY(D364)</f>
        <v>30</v>
      </c>
      <c r="D364" s="66">
        <f>D352+1</f>
        <v>45687</v>
      </c>
      <c r="E364" s="67">
        <f>E363+2/24</f>
        <v>29.249999999999854</v>
      </c>
      <c r="F364" s="68">
        <f t="shared" si="33"/>
        <v>45687.250000000844</v>
      </c>
      <c r="G364" s="46">
        <v>43</v>
      </c>
      <c r="H364" s="47">
        <v>41</v>
      </c>
      <c r="I364" s="48">
        <v>10.7</v>
      </c>
      <c r="J364" s="48">
        <v>300</v>
      </c>
      <c r="K364" s="49">
        <v>8.5</v>
      </c>
      <c r="L364" s="50">
        <v>40</v>
      </c>
      <c r="M364" s="48">
        <v>10.3</v>
      </c>
      <c r="N364" s="48">
        <v>300</v>
      </c>
      <c r="O364" s="51">
        <v>8.1999999999999993</v>
      </c>
      <c r="P364" s="47">
        <v>38</v>
      </c>
      <c r="Q364" s="48">
        <v>10.199999999999999</v>
      </c>
      <c r="R364" s="49">
        <v>0</v>
      </c>
      <c r="S364" s="49">
        <v>7.8</v>
      </c>
      <c r="T364" s="51">
        <v>17.3</v>
      </c>
      <c r="U364" s="50">
        <v>36</v>
      </c>
      <c r="V364" s="48">
        <v>10.199999999999999</v>
      </c>
      <c r="W364" s="49">
        <v>0</v>
      </c>
      <c r="X364" s="49">
        <v>7.4</v>
      </c>
      <c r="Y364" s="51">
        <v>14</v>
      </c>
      <c r="Z364" s="47">
        <v>35</v>
      </c>
      <c r="AA364" s="48">
        <v>10.199999999999999</v>
      </c>
      <c r="AB364" s="49">
        <v>0</v>
      </c>
      <c r="AC364" s="49">
        <v>6.6</v>
      </c>
      <c r="AD364" s="51">
        <v>5.7</v>
      </c>
      <c r="AE364" s="50">
        <v>35</v>
      </c>
      <c r="AF364" s="48">
        <v>10.3</v>
      </c>
      <c r="AG364" s="49">
        <v>0</v>
      </c>
      <c r="AH364" s="49">
        <v>6.8</v>
      </c>
      <c r="AI364" s="51">
        <v>10.5</v>
      </c>
      <c r="AJ364" s="50">
        <v>34</v>
      </c>
      <c r="AK364" s="48">
        <v>10.3</v>
      </c>
      <c r="AL364" s="48">
        <v>0</v>
      </c>
      <c r="AM364" s="48">
        <v>7</v>
      </c>
      <c r="AN364" s="51">
        <v>13.2</v>
      </c>
      <c r="AO364" s="47">
        <v>34</v>
      </c>
      <c r="AP364" s="48">
        <v>10.4</v>
      </c>
      <c r="AQ364" s="48">
        <v>290</v>
      </c>
      <c r="AR364" s="48">
        <v>6.9</v>
      </c>
      <c r="AS364" s="51">
        <v>11.3</v>
      </c>
      <c r="AT364" s="50">
        <v>30</v>
      </c>
      <c r="AU364" s="51">
        <v>220</v>
      </c>
      <c r="AV364" s="50">
        <v>58.80126953125</v>
      </c>
      <c r="AW364" s="51">
        <v>368.7981051127116</v>
      </c>
      <c r="AX364" s="8"/>
      <c r="AZ364" s="1">
        <v>90</v>
      </c>
    </row>
    <row r="365" spans="3:52" ht="15" customHeight="1" x14ac:dyDescent="0.25">
      <c r="C365" s="42"/>
      <c r="D365" s="43">
        <f>D364</f>
        <v>45687</v>
      </c>
      <c r="E365" s="44">
        <f>E364+2/24</f>
        <v>29.333333333333186</v>
      </c>
      <c r="F365" s="45">
        <f t="shared" si="33"/>
        <v>45687.33333333418</v>
      </c>
      <c r="G365" s="52">
        <v>30</v>
      </c>
      <c r="H365" s="53">
        <v>37</v>
      </c>
      <c r="I365" s="54">
        <v>10.3</v>
      </c>
      <c r="J365" s="54">
        <v>350</v>
      </c>
      <c r="K365" s="55">
        <v>6</v>
      </c>
      <c r="L365" s="56">
        <v>37</v>
      </c>
      <c r="M365" s="54">
        <v>10.4</v>
      </c>
      <c r="N365" s="54">
        <v>350</v>
      </c>
      <c r="O365" s="57">
        <v>7.4</v>
      </c>
      <c r="P365" s="53">
        <v>37</v>
      </c>
      <c r="Q365" s="54">
        <v>10.3</v>
      </c>
      <c r="R365" s="55">
        <v>0</v>
      </c>
      <c r="S365" s="55">
        <v>7.2</v>
      </c>
      <c r="T365" s="57">
        <v>16.36</v>
      </c>
      <c r="U365" s="56">
        <v>37</v>
      </c>
      <c r="V365" s="54">
        <v>10.199999999999999</v>
      </c>
      <c r="W365" s="55">
        <v>0</v>
      </c>
      <c r="X365" s="55">
        <v>6.7</v>
      </c>
      <c r="Y365" s="57">
        <v>12.5</v>
      </c>
      <c r="Z365" s="53">
        <v>35</v>
      </c>
      <c r="AA365" s="54">
        <v>10.199999999999999</v>
      </c>
      <c r="AB365" s="55">
        <v>0</v>
      </c>
      <c r="AC365" s="55">
        <v>6</v>
      </c>
      <c r="AD365" s="57">
        <v>6.7</v>
      </c>
      <c r="AE365" s="56">
        <v>35</v>
      </c>
      <c r="AF365" s="54">
        <v>10.3</v>
      </c>
      <c r="AG365" s="55">
        <v>0</v>
      </c>
      <c r="AH365" s="55">
        <v>6.6</v>
      </c>
      <c r="AI365" s="57">
        <v>11.5</v>
      </c>
      <c r="AJ365" s="56">
        <v>35</v>
      </c>
      <c r="AK365" s="54">
        <v>10.3</v>
      </c>
      <c r="AL365" s="54">
        <v>0</v>
      </c>
      <c r="AM365" s="54">
        <v>6.4</v>
      </c>
      <c r="AN365" s="57">
        <v>13.5</v>
      </c>
      <c r="AO365" s="53">
        <v>35</v>
      </c>
      <c r="AP365" s="54">
        <v>10.4</v>
      </c>
      <c r="AQ365" s="54">
        <v>250</v>
      </c>
      <c r="AR365" s="54">
        <v>6.2</v>
      </c>
      <c r="AS365" s="57">
        <v>11.5</v>
      </c>
      <c r="AT365" s="56">
        <v>28</v>
      </c>
      <c r="AU365" s="57">
        <v>170</v>
      </c>
      <c r="AV365" s="56">
        <v>58.793132781982401</v>
      </c>
      <c r="AW365" s="57">
        <v>386.25807749430339</v>
      </c>
      <c r="AX365" s="8"/>
      <c r="AZ365" s="1">
        <v>90</v>
      </c>
    </row>
    <row r="366" spans="3:52" ht="15" customHeight="1" x14ac:dyDescent="0.25">
      <c r="C366" s="42"/>
      <c r="D366" s="43">
        <f>D364</f>
        <v>45687</v>
      </c>
      <c r="E366" s="44">
        <f t="shared" ref="E366:E375" si="36">E365+2/24</f>
        <v>29.416666666666519</v>
      </c>
      <c r="F366" s="45">
        <f t="shared" si="33"/>
        <v>45687.416666667516</v>
      </c>
      <c r="G366" s="52">
        <v>37</v>
      </c>
      <c r="H366" s="53">
        <v>39</v>
      </c>
      <c r="I366" s="54">
        <v>10.5</v>
      </c>
      <c r="J366" s="54">
        <v>350</v>
      </c>
      <c r="K366" s="55">
        <v>7.5</v>
      </c>
      <c r="L366" s="56">
        <v>37</v>
      </c>
      <c r="M366" s="54">
        <v>10.3</v>
      </c>
      <c r="N366" s="54">
        <v>350</v>
      </c>
      <c r="O366" s="57">
        <v>8.3000000000000007</v>
      </c>
      <c r="P366" s="53">
        <v>36</v>
      </c>
      <c r="Q366" s="54">
        <v>10.199999999999999</v>
      </c>
      <c r="R366" s="55">
        <v>0</v>
      </c>
      <c r="S366" s="55">
        <v>6.3</v>
      </c>
      <c r="T366" s="57">
        <v>15</v>
      </c>
      <c r="U366" s="56">
        <v>36</v>
      </c>
      <c r="V366" s="54">
        <v>10.199999999999999</v>
      </c>
      <c r="W366" s="55">
        <v>0</v>
      </c>
      <c r="X366" s="55">
        <v>6.5</v>
      </c>
      <c r="Y366" s="57">
        <v>16</v>
      </c>
      <c r="Z366" s="53">
        <v>35</v>
      </c>
      <c r="AA366" s="54">
        <v>10.199999999999999</v>
      </c>
      <c r="AB366" s="55">
        <v>0</v>
      </c>
      <c r="AC366" s="55">
        <v>8.1999999999999993</v>
      </c>
      <c r="AD366" s="57">
        <v>4</v>
      </c>
      <c r="AE366" s="56">
        <v>35</v>
      </c>
      <c r="AF366" s="54">
        <v>10.3</v>
      </c>
      <c r="AG366" s="55">
        <v>0</v>
      </c>
      <c r="AH366" s="55">
        <v>6.8</v>
      </c>
      <c r="AI366" s="57">
        <v>12</v>
      </c>
      <c r="AJ366" s="56">
        <v>35</v>
      </c>
      <c r="AK366" s="54">
        <v>10.199999999999999</v>
      </c>
      <c r="AL366" s="54">
        <v>0</v>
      </c>
      <c r="AM366" s="54">
        <v>6.4</v>
      </c>
      <c r="AN366" s="57">
        <v>13</v>
      </c>
      <c r="AO366" s="53">
        <v>33</v>
      </c>
      <c r="AP366" s="54">
        <v>10.3</v>
      </c>
      <c r="AQ366" s="54">
        <v>250</v>
      </c>
      <c r="AR366" s="54">
        <v>6.5</v>
      </c>
      <c r="AS366" s="57">
        <v>11</v>
      </c>
      <c r="AT366" s="56">
        <v>29</v>
      </c>
      <c r="AU366" s="57">
        <v>150</v>
      </c>
      <c r="AV366" s="56">
        <v>63.232421875</v>
      </c>
      <c r="AW366" s="57">
        <v>370.77305126190186</v>
      </c>
      <c r="AX366" s="8"/>
      <c r="AZ366" s="1">
        <v>90</v>
      </c>
    </row>
    <row r="367" spans="3:52" ht="15" customHeight="1" x14ac:dyDescent="0.25">
      <c r="C367" s="42"/>
      <c r="D367" s="43">
        <f>D364</f>
        <v>45687</v>
      </c>
      <c r="E367" s="44">
        <f t="shared" si="36"/>
        <v>29.499999999999851</v>
      </c>
      <c r="F367" s="45">
        <f t="shared" si="33"/>
        <v>45687.500000000851</v>
      </c>
      <c r="G367" s="52">
        <v>38</v>
      </c>
      <c r="H367" s="53">
        <v>38</v>
      </c>
      <c r="I367" s="54">
        <v>10.5</v>
      </c>
      <c r="J367" s="54">
        <v>350</v>
      </c>
      <c r="K367" s="55">
        <v>7.7</v>
      </c>
      <c r="L367" s="56">
        <v>37</v>
      </c>
      <c r="M367" s="54">
        <v>10.3</v>
      </c>
      <c r="N367" s="54">
        <v>350</v>
      </c>
      <c r="O367" s="57">
        <v>8.5</v>
      </c>
      <c r="P367" s="53">
        <v>37</v>
      </c>
      <c r="Q367" s="54">
        <v>10.199999999999999</v>
      </c>
      <c r="R367" s="55">
        <v>0</v>
      </c>
      <c r="S367" s="55">
        <v>7.5</v>
      </c>
      <c r="T367" s="57">
        <v>18</v>
      </c>
      <c r="U367" s="56">
        <v>35</v>
      </c>
      <c r="V367" s="54">
        <v>10.199999999999999</v>
      </c>
      <c r="W367" s="55">
        <v>0</v>
      </c>
      <c r="X367" s="55">
        <v>6.9</v>
      </c>
      <c r="Y367" s="57">
        <v>17</v>
      </c>
      <c r="Z367" s="53">
        <v>35</v>
      </c>
      <c r="AA367" s="54">
        <v>10.199999999999999</v>
      </c>
      <c r="AB367" s="55">
        <v>0</v>
      </c>
      <c r="AC367" s="55">
        <v>7.4</v>
      </c>
      <c r="AD367" s="57">
        <v>8.6</v>
      </c>
      <c r="AE367" s="56">
        <v>35</v>
      </c>
      <c r="AF367" s="54">
        <v>10.1</v>
      </c>
      <c r="AG367" s="55">
        <v>0</v>
      </c>
      <c r="AH367" s="55">
        <v>7.2</v>
      </c>
      <c r="AI367" s="57">
        <v>8.6</v>
      </c>
      <c r="AJ367" s="56">
        <v>35</v>
      </c>
      <c r="AK367" s="54">
        <v>10.199999999999999</v>
      </c>
      <c r="AL367" s="54">
        <v>0</v>
      </c>
      <c r="AM367" s="54">
        <v>7.5</v>
      </c>
      <c r="AN367" s="57">
        <v>13.5</v>
      </c>
      <c r="AO367" s="53">
        <v>35</v>
      </c>
      <c r="AP367" s="54">
        <v>10.3</v>
      </c>
      <c r="AQ367" s="54">
        <v>250</v>
      </c>
      <c r="AR367" s="54">
        <v>7.3</v>
      </c>
      <c r="AS367" s="57">
        <v>11.5</v>
      </c>
      <c r="AT367" s="56">
        <v>28</v>
      </c>
      <c r="AU367" s="57">
        <v>160</v>
      </c>
      <c r="AV367" s="56">
        <v>61.043292999267599</v>
      </c>
      <c r="AW367" s="57">
        <v>361.93793398539225</v>
      </c>
      <c r="AX367" s="8"/>
      <c r="AZ367" s="1">
        <v>90</v>
      </c>
    </row>
    <row r="368" spans="3:52" ht="15" customHeight="1" x14ac:dyDescent="0.25">
      <c r="C368" s="42"/>
      <c r="D368" s="43">
        <f>D364</f>
        <v>45687</v>
      </c>
      <c r="E368" s="44">
        <f t="shared" si="36"/>
        <v>29.583333333333183</v>
      </c>
      <c r="F368" s="45">
        <f t="shared" si="33"/>
        <v>45687.583333334187</v>
      </c>
      <c r="G368" s="52">
        <v>37</v>
      </c>
      <c r="H368" s="53">
        <v>39</v>
      </c>
      <c r="I368" s="54">
        <v>10.5</v>
      </c>
      <c r="J368" s="54">
        <v>350</v>
      </c>
      <c r="K368" s="55">
        <v>8.3000000000000007</v>
      </c>
      <c r="L368" s="56">
        <v>38</v>
      </c>
      <c r="M368" s="54">
        <v>10.4</v>
      </c>
      <c r="N368" s="54">
        <v>340</v>
      </c>
      <c r="O368" s="57">
        <v>9.1</v>
      </c>
      <c r="P368" s="53">
        <v>37</v>
      </c>
      <c r="Q368" s="54">
        <v>10.199999999999999</v>
      </c>
      <c r="R368" s="55">
        <v>0</v>
      </c>
      <c r="S368" s="55">
        <v>8.5</v>
      </c>
      <c r="T368" s="57">
        <v>18.2</v>
      </c>
      <c r="U368" s="56">
        <v>36</v>
      </c>
      <c r="V368" s="54">
        <v>10.199999999999999</v>
      </c>
      <c r="W368" s="55">
        <v>0</v>
      </c>
      <c r="X368" s="55">
        <v>7.5</v>
      </c>
      <c r="Y368" s="57">
        <v>16.3</v>
      </c>
      <c r="Z368" s="53">
        <v>35</v>
      </c>
      <c r="AA368" s="54">
        <v>10.199999999999999</v>
      </c>
      <c r="AB368" s="55">
        <v>0</v>
      </c>
      <c r="AC368" s="55">
        <v>6.4</v>
      </c>
      <c r="AD368" s="57">
        <v>10.5</v>
      </c>
      <c r="AE368" s="56">
        <v>36</v>
      </c>
      <c r="AF368" s="54">
        <v>10.1</v>
      </c>
      <c r="AG368" s="55">
        <v>0</v>
      </c>
      <c r="AH368" s="55">
        <v>7.8</v>
      </c>
      <c r="AI368" s="57">
        <v>8.6</v>
      </c>
      <c r="AJ368" s="56">
        <v>36</v>
      </c>
      <c r="AK368" s="54">
        <v>10.199999999999999</v>
      </c>
      <c r="AL368" s="54">
        <v>0</v>
      </c>
      <c r="AM368" s="54">
        <v>8.1</v>
      </c>
      <c r="AN368" s="57">
        <v>9.61</v>
      </c>
      <c r="AO368" s="53">
        <v>36</v>
      </c>
      <c r="AP368" s="54">
        <v>10.3</v>
      </c>
      <c r="AQ368" s="54">
        <v>260</v>
      </c>
      <c r="AR368" s="54">
        <v>7.9</v>
      </c>
      <c r="AS368" s="57">
        <v>11.5</v>
      </c>
      <c r="AT368" s="56">
        <v>28</v>
      </c>
      <c r="AU368" s="57">
        <v>170</v>
      </c>
      <c r="AV368" s="56">
        <v>64.225265502929702</v>
      </c>
      <c r="AW368" s="57">
        <v>351.87295118967694</v>
      </c>
      <c r="AX368" s="8"/>
      <c r="AZ368" s="1">
        <v>90</v>
      </c>
    </row>
    <row r="369" spans="3:52" ht="15" customHeight="1" x14ac:dyDescent="0.25">
      <c r="C369" s="42"/>
      <c r="D369" s="43">
        <f>D364</f>
        <v>45687</v>
      </c>
      <c r="E369" s="44">
        <f t="shared" si="36"/>
        <v>29.666666666666515</v>
      </c>
      <c r="F369" s="45">
        <f t="shared" si="33"/>
        <v>45687.666666667523</v>
      </c>
      <c r="G369" s="52">
        <v>38</v>
      </c>
      <c r="H369" s="53">
        <v>39</v>
      </c>
      <c r="I369" s="54">
        <v>10.6</v>
      </c>
      <c r="J369" s="54">
        <v>300</v>
      </c>
      <c r="K369" s="55">
        <v>8</v>
      </c>
      <c r="L369" s="56">
        <v>40</v>
      </c>
      <c r="M369" s="54">
        <v>10</v>
      </c>
      <c r="N369" s="54">
        <v>250</v>
      </c>
      <c r="O369" s="57">
        <v>8.9</v>
      </c>
      <c r="P369" s="53">
        <v>38</v>
      </c>
      <c r="Q369" s="54">
        <v>10.199999999999999</v>
      </c>
      <c r="R369" s="55">
        <v>0</v>
      </c>
      <c r="S369" s="55">
        <v>8.4</v>
      </c>
      <c r="T369" s="57">
        <v>15.74</v>
      </c>
      <c r="U369" s="56">
        <v>38</v>
      </c>
      <c r="V369" s="54">
        <v>10.199999999999999</v>
      </c>
      <c r="W369" s="55">
        <v>0</v>
      </c>
      <c r="X369" s="55">
        <v>7.2</v>
      </c>
      <c r="Y369" s="57">
        <v>14.42</v>
      </c>
      <c r="Z369" s="53">
        <v>37</v>
      </c>
      <c r="AA369" s="54">
        <v>10.199999999999999</v>
      </c>
      <c r="AB369" s="55">
        <v>0</v>
      </c>
      <c r="AC369" s="55">
        <v>6.9</v>
      </c>
      <c r="AD369" s="57">
        <v>11.53</v>
      </c>
      <c r="AE369" s="56">
        <v>35</v>
      </c>
      <c r="AF369" s="54">
        <v>10.199999999999999</v>
      </c>
      <c r="AG369" s="55">
        <v>0</v>
      </c>
      <c r="AH369" s="55">
        <v>7.8</v>
      </c>
      <c r="AI369" s="57">
        <v>11.53</v>
      </c>
      <c r="AJ369" s="56">
        <v>35</v>
      </c>
      <c r="AK369" s="54">
        <v>10.199999999999999</v>
      </c>
      <c r="AL369" s="54">
        <v>0</v>
      </c>
      <c r="AM369" s="54">
        <v>8.1</v>
      </c>
      <c r="AN369" s="57">
        <v>3.84</v>
      </c>
      <c r="AO369" s="53">
        <v>35</v>
      </c>
      <c r="AP369" s="54">
        <v>10.199999999999999</v>
      </c>
      <c r="AQ369" s="54">
        <v>250</v>
      </c>
      <c r="AR369" s="54">
        <v>7.4</v>
      </c>
      <c r="AS369" s="57">
        <v>13.46</v>
      </c>
      <c r="AT369" s="56">
        <v>29</v>
      </c>
      <c r="AU369" s="57">
        <v>150</v>
      </c>
      <c r="AV369" s="56">
        <v>65.059402465820298</v>
      </c>
      <c r="AW369" s="57">
        <v>337.52495708465574</v>
      </c>
      <c r="AX369" s="8"/>
      <c r="AZ369" s="1">
        <v>90</v>
      </c>
    </row>
    <row r="370" spans="3:52" ht="15" customHeight="1" x14ac:dyDescent="0.25">
      <c r="C370" s="42"/>
      <c r="D370" s="43">
        <f>D364</f>
        <v>45687</v>
      </c>
      <c r="E370" s="44">
        <f t="shared" si="36"/>
        <v>29.749999999999847</v>
      </c>
      <c r="F370" s="45">
        <f t="shared" si="33"/>
        <v>45687.750000000859</v>
      </c>
      <c r="G370" s="52">
        <v>36</v>
      </c>
      <c r="H370" s="53">
        <v>40</v>
      </c>
      <c r="I370" s="54">
        <v>10.3</v>
      </c>
      <c r="J370" s="54">
        <v>300</v>
      </c>
      <c r="K370" s="55">
        <v>7.9</v>
      </c>
      <c r="L370" s="56">
        <v>39</v>
      </c>
      <c r="M370" s="54">
        <v>10.199999999999999</v>
      </c>
      <c r="N370" s="54">
        <v>300</v>
      </c>
      <c r="O370" s="57">
        <v>8.8000000000000007</v>
      </c>
      <c r="P370" s="53">
        <v>38</v>
      </c>
      <c r="Q370" s="54">
        <v>10.199999999999999</v>
      </c>
      <c r="R370" s="55">
        <v>0</v>
      </c>
      <c r="S370" s="55">
        <v>8.6999999999999993</v>
      </c>
      <c r="T370" s="57">
        <v>16.36</v>
      </c>
      <c r="U370" s="56">
        <v>37</v>
      </c>
      <c r="V370" s="54">
        <v>10.3</v>
      </c>
      <c r="W370" s="55">
        <v>0</v>
      </c>
      <c r="X370" s="55">
        <v>7.9</v>
      </c>
      <c r="Y370" s="57">
        <v>14.42</v>
      </c>
      <c r="Z370" s="53">
        <v>37</v>
      </c>
      <c r="AA370" s="54">
        <v>10.199999999999999</v>
      </c>
      <c r="AB370" s="55">
        <v>0</v>
      </c>
      <c r="AC370" s="55">
        <v>7.1</v>
      </c>
      <c r="AD370" s="57">
        <v>11.53</v>
      </c>
      <c r="AE370" s="56">
        <v>36</v>
      </c>
      <c r="AF370" s="54">
        <v>10.199999999999999</v>
      </c>
      <c r="AG370" s="55">
        <v>0</v>
      </c>
      <c r="AH370" s="55">
        <v>7.7</v>
      </c>
      <c r="AI370" s="57">
        <v>11.53</v>
      </c>
      <c r="AJ370" s="56">
        <v>35</v>
      </c>
      <c r="AK370" s="54">
        <v>10.199999999999999</v>
      </c>
      <c r="AL370" s="54">
        <v>0</v>
      </c>
      <c r="AM370" s="54">
        <v>8.1999999999999993</v>
      </c>
      <c r="AN370" s="57">
        <v>3.84</v>
      </c>
      <c r="AO370" s="53">
        <v>34</v>
      </c>
      <c r="AP370" s="54">
        <v>10.199999999999999</v>
      </c>
      <c r="AQ370" s="54">
        <v>250</v>
      </c>
      <c r="AR370" s="54">
        <v>7.2</v>
      </c>
      <c r="AS370" s="57">
        <v>13.46</v>
      </c>
      <c r="AT370" s="56">
        <v>30</v>
      </c>
      <c r="AU370" s="57">
        <v>160</v>
      </c>
      <c r="AV370" s="56">
        <v>61.63330078125</v>
      </c>
      <c r="AW370" s="57">
        <v>341.35489047368367</v>
      </c>
      <c r="AX370" s="8"/>
      <c r="AZ370" s="1">
        <v>90</v>
      </c>
    </row>
    <row r="371" spans="3:52" ht="15" customHeight="1" x14ac:dyDescent="0.25">
      <c r="C371" s="42"/>
      <c r="D371" s="43">
        <f>D364</f>
        <v>45687</v>
      </c>
      <c r="E371" s="44">
        <f t="shared" si="36"/>
        <v>29.833333333333179</v>
      </c>
      <c r="F371" s="45">
        <f t="shared" si="33"/>
        <v>45687.833333334194</v>
      </c>
      <c r="G371" s="52">
        <v>30</v>
      </c>
      <c r="H371" s="53">
        <v>42</v>
      </c>
      <c r="I371" s="54">
        <v>11.1</v>
      </c>
      <c r="J371" s="54">
        <v>300</v>
      </c>
      <c r="K371" s="55">
        <v>7.7</v>
      </c>
      <c r="L371" s="56">
        <v>43</v>
      </c>
      <c r="M371" s="54">
        <v>10.199999999999999</v>
      </c>
      <c r="N371" s="54">
        <v>300</v>
      </c>
      <c r="O371" s="57">
        <v>7.8</v>
      </c>
      <c r="P371" s="53">
        <v>38</v>
      </c>
      <c r="Q371" s="54">
        <v>10.199999999999999</v>
      </c>
      <c r="R371" s="55">
        <v>0</v>
      </c>
      <c r="S371" s="55">
        <v>7.7</v>
      </c>
      <c r="T371" s="57">
        <v>17.3</v>
      </c>
      <c r="U371" s="56">
        <v>37</v>
      </c>
      <c r="V371" s="54">
        <v>10.199999999999999</v>
      </c>
      <c r="W371" s="55">
        <v>0</v>
      </c>
      <c r="X371" s="55">
        <v>8</v>
      </c>
      <c r="Y371" s="57">
        <v>15</v>
      </c>
      <c r="Z371" s="53">
        <v>36</v>
      </c>
      <c r="AA371" s="54">
        <v>10.199999999999999</v>
      </c>
      <c r="AB371" s="55">
        <v>0</v>
      </c>
      <c r="AC371" s="55">
        <v>7.9</v>
      </c>
      <c r="AD371" s="57">
        <v>10.57</v>
      </c>
      <c r="AE371" s="56">
        <v>36</v>
      </c>
      <c r="AF371" s="54">
        <v>10.1</v>
      </c>
      <c r="AG371" s="55">
        <v>0</v>
      </c>
      <c r="AH371" s="55">
        <v>7.5</v>
      </c>
      <c r="AI371" s="57">
        <v>14.42</v>
      </c>
      <c r="AJ371" s="56">
        <v>36</v>
      </c>
      <c r="AK371" s="54">
        <v>10.1</v>
      </c>
      <c r="AL371" s="54">
        <v>0</v>
      </c>
      <c r="AM371" s="54">
        <v>7.6</v>
      </c>
      <c r="AN371" s="57">
        <v>5.76</v>
      </c>
      <c r="AO371" s="53">
        <v>37</v>
      </c>
      <c r="AP371" s="54">
        <v>10.1</v>
      </c>
      <c r="AQ371" s="54">
        <v>220</v>
      </c>
      <c r="AR371" s="54">
        <v>7.7</v>
      </c>
      <c r="AS371" s="57">
        <v>8.65</v>
      </c>
      <c r="AT371" s="56">
        <v>31</v>
      </c>
      <c r="AU371" s="57">
        <v>130</v>
      </c>
      <c r="AV371" s="56">
        <v>59.000652313232401</v>
      </c>
      <c r="AW371" s="57">
        <v>369.69340750376381</v>
      </c>
      <c r="AX371" s="8"/>
      <c r="AZ371" s="1">
        <v>90</v>
      </c>
    </row>
    <row r="372" spans="3:52" ht="15" customHeight="1" x14ac:dyDescent="0.25">
      <c r="C372" s="42"/>
      <c r="D372" s="43">
        <f>D364</f>
        <v>45687</v>
      </c>
      <c r="E372" s="44">
        <f t="shared" si="36"/>
        <v>29.916666666666512</v>
      </c>
      <c r="F372" s="45">
        <f t="shared" si="33"/>
        <v>45687.91666666753</v>
      </c>
      <c r="G372" s="52">
        <v>39</v>
      </c>
      <c r="H372" s="53">
        <v>43</v>
      </c>
      <c r="I372" s="54">
        <v>11</v>
      </c>
      <c r="J372" s="54">
        <v>300</v>
      </c>
      <c r="K372" s="55">
        <v>7.9</v>
      </c>
      <c r="L372" s="56">
        <v>43</v>
      </c>
      <c r="M372" s="54">
        <v>10.3</v>
      </c>
      <c r="N372" s="54">
        <v>300</v>
      </c>
      <c r="O372" s="57">
        <v>7.8</v>
      </c>
      <c r="P372" s="53">
        <v>39</v>
      </c>
      <c r="Q372" s="54">
        <v>10.199999999999999</v>
      </c>
      <c r="R372" s="55">
        <v>0</v>
      </c>
      <c r="S372" s="55">
        <v>7.6</v>
      </c>
      <c r="T372" s="57">
        <v>17.5</v>
      </c>
      <c r="U372" s="56">
        <v>38</v>
      </c>
      <c r="V372" s="54">
        <v>10.199999999999999</v>
      </c>
      <c r="W372" s="55">
        <v>0</v>
      </c>
      <c r="X372" s="55">
        <v>7.9</v>
      </c>
      <c r="Y372" s="57">
        <v>15</v>
      </c>
      <c r="Z372" s="53">
        <v>36</v>
      </c>
      <c r="AA372" s="54">
        <v>10.199999999999999</v>
      </c>
      <c r="AB372" s="55">
        <v>0</v>
      </c>
      <c r="AC372" s="55">
        <v>7.8</v>
      </c>
      <c r="AD372" s="57">
        <v>15.19</v>
      </c>
      <c r="AE372" s="56">
        <v>36</v>
      </c>
      <c r="AF372" s="54">
        <v>10.199999999999999</v>
      </c>
      <c r="AG372" s="55">
        <v>0</v>
      </c>
      <c r="AH372" s="55">
        <v>7.6</v>
      </c>
      <c r="AI372" s="57">
        <v>10.76</v>
      </c>
      <c r="AJ372" s="56">
        <v>37</v>
      </c>
      <c r="AK372" s="54">
        <v>10.1</v>
      </c>
      <c r="AL372" s="54">
        <v>0</v>
      </c>
      <c r="AM372" s="54">
        <v>7.7</v>
      </c>
      <c r="AN372" s="57">
        <v>5.14</v>
      </c>
      <c r="AO372" s="53">
        <v>37</v>
      </c>
      <c r="AP372" s="54">
        <v>10.1</v>
      </c>
      <c r="AQ372" s="54">
        <v>230</v>
      </c>
      <c r="AR372" s="54">
        <v>7.2</v>
      </c>
      <c r="AS372" s="57">
        <v>9.61</v>
      </c>
      <c r="AT372" s="56">
        <v>32</v>
      </c>
      <c r="AU372" s="57">
        <v>130</v>
      </c>
      <c r="AV372" s="56">
        <v>60.929363250732401</v>
      </c>
      <c r="AW372" s="57">
        <v>368.43074836730955</v>
      </c>
      <c r="AX372" s="8"/>
      <c r="AZ372" s="1">
        <v>90</v>
      </c>
    </row>
    <row r="373" spans="3:52" ht="15" customHeight="1" x14ac:dyDescent="0.25">
      <c r="C373" s="42"/>
      <c r="D373" s="43">
        <f>D364</f>
        <v>45687</v>
      </c>
      <c r="E373" s="44">
        <f t="shared" si="36"/>
        <v>29.999999999999844</v>
      </c>
      <c r="F373" s="45">
        <f t="shared" si="33"/>
        <v>45688.000000000866</v>
      </c>
      <c r="G373" s="52">
        <v>36</v>
      </c>
      <c r="H373" s="53">
        <v>39</v>
      </c>
      <c r="I373" s="54">
        <v>10.8</v>
      </c>
      <c r="J373" s="54">
        <v>300</v>
      </c>
      <c r="K373" s="55">
        <v>8.4</v>
      </c>
      <c r="L373" s="56">
        <v>41</v>
      </c>
      <c r="M373" s="54">
        <v>10.3</v>
      </c>
      <c r="N373" s="54">
        <v>350</v>
      </c>
      <c r="O373" s="57">
        <v>8.1999999999999993</v>
      </c>
      <c r="P373" s="53">
        <v>38</v>
      </c>
      <c r="Q373" s="54">
        <v>10.3</v>
      </c>
      <c r="R373" s="55">
        <v>0</v>
      </c>
      <c r="S373" s="55">
        <v>7.8</v>
      </c>
      <c r="T373" s="57">
        <v>17.3</v>
      </c>
      <c r="U373" s="56">
        <v>37</v>
      </c>
      <c r="V373" s="54">
        <v>10.199999999999999</v>
      </c>
      <c r="W373" s="55">
        <v>0</v>
      </c>
      <c r="X373" s="55">
        <v>8.1</v>
      </c>
      <c r="Y373" s="57">
        <v>15.19</v>
      </c>
      <c r="Z373" s="53">
        <v>37</v>
      </c>
      <c r="AA373" s="54">
        <v>10.199999999999999</v>
      </c>
      <c r="AB373" s="55">
        <v>0</v>
      </c>
      <c r="AC373" s="55">
        <v>7.5</v>
      </c>
      <c r="AD373" s="57">
        <v>15</v>
      </c>
      <c r="AE373" s="56">
        <v>35</v>
      </c>
      <c r="AF373" s="54">
        <v>10.1</v>
      </c>
      <c r="AG373" s="55">
        <v>0</v>
      </c>
      <c r="AH373" s="55">
        <v>7.4</v>
      </c>
      <c r="AI373" s="57">
        <v>12.5</v>
      </c>
      <c r="AJ373" s="56">
        <v>35</v>
      </c>
      <c r="AK373" s="54">
        <v>10.1</v>
      </c>
      <c r="AL373" s="54">
        <v>0</v>
      </c>
      <c r="AM373" s="54">
        <v>6.2</v>
      </c>
      <c r="AN373" s="57" t="s">
        <v>38</v>
      </c>
      <c r="AO373" s="53">
        <v>34</v>
      </c>
      <c r="AP373" s="54">
        <v>10.1</v>
      </c>
      <c r="AQ373" s="54">
        <v>240</v>
      </c>
      <c r="AR373" s="54">
        <v>7</v>
      </c>
      <c r="AS373" s="57">
        <v>8.65</v>
      </c>
      <c r="AT373" s="56">
        <v>30</v>
      </c>
      <c r="AU373" s="57">
        <v>150</v>
      </c>
      <c r="AV373" s="56">
        <v>60.762531280517599</v>
      </c>
      <c r="AW373" s="57">
        <v>352.79827340443927</v>
      </c>
      <c r="AX373" s="8"/>
      <c r="AZ373" s="1">
        <v>90</v>
      </c>
    </row>
    <row r="374" spans="3:52" ht="15" customHeight="1" x14ac:dyDescent="0.25">
      <c r="C374" s="42"/>
      <c r="D374" s="43">
        <f>D364</f>
        <v>45687</v>
      </c>
      <c r="E374" s="44">
        <f t="shared" si="36"/>
        <v>30.083333333333176</v>
      </c>
      <c r="F374" s="45">
        <f t="shared" si="33"/>
        <v>45688.083333334202</v>
      </c>
      <c r="G374" s="52">
        <v>40</v>
      </c>
      <c r="H374" s="53">
        <v>40</v>
      </c>
      <c r="I374" s="54">
        <v>10.8</v>
      </c>
      <c r="J374" s="54">
        <v>300</v>
      </c>
      <c r="K374" s="55">
        <v>8.1</v>
      </c>
      <c r="L374" s="56">
        <v>40</v>
      </c>
      <c r="M374" s="54">
        <v>10.5</v>
      </c>
      <c r="N374" s="54">
        <v>250</v>
      </c>
      <c r="O374" s="57">
        <v>8.1</v>
      </c>
      <c r="P374" s="53">
        <v>38</v>
      </c>
      <c r="Q374" s="54">
        <v>10.3</v>
      </c>
      <c r="R374" s="55">
        <v>0</v>
      </c>
      <c r="S374" s="55">
        <v>8</v>
      </c>
      <c r="T374" s="57">
        <v>17.3</v>
      </c>
      <c r="U374" s="56">
        <v>36</v>
      </c>
      <c r="V374" s="54">
        <v>10.3</v>
      </c>
      <c r="W374" s="55">
        <v>0</v>
      </c>
      <c r="X374" s="55">
        <v>8</v>
      </c>
      <c r="Y374" s="57">
        <v>14.8</v>
      </c>
      <c r="Z374" s="53">
        <v>35</v>
      </c>
      <c r="AA374" s="54">
        <v>10.199999999999999</v>
      </c>
      <c r="AB374" s="55">
        <v>0</v>
      </c>
      <c r="AC374" s="55">
        <v>7.2</v>
      </c>
      <c r="AD374" s="57">
        <v>15</v>
      </c>
      <c r="AE374" s="56">
        <v>35</v>
      </c>
      <c r="AF374" s="54">
        <v>10.1</v>
      </c>
      <c r="AG374" s="55">
        <v>0</v>
      </c>
      <c r="AH374" s="55">
        <v>7.5</v>
      </c>
      <c r="AI374" s="57">
        <v>13.46</v>
      </c>
      <c r="AJ374" s="56">
        <v>34</v>
      </c>
      <c r="AK374" s="54">
        <v>10.1</v>
      </c>
      <c r="AL374" s="54">
        <v>0</v>
      </c>
      <c r="AM374" s="54">
        <v>7.1</v>
      </c>
      <c r="AN374" s="57">
        <v>5.76</v>
      </c>
      <c r="AO374" s="53">
        <v>35</v>
      </c>
      <c r="AP374" s="54">
        <v>10.1</v>
      </c>
      <c r="AQ374" s="54">
        <v>230</v>
      </c>
      <c r="AR374" s="54">
        <v>6.9</v>
      </c>
      <c r="AS374" s="57">
        <v>5.76</v>
      </c>
      <c r="AT374" s="56">
        <v>30</v>
      </c>
      <c r="AU374" s="57">
        <v>140</v>
      </c>
      <c r="AV374" s="56">
        <v>59.309894561767599</v>
      </c>
      <c r="AW374" s="57">
        <v>366.99761276245118</v>
      </c>
      <c r="AX374" s="8"/>
      <c r="AZ374" s="1">
        <v>90</v>
      </c>
    </row>
    <row r="375" spans="3:52" ht="15" customHeight="1" x14ac:dyDescent="0.25">
      <c r="C375" s="42"/>
      <c r="D375" s="69">
        <f>D364</f>
        <v>45687</v>
      </c>
      <c r="E375" s="70">
        <f t="shared" si="36"/>
        <v>30.166666666666508</v>
      </c>
      <c r="F375" s="71">
        <f t="shared" si="33"/>
        <v>45688.166666667537</v>
      </c>
      <c r="G375" s="60">
        <v>39</v>
      </c>
      <c r="H375" s="61">
        <v>39</v>
      </c>
      <c r="I375" s="62">
        <v>10.199999999999999</v>
      </c>
      <c r="J375" s="62">
        <v>300</v>
      </c>
      <c r="K375" s="63">
        <v>7.7</v>
      </c>
      <c r="L375" s="64">
        <v>39</v>
      </c>
      <c r="M375" s="62">
        <v>10.3</v>
      </c>
      <c r="N375" s="62">
        <v>300</v>
      </c>
      <c r="O375" s="65">
        <v>7.8</v>
      </c>
      <c r="P375" s="61">
        <v>40</v>
      </c>
      <c r="Q375" s="62">
        <v>10.3</v>
      </c>
      <c r="R375" s="63">
        <v>0</v>
      </c>
      <c r="S375" s="63">
        <v>7.6</v>
      </c>
      <c r="T375" s="65">
        <v>16.73</v>
      </c>
      <c r="U375" s="64">
        <v>36</v>
      </c>
      <c r="V375" s="62">
        <v>103</v>
      </c>
      <c r="W375" s="63">
        <v>0</v>
      </c>
      <c r="X375" s="63">
        <v>7.9</v>
      </c>
      <c r="Y375" s="65">
        <v>14.8</v>
      </c>
      <c r="Z375" s="61">
        <v>37</v>
      </c>
      <c r="AA375" s="62">
        <v>10.199999999999999</v>
      </c>
      <c r="AB375" s="63">
        <v>0</v>
      </c>
      <c r="AC375" s="63">
        <v>7.2</v>
      </c>
      <c r="AD375" s="65">
        <v>14.8</v>
      </c>
      <c r="AE375" s="64">
        <v>37</v>
      </c>
      <c r="AF375" s="62">
        <v>10.1</v>
      </c>
      <c r="AG375" s="63">
        <v>0</v>
      </c>
      <c r="AH375" s="63">
        <v>7.2</v>
      </c>
      <c r="AI375" s="65">
        <v>13.46</v>
      </c>
      <c r="AJ375" s="64">
        <v>34</v>
      </c>
      <c r="AK375" s="62">
        <v>10.1</v>
      </c>
      <c r="AL375" s="62">
        <v>0</v>
      </c>
      <c r="AM375" s="62">
        <v>6.9</v>
      </c>
      <c r="AN375" s="65">
        <v>5.96</v>
      </c>
      <c r="AO375" s="61">
        <v>36</v>
      </c>
      <c r="AP375" s="62">
        <v>10.199999999999999</v>
      </c>
      <c r="AQ375" s="62">
        <v>250</v>
      </c>
      <c r="AR375" s="62">
        <v>6.7</v>
      </c>
      <c r="AS375" s="65">
        <v>10.57</v>
      </c>
      <c r="AT375" s="64">
        <v>31</v>
      </c>
      <c r="AU375" s="65">
        <v>140</v>
      </c>
      <c r="AV375" s="64">
        <v>58.43505859375</v>
      </c>
      <c r="AW375" s="65">
        <v>383.78436037699379</v>
      </c>
      <c r="AX375" s="8"/>
      <c r="AZ375" s="1">
        <v>90</v>
      </c>
    </row>
    <row r="376" spans="3:52" ht="15" customHeight="1" x14ac:dyDescent="0.25">
      <c r="C376" s="42">
        <f>DAY(D376)</f>
        <v>31</v>
      </c>
      <c r="D376" s="66">
        <f>D364+1</f>
        <v>45688</v>
      </c>
      <c r="E376" s="67">
        <f>E375+2/24</f>
        <v>30.24999999999984</v>
      </c>
      <c r="F376" s="68">
        <f t="shared" si="33"/>
        <v>45688.250000000873</v>
      </c>
      <c r="G376" s="46">
        <v>38</v>
      </c>
      <c r="H376" s="47">
        <v>39</v>
      </c>
      <c r="I376" s="48">
        <v>10.4</v>
      </c>
      <c r="J376" s="48">
        <v>300</v>
      </c>
      <c r="K376" s="49">
        <v>8</v>
      </c>
      <c r="L376" s="50">
        <v>40</v>
      </c>
      <c r="M376" s="48">
        <v>10.4</v>
      </c>
      <c r="N376" s="48">
        <v>300</v>
      </c>
      <c r="O376" s="51">
        <v>7.9</v>
      </c>
      <c r="P376" s="47">
        <v>38</v>
      </c>
      <c r="Q376" s="48">
        <v>10.3</v>
      </c>
      <c r="R376" s="49">
        <v>0</v>
      </c>
      <c r="S376" s="49">
        <v>7.8</v>
      </c>
      <c r="T376" s="51">
        <v>16.73</v>
      </c>
      <c r="U376" s="50">
        <v>37</v>
      </c>
      <c r="V376" s="48">
        <v>10.199999999999999</v>
      </c>
      <c r="W376" s="49">
        <v>0</v>
      </c>
      <c r="X376" s="49">
        <v>7.8</v>
      </c>
      <c r="Y376" s="51">
        <v>15</v>
      </c>
      <c r="Z376" s="47">
        <v>36</v>
      </c>
      <c r="AA376" s="48">
        <v>10.199999999999999</v>
      </c>
      <c r="AB376" s="49">
        <v>0</v>
      </c>
      <c r="AC376" s="49">
        <v>7.8</v>
      </c>
      <c r="AD376" s="51">
        <v>14.8</v>
      </c>
      <c r="AE376" s="50">
        <v>36</v>
      </c>
      <c r="AF376" s="48">
        <v>10.199999999999999</v>
      </c>
      <c r="AG376" s="49">
        <v>0</v>
      </c>
      <c r="AH376" s="49">
        <v>6.7</v>
      </c>
      <c r="AI376" s="51">
        <v>13.65</v>
      </c>
      <c r="AJ376" s="50">
        <v>35</v>
      </c>
      <c r="AK376" s="48">
        <v>10.1</v>
      </c>
      <c r="AL376" s="48">
        <v>0</v>
      </c>
      <c r="AM376" s="48">
        <v>7</v>
      </c>
      <c r="AN376" s="51">
        <v>5.96</v>
      </c>
      <c r="AO376" s="47">
        <v>36</v>
      </c>
      <c r="AP376" s="48">
        <v>10.199999999999999</v>
      </c>
      <c r="AQ376" s="48">
        <v>250</v>
      </c>
      <c r="AR376" s="48">
        <v>6.4</v>
      </c>
      <c r="AS376" s="51">
        <v>14.8</v>
      </c>
      <c r="AT376" s="50">
        <v>30</v>
      </c>
      <c r="AU376" s="51">
        <v>130</v>
      </c>
      <c r="AV376" s="50">
        <v>58.231609344482401</v>
      </c>
      <c r="AW376" s="51">
        <v>383.39180704752602</v>
      </c>
      <c r="AX376" s="8"/>
      <c r="AZ376" s="1">
        <v>90</v>
      </c>
    </row>
    <row r="377" spans="3:52" ht="15" customHeight="1" x14ac:dyDescent="0.25">
      <c r="C377" s="42"/>
      <c r="D377" s="43">
        <f>D376</f>
        <v>45688</v>
      </c>
      <c r="E377" s="44">
        <f>E376+2/24</f>
        <v>30.333333333333172</v>
      </c>
      <c r="F377" s="45">
        <f t="shared" si="33"/>
        <v>45688.333333334209</v>
      </c>
      <c r="G377" s="52">
        <v>38</v>
      </c>
      <c r="H377" s="53">
        <v>40</v>
      </c>
      <c r="I377" s="54">
        <v>10</v>
      </c>
      <c r="J377" s="54">
        <v>300</v>
      </c>
      <c r="K377" s="55">
        <v>7.4</v>
      </c>
      <c r="L377" s="56">
        <v>38</v>
      </c>
      <c r="M377" s="54">
        <v>10.6</v>
      </c>
      <c r="N377" s="54">
        <v>300</v>
      </c>
      <c r="O377" s="57">
        <v>6.5</v>
      </c>
      <c r="P377" s="53">
        <v>37</v>
      </c>
      <c r="Q377" s="54">
        <v>10.5</v>
      </c>
      <c r="R377" s="55">
        <v>0</v>
      </c>
      <c r="S377" s="55">
        <v>6.8</v>
      </c>
      <c r="T377" s="57">
        <v>16.34</v>
      </c>
      <c r="U377" s="56">
        <v>36</v>
      </c>
      <c r="V377" s="54">
        <v>10.4</v>
      </c>
      <c r="W377" s="55">
        <v>0</v>
      </c>
      <c r="X377" s="55">
        <v>6.3</v>
      </c>
      <c r="Y377" s="57">
        <v>14.42</v>
      </c>
      <c r="Z377" s="53">
        <v>35</v>
      </c>
      <c r="AA377" s="54">
        <v>10.4</v>
      </c>
      <c r="AB377" s="55">
        <v>0</v>
      </c>
      <c r="AC377" s="55">
        <v>6</v>
      </c>
      <c r="AD377" s="57">
        <v>13.46</v>
      </c>
      <c r="AE377" s="56">
        <v>37</v>
      </c>
      <c r="AF377" s="54">
        <v>10.4</v>
      </c>
      <c r="AG377" s="55">
        <v>0</v>
      </c>
      <c r="AH377" s="55">
        <v>5.8</v>
      </c>
      <c r="AI377" s="57">
        <v>14.42</v>
      </c>
      <c r="AJ377" s="56">
        <v>36</v>
      </c>
      <c r="AK377" s="54">
        <v>10.4</v>
      </c>
      <c r="AL377" s="54">
        <v>0</v>
      </c>
      <c r="AM377" s="54">
        <v>5.4</v>
      </c>
      <c r="AN377" s="57">
        <v>5.76</v>
      </c>
      <c r="AO377" s="53">
        <v>36</v>
      </c>
      <c r="AP377" s="54">
        <v>10.3</v>
      </c>
      <c r="AQ377" s="54">
        <v>360</v>
      </c>
      <c r="AR377" s="54">
        <v>5.2</v>
      </c>
      <c r="AS377" s="57">
        <v>14.42</v>
      </c>
      <c r="AT377" s="56">
        <v>29</v>
      </c>
      <c r="AU377" s="57">
        <v>210</v>
      </c>
      <c r="AV377" s="56">
        <v>59.004718780517599</v>
      </c>
      <c r="AW377" s="57">
        <v>384.56464640299481</v>
      </c>
      <c r="AX377" s="8"/>
      <c r="AZ377" s="1">
        <v>90</v>
      </c>
    </row>
    <row r="378" spans="3:52" ht="15" customHeight="1" x14ac:dyDescent="0.25">
      <c r="C378" s="42"/>
      <c r="D378" s="43">
        <f>D376</f>
        <v>45688</v>
      </c>
      <c r="E378" s="44">
        <f t="shared" ref="E378:E387" si="37">E377+2/24</f>
        <v>30.416666666666504</v>
      </c>
      <c r="F378" s="45">
        <f t="shared" si="33"/>
        <v>45688.416666667545</v>
      </c>
      <c r="G378" s="52">
        <v>36</v>
      </c>
      <c r="H378" s="53">
        <v>38</v>
      </c>
      <c r="I378" s="54">
        <v>10.5</v>
      </c>
      <c r="J378" s="54">
        <v>250</v>
      </c>
      <c r="K378" s="55">
        <v>7.4</v>
      </c>
      <c r="L378" s="56">
        <v>39</v>
      </c>
      <c r="M378" s="54">
        <v>10.3</v>
      </c>
      <c r="N378" s="54">
        <v>300</v>
      </c>
      <c r="O378" s="57">
        <v>6.7</v>
      </c>
      <c r="P378" s="53">
        <v>37</v>
      </c>
      <c r="Q378" s="54">
        <v>10.4</v>
      </c>
      <c r="R378" s="55">
        <v>0</v>
      </c>
      <c r="S378" s="55">
        <v>6.5</v>
      </c>
      <c r="T378" s="57">
        <v>16.53</v>
      </c>
      <c r="U378" s="56">
        <v>36</v>
      </c>
      <c r="V378" s="54">
        <v>10.4</v>
      </c>
      <c r="W378" s="55">
        <v>0</v>
      </c>
      <c r="X378" s="55">
        <v>6.3</v>
      </c>
      <c r="Y378" s="57">
        <v>14.16</v>
      </c>
      <c r="Z378" s="53">
        <v>35</v>
      </c>
      <c r="AA378" s="54">
        <v>10.4</v>
      </c>
      <c r="AB378" s="55">
        <v>0</v>
      </c>
      <c r="AC378" s="55">
        <v>6.4</v>
      </c>
      <c r="AD378" s="57">
        <v>13.84</v>
      </c>
      <c r="AE378" s="56">
        <v>37</v>
      </c>
      <c r="AF378" s="54">
        <v>10.4</v>
      </c>
      <c r="AG378" s="55">
        <v>0</v>
      </c>
      <c r="AH378" s="55">
        <v>5.4</v>
      </c>
      <c r="AI378" s="57">
        <v>14.8</v>
      </c>
      <c r="AJ378" s="56">
        <v>36</v>
      </c>
      <c r="AK378" s="54">
        <v>10.5</v>
      </c>
      <c r="AL378" s="54">
        <v>0</v>
      </c>
      <c r="AM378" s="54">
        <v>5.4</v>
      </c>
      <c r="AN378" s="57">
        <v>5.79</v>
      </c>
      <c r="AO378" s="53">
        <v>35</v>
      </c>
      <c r="AP378" s="54">
        <v>10.3</v>
      </c>
      <c r="AQ378" s="54">
        <v>300</v>
      </c>
      <c r="AR378" s="54">
        <v>5.4</v>
      </c>
      <c r="AS378" s="57">
        <v>14.23</v>
      </c>
      <c r="AT378" s="56">
        <v>29</v>
      </c>
      <c r="AU378" s="57">
        <v>190</v>
      </c>
      <c r="AV378" s="56">
        <v>58.931476593017599</v>
      </c>
      <c r="AW378" s="57">
        <v>383.03276888529462</v>
      </c>
      <c r="AX378" s="8"/>
      <c r="AZ378" s="1">
        <v>90</v>
      </c>
    </row>
    <row r="379" spans="3:52" ht="15" customHeight="1" x14ac:dyDescent="0.25">
      <c r="C379" s="42"/>
      <c r="D379" s="43">
        <f>D376</f>
        <v>45688</v>
      </c>
      <c r="E379" s="44">
        <f t="shared" si="37"/>
        <v>30.499999999999837</v>
      </c>
      <c r="F379" s="45">
        <f t="shared" si="33"/>
        <v>45688.50000000088</v>
      </c>
      <c r="G379" s="52">
        <v>32</v>
      </c>
      <c r="H379" s="53">
        <v>38</v>
      </c>
      <c r="I379" s="54">
        <v>10.3</v>
      </c>
      <c r="J379" s="54">
        <v>200</v>
      </c>
      <c r="K379" s="55">
        <v>7.5</v>
      </c>
      <c r="L379" s="56">
        <v>38</v>
      </c>
      <c r="M379" s="54">
        <v>10.1</v>
      </c>
      <c r="N379" s="54">
        <v>300</v>
      </c>
      <c r="O379" s="57">
        <v>6.2</v>
      </c>
      <c r="P379" s="53">
        <v>37</v>
      </c>
      <c r="Q379" s="54">
        <v>10.3</v>
      </c>
      <c r="R379" s="55">
        <v>0</v>
      </c>
      <c r="S379" s="55">
        <v>6.4</v>
      </c>
      <c r="T379" s="57">
        <v>16.34</v>
      </c>
      <c r="U379" s="56">
        <v>37</v>
      </c>
      <c r="V379" s="54">
        <v>10.3</v>
      </c>
      <c r="W379" s="55">
        <v>0</v>
      </c>
      <c r="X379" s="55">
        <v>6.5</v>
      </c>
      <c r="Y379" s="57">
        <v>14.42</v>
      </c>
      <c r="Z379" s="53">
        <v>35</v>
      </c>
      <c r="AA379" s="54">
        <v>10.3</v>
      </c>
      <c r="AB379" s="55">
        <v>0</v>
      </c>
      <c r="AC379" s="55">
        <v>6.2</v>
      </c>
      <c r="AD379" s="57">
        <v>13.46</v>
      </c>
      <c r="AE379" s="56">
        <v>36</v>
      </c>
      <c r="AF379" s="54">
        <v>10.3</v>
      </c>
      <c r="AG379" s="55">
        <v>0</v>
      </c>
      <c r="AH379" s="55">
        <v>5.2</v>
      </c>
      <c r="AI379" s="57">
        <v>14.42</v>
      </c>
      <c r="AJ379" s="56">
        <v>35</v>
      </c>
      <c r="AK379" s="54">
        <v>10</v>
      </c>
      <c r="AL379" s="54">
        <v>0</v>
      </c>
      <c r="AM379" s="54">
        <v>5.2</v>
      </c>
      <c r="AN379" s="57">
        <v>5.19</v>
      </c>
      <c r="AO379" s="53">
        <v>35</v>
      </c>
      <c r="AP379" s="54">
        <v>10.3</v>
      </c>
      <c r="AQ379" s="54">
        <v>300</v>
      </c>
      <c r="AR379" s="54">
        <v>5.4</v>
      </c>
      <c r="AS379" s="57">
        <v>14.23</v>
      </c>
      <c r="AT379" s="56">
        <v>29</v>
      </c>
      <c r="AU379" s="57">
        <v>190</v>
      </c>
      <c r="AV379" s="56">
        <v>59.138996124267599</v>
      </c>
      <c r="AW379" s="57">
        <v>384.07467753092448</v>
      </c>
      <c r="AX379" s="8"/>
      <c r="AZ379" s="1">
        <v>90</v>
      </c>
    </row>
    <row r="380" spans="3:52" ht="15" customHeight="1" x14ac:dyDescent="0.25">
      <c r="C380" s="42"/>
      <c r="D380" s="43">
        <f>D376</f>
        <v>45688</v>
      </c>
      <c r="E380" s="44">
        <f t="shared" si="37"/>
        <v>30.583333333333169</v>
      </c>
      <c r="F380" s="45">
        <f t="shared" si="33"/>
        <v>45688.583333334216</v>
      </c>
      <c r="G380" s="52">
        <v>36</v>
      </c>
      <c r="H380" s="53">
        <v>37</v>
      </c>
      <c r="I380" s="54">
        <v>10.199999999999999</v>
      </c>
      <c r="J380" s="54">
        <v>300</v>
      </c>
      <c r="K380" s="55">
        <v>7.3</v>
      </c>
      <c r="L380" s="56">
        <v>37</v>
      </c>
      <c r="M380" s="54">
        <v>10.1</v>
      </c>
      <c r="N380" s="54">
        <v>300</v>
      </c>
      <c r="O380" s="57">
        <v>6.2</v>
      </c>
      <c r="P380" s="53">
        <v>37</v>
      </c>
      <c r="Q380" s="54">
        <v>10.3</v>
      </c>
      <c r="R380" s="55">
        <v>0</v>
      </c>
      <c r="S380" s="55">
        <v>6.4</v>
      </c>
      <c r="T380" s="57">
        <v>16.53</v>
      </c>
      <c r="U380" s="56">
        <v>37</v>
      </c>
      <c r="V380" s="54">
        <v>10.3</v>
      </c>
      <c r="W380" s="55">
        <v>0</v>
      </c>
      <c r="X380" s="55">
        <v>6.5</v>
      </c>
      <c r="Y380" s="57">
        <v>14.42</v>
      </c>
      <c r="Z380" s="53">
        <v>36</v>
      </c>
      <c r="AA380" s="54">
        <v>10.3</v>
      </c>
      <c r="AB380" s="55">
        <v>0</v>
      </c>
      <c r="AC380" s="55">
        <v>6</v>
      </c>
      <c r="AD380" s="57">
        <v>13.84</v>
      </c>
      <c r="AE380" s="56">
        <v>36</v>
      </c>
      <c r="AF380" s="54">
        <v>10.3</v>
      </c>
      <c r="AG380" s="55">
        <v>0</v>
      </c>
      <c r="AH380" s="55">
        <v>5.7</v>
      </c>
      <c r="AI380" s="57">
        <v>14.8</v>
      </c>
      <c r="AJ380" s="56">
        <v>36</v>
      </c>
      <c r="AK380" s="54">
        <v>10.199999999999999</v>
      </c>
      <c r="AL380" s="54">
        <v>0</v>
      </c>
      <c r="AM380" s="54">
        <v>5.3</v>
      </c>
      <c r="AN380" s="57">
        <v>5.76</v>
      </c>
      <c r="AO380" s="53">
        <v>35</v>
      </c>
      <c r="AP380" s="54">
        <v>10.3</v>
      </c>
      <c r="AQ380" s="54">
        <v>250</v>
      </c>
      <c r="AR380" s="54">
        <v>5.6</v>
      </c>
      <c r="AS380" s="57">
        <v>14.23</v>
      </c>
      <c r="AT380" s="56">
        <v>28</v>
      </c>
      <c r="AU380" s="57">
        <v>200</v>
      </c>
      <c r="AV380" s="56">
        <v>58.992511749267599</v>
      </c>
      <c r="AW380" s="57">
        <v>383.92831319173177</v>
      </c>
      <c r="AX380" s="8"/>
      <c r="AZ380" s="1">
        <v>90</v>
      </c>
    </row>
    <row r="381" spans="3:52" ht="15" customHeight="1" x14ac:dyDescent="0.25">
      <c r="C381" s="42"/>
      <c r="D381" s="43">
        <f>D376</f>
        <v>45688</v>
      </c>
      <c r="E381" s="44">
        <f t="shared" si="37"/>
        <v>30.666666666666501</v>
      </c>
      <c r="F381" s="45">
        <f t="shared" si="33"/>
        <v>45688.666666667552</v>
      </c>
      <c r="G381" s="52">
        <v>35</v>
      </c>
      <c r="H381" s="53">
        <v>36</v>
      </c>
      <c r="I381" s="54">
        <v>9.6</v>
      </c>
      <c r="J381" s="54">
        <v>300</v>
      </c>
      <c r="K381" s="55">
        <v>7.4</v>
      </c>
      <c r="L381" s="56">
        <v>37</v>
      </c>
      <c r="M381" s="54">
        <v>10</v>
      </c>
      <c r="N381" s="54">
        <v>300</v>
      </c>
      <c r="O381" s="57">
        <v>6.5</v>
      </c>
      <c r="P381" s="53">
        <v>36</v>
      </c>
      <c r="Q381" s="54">
        <v>10.199999999999999</v>
      </c>
      <c r="R381" s="55">
        <v>0</v>
      </c>
      <c r="S381" s="55">
        <v>6.5</v>
      </c>
      <c r="T381" s="57">
        <v>16.34</v>
      </c>
      <c r="U381" s="56">
        <v>36</v>
      </c>
      <c r="V381" s="54">
        <v>10.199999999999999</v>
      </c>
      <c r="W381" s="55">
        <v>0</v>
      </c>
      <c r="X381" s="55">
        <v>6.7</v>
      </c>
      <c r="Y381" s="57">
        <v>13.46</v>
      </c>
      <c r="Z381" s="53">
        <v>36</v>
      </c>
      <c r="AA381" s="54">
        <v>10.199999999999999</v>
      </c>
      <c r="AB381" s="55">
        <v>0</v>
      </c>
      <c r="AC381" s="55">
        <v>6.5</v>
      </c>
      <c r="AD381" s="57">
        <v>14.42</v>
      </c>
      <c r="AE381" s="56">
        <v>35</v>
      </c>
      <c r="AF381" s="54">
        <v>10.199999999999999</v>
      </c>
      <c r="AG381" s="55">
        <v>0</v>
      </c>
      <c r="AH381" s="55">
        <v>5.8</v>
      </c>
      <c r="AI381" s="57">
        <v>14.42</v>
      </c>
      <c r="AJ381" s="56">
        <v>36</v>
      </c>
      <c r="AK381" s="54">
        <v>10.1</v>
      </c>
      <c r="AL381" s="54">
        <v>0</v>
      </c>
      <c r="AM381" s="54">
        <v>0</v>
      </c>
      <c r="AN381" s="57">
        <v>5.76</v>
      </c>
      <c r="AO381" s="53">
        <v>34</v>
      </c>
      <c r="AP381" s="54">
        <v>10.199999999999999</v>
      </c>
      <c r="AQ381" s="54">
        <v>200</v>
      </c>
      <c r="AR381" s="54">
        <v>5.9</v>
      </c>
      <c r="AS381" s="57">
        <v>12.5</v>
      </c>
      <c r="AT381" s="56">
        <v>27</v>
      </c>
      <c r="AU381" s="57">
        <v>190</v>
      </c>
      <c r="AV381" s="56">
        <v>58.610027313232401</v>
      </c>
      <c r="AW381" s="57">
        <v>384.96190185546874</v>
      </c>
      <c r="AX381" s="8"/>
      <c r="AZ381" s="1">
        <v>90</v>
      </c>
    </row>
    <row r="382" spans="3:52" ht="15" customHeight="1" x14ac:dyDescent="0.25">
      <c r="C382" s="42"/>
      <c r="D382" s="43">
        <f>D376</f>
        <v>45688</v>
      </c>
      <c r="E382" s="44">
        <f t="shared" si="37"/>
        <v>30.749999999999833</v>
      </c>
      <c r="F382" s="45">
        <f t="shared" si="33"/>
        <v>45688.750000000888</v>
      </c>
      <c r="G382" s="52">
        <v>34</v>
      </c>
      <c r="H382" s="53">
        <v>36</v>
      </c>
      <c r="I382" s="54">
        <v>9.6999999999999993</v>
      </c>
      <c r="J382" s="54">
        <v>350</v>
      </c>
      <c r="K382" s="55">
        <v>7.5</v>
      </c>
      <c r="L382" s="56">
        <v>35</v>
      </c>
      <c r="M382" s="54">
        <v>10.1</v>
      </c>
      <c r="N382" s="54">
        <v>300</v>
      </c>
      <c r="O382" s="57">
        <v>6.2</v>
      </c>
      <c r="P382" s="53">
        <v>35</v>
      </c>
      <c r="Q382" s="54">
        <v>10.1</v>
      </c>
      <c r="R382" s="55">
        <v>0</v>
      </c>
      <c r="S382" s="55">
        <v>6.2</v>
      </c>
      <c r="T382" s="57">
        <v>16.34</v>
      </c>
      <c r="U382" s="56">
        <v>36</v>
      </c>
      <c r="V382" s="54">
        <v>10.1</v>
      </c>
      <c r="W382" s="55">
        <v>0</v>
      </c>
      <c r="X382" s="55">
        <v>6.4</v>
      </c>
      <c r="Y382" s="57">
        <v>14.61</v>
      </c>
      <c r="Z382" s="53">
        <v>36</v>
      </c>
      <c r="AA382" s="54">
        <v>10.199999999999999</v>
      </c>
      <c r="AB382" s="55">
        <v>0</v>
      </c>
      <c r="AC382" s="55">
        <v>6.2</v>
      </c>
      <c r="AD382" s="57">
        <v>14.42</v>
      </c>
      <c r="AE382" s="56">
        <v>35</v>
      </c>
      <c r="AF382" s="54">
        <v>10.199999999999999</v>
      </c>
      <c r="AG382" s="55">
        <v>0</v>
      </c>
      <c r="AH382" s="55">
        <v>6.2</v>
      </c>
      <c r="AI382" s="57">
        <v>14.8</v>
      </c>
      <c r="AJ382" s="56">
        <v>35</v>
      </c>
      <c r="AK382" s="54">
        <v>10.199999999999999</v>
      </c>
      <c r="AL382" s="54">
        <v>0</v>
      </c>
      <c r="AM382" s="54">
        <v>5.4</v>
      </c>
      <c r="AN382" s="57">
        <v>5.76</v>
      </c>
      <c r="AO382" s="53">
        <v>34</v>
      </c>
      <c r="AP382" s="54">
        <v>10.199999999999999</v>
      </c>
      <c r="AQ382" s="54">
        <v>220</v>
      </c>
      <c r="AR382" s="54">
        <v>5.6</v>
      </c>
      <c r="AS382" s="57">
        <v>14.23</v>
      </c>
      <c r="AT382" s="56">
        <v>28</v>
      </c>
      <c r="AU382" s="57">
        <v>200</v>
      </c>
      <c r="AV382" s="56">
        <v>58.92333984375</v>
      </c>
      <c r="AW382" s="57">
        <v>386.62519327799481</v>
      </c>
      <c r="AX382" s="8"/>
      <c r="AZ382" s="1">
        <v>90</v>
      </c>
    </row>
    <row r="383" spans="3:52" ht="15" customHeight="1" x14ac:dyDescent="0.25">
      <c r="C383" s="42"/>
      <c r="D383" s="43">
        <f>D376</f>
        <v>45688</v>
      </c>
      <c r="E383" s="44">
        <f t="shared" si="37"/>
        <v>30.833333333333165</v>
      </c>
      <c r="F383" s="45">
        <f t="shared" si="33"/>
        <v>45688.833333334223</v>
      </c>
      <c r="G383" s="52">
        <v>42</v>
      </c>
      <c r="H383" s="53">
        <v>40</v>
      </c>
      <c r="I383" s="54">
        <v>9.5</v>
      </c>
      <c r="J383" s="54">
        <v>300</v>
      </c>
      <c r="K383" s="55">
        <v>7.7</v>
      </c>
      <c r="L383" s="56">
        <v>41</v>
      </c>
      <c r="M383" s="54">
        <v>9.9</v>
      </c>
      <c r="N383" s="54">
        <v>300</v>
      </c>
      <c r="O383" s="57">
        <v>9.1</v>
      </c>
      <c r="P383" s="53">
        <v>38</v>
      </c>
      <c r="Q383" s="54">
        <v>10.1</v>
      </c>
      <c r="R383" s="55">
        <v>0</v>
      </c>
      <c r="S383" s="55">
        <v>6.8</v>
      </c>
      <c r="T383" s="57">
        <v>17.3</v>
      </c>
      <c r="U383" s="56">
        <v>38</v>
      </c>
      <c r="V383" s="54">
        <v>10.1</v>
      </c>
      <c r="W383" s="55">
        <v>0</v>
      </c>
      <c r="X383" s="55">
        <v>10.3</v>
      </c>
      <c r="Y383" s="57">
        <v>14.42</v>
      </c>
      <c r="Z383" s="53">
        <v>38</v>
      </c>
      <c r="AA383" s="54">
        <v>10.1</v>
      </c>
      <c r="AB383" s="55">
        <v>0</v>
      </c>
      <c r="AC383" s="55">
        <v>6.6</v>
      </c>
      <c r="AD383" s="57">
        <v>15.38</v>
      </c>
      <c r="AE383" s="56">
        <v>38</v>
      </c>
      <c r="AF383" s="54">
        <v>10.199999999999999</v>
      </c>
      <c r="AG383" s="55">
        <v>0</v>
      </c>
      <c r="AH383" s="55">
        <v>6.2</v>
      </c>
      <c r="AI383" s="57">
        <v>14.42</v>
      </c>
      <c r="AJ383" s="56">
        <v>37</v>
      </c>
      <c r="AK383" s="54">
        <v>10.1</v>
      </c>
      <c r="AL383" s="54">
        <v>0</v>
      </c>
      <c r="AM383" s="54">
        <v>6.3</v>
      </c>
      <c r="AN383" s="57">
        <v>5.76</v>
      </c>
      <c r="AO383" s="53">
        <v>39</v>
      </c>
      <c r="AP383" s="54">
        <v>10.1</v>
      </c>
      <c r="AQ383" s="54">
        <v>200</v>
      </c>
      <c r="AR383" s="54">
        <v>6.4</v>
      </c>
      <c r="AS383" s="57">
        <v>18.260000000000002</v>
      </c>
      <c r="AT383" s="56">
        <v>29</v>
      </c>
      <c r="AU383" s="57">
        <v>150</v>
      </c>
      <c r="AV383" s="56">
        <v>58.455402374267599</v>
      </c>
      <c r="AW383" s="57">
        <v>387.36725997924805</v>
      </c>
      <c r="AX383" s="8"/>
      <c r="AZ383" s="1">
        <v>90</v>
      </c>
    </row>
    <row r="384" spans="3:52" ht="15" customHeight="1" x14ac:dyDescent="0.25">
      <c r="C384" s="42"/>
      <c r="D384" s="43">
        <f>D376</f>
        <v>45688</v>
      </c>
      <c r="E384" s="44">
        <f t="shared" si="37"/>
        <v>30.916666666666497</v>
      </c>
      <c r="F384" s="45">
        <f t="shared" si="33"/>
        <v>45688.916666667559</v>
      </c>
      <c r="G384" s="52">
        <v>43</v>
      </c>
      <c r="H384" s="53">
        <v>40</v>
      </c>
      <c r="I384" s="54">
        <v>9.6999999999999993</v>
      </c>
      <c r="J384" s="54">
        <v>300</v>
      </c>
      <c r="K384" s="55">
        <v>7.8</v>
      </c>
      <c r="L384" s="56">
        <v>40</v>
      </c>
      <c r="M384" s="54">
        <v>9.9</v>
      </c>
      <c r="N384" s="54">
        <v>300</v>
      </c>
      <c r="O384" s="57">
        <v>8.5</v>
      </c>
      <c r="P384" s="53">
        <v>38</v>
      </c>
      <c r="Q384" s="54">
        <v>10.1</v>
      </c>
      <c r="R384" s="55">
        <v>0</v>
      </c>
      <c r="S384" s="55">
        <v>6.9</v>
      </c>
      <c r="T384" s="57">
        <v>17.600000000000001</v>
      </c>
      <c r="U384" s="56">
        <v>39</v>
      </c>
      <c r="V384" s="54">
        <v>10.1</v>
      </c>
      <c r="W384" s="55">
        <v>0</v>
      </c>
      <c r="X384" s="55">
        <v>9.9</v>
      </c>
      <c r="Y384" s="57">
        <v>14.4</v>
      </c>
      <c r="Z384" s="53">
        <v>39</v>
      </c>
      <c r="AA384" s="54">
        <v>10.1</v>
      </c>
      <c r="AB384" s="55">
        <v>0</v>
      </c>
      <c r="AC384" s="55">
        <v>6.5</v>
      </c>
      <c r="AD384" s="57">
        <v>15.7</v>
      </c>
      <c r="AE384" s="56">
        <v>38</v>
      </c>
      <c r="AF384" s="54">
        <v>10.1</v>
      </c>
      <c r="AG384" s="55">
        <v>0</v>
      </c>
      <c r="AH384" s="55">
        <v>6.2</v>
      </c>
      <c r="AI384" s="57">
        <v>14.8</v>
      </c>
      <c r="AJ384" s="56">
        <v>37</v>
      </c>
      <c r="AK384" s="54">
        <v>10.1</v>
      </c>
      <c r="AL384" s="54">
        <v>0</v>
      </c>
      <c r="AM384" s="54">
        <v>6.4</v>
      </c>
      <c r="AN384" s="57">
        <v>5.3</v>
      </c>
      <c r="AO384" s="53">
        <v>38</v>
      </c>
      <c r="AP384" s="54">
        <v>10.3</v>
      </c>
      <c r="AQ384" s="54">
        <v>200</v>
      </c>
      <c r="AR384" s="54">
        <v>6.5</v>
      </c>
      <c r="AS384" s="57">
        <v>28.8</v>
      </c>
      <c r="AT384" s="56">
        <v>29</v>
      </c>
      <c r="AU384" s="57">
        <v>160</v>
      </c>
      <c r="AV384" s="56">
        <v>58.58154296875</v>
      </c>
      <c r="AW384" s="57">
        <v>387.68482309977213</v>
      </c>
      <c r="AX384" s="8"/>
      <c r="AZ384" s="1">
        <v>90</v>
      </c>
    </row>
    <row r="385" spans="3:52" ht="15" customHeight="1" x14ac:dyDescent="0.25">
      <c r="C385" s="42"/>
      <c r="D385" s="43">
        <f>D376</f>
        <v>45688</v>
      </c>
      <c r="E385" s="44">
        <f t="shared" si="37"/>
        <v>30.999999999999829</v>
      </c>
      <c r="F385" s="45">
        <f t="shared" si="33"/>
        <v>45689.000000000895</v>
      </c>
      <c r="G385" s="52">
        <v>44</v>
      </c>
      <c r="H385" s="53">
        <v>40</v>
      </c>
      <c r="I385" s="54">
        <v>10.7</v>
      </c>
      <c r="J385" s="54">
        <v>350</v>
      </c>
      <c r="K385" s="55">
        <v>7.7</v>
      </c>
      <c r="L385" s="56">
        <v>41</v>
      </c>
      <c r="M385" s="54">
        <v>9.9</v>
      </c>
      <c r="N385" s="54">
        <v>300</v>
      </c>
      <c r="O385" s="57">
        <v>7.6</v>
      </c>
      <c r="P385" s="53">
        <v>38</v>
      </c>
      <c r="Q385" s="54">
        <v>10</v>
      </c>
      <c r="R385" s="55">
        <v>0</v>
      </c>
      <c r="S385" s="55">
        <v>8.1</v>
      </c>
      <c r="T385" s="57">
        <v>16.3</v>
      </c>
      <c r="U385" s="56">
        <v>39</v>
      </c>
      <c r="V385" s="54">
        <v>10.1</v>
      </c>
      <c r="W385" s="55">
        <v>0</v>
      </c>
      <c r="X385" s="55">
        <v>6.7</v>
      </c>
      <c r="Y385" s="57">
        <v>14.6</v>
      </c>
      <c r="Z385" s="53">
        <v>37</v>
      </c>
      <c r="AA385" s="54">
        <v>10.1</v>
      </c>
      <c r="AB385" s="55">
        <v>0</v>
      </c>
      <c r="AC385" s="55">
        <v>6.7</v>
      </c>
      <c r="AD385" s="57">
        <v>15</v>
      </c>
      <c r="AE385" s="56">
        <v>37</v>
      </c>
      <c r="AF385" s="54">
        <v>10.199999999999999</v>
      </c>
      <c r="AG385" s="55">
        <v>0</v>
      </c>
      <c r="AH385" s="55">
        <v>6.6</v>
      </c>
      <c r="AI385" s="57">
        <v>14.4</v>
      </c>
      <c r="AJ385" s="56">
        <v>37</v>
      </c>
      <c r="AK385" s="54">
        <v>10.199999999999999</v>
      </c>
      <c r="AL385" s="54">
        <v>0</v>
      </c>
      <c r="AM385" s="54">
        <v>6.1</v>
      </c>
      <c r="AN385" s="57">
        <v>8.6</v>
      </c>
      <c r="AO385" s="53">
        <v>38</v>
      </c>
      <c r="AP385" s="54">
        <v>10.199999999999999</v>
      </c>
      <c r="AQ385" s="54">
        <v>270</v>
      </c>
      <c r="AR385" s="54">
        <v>7.7</v>
      </c>
      <c r="AS385" s="57">
        <v>25.9</v>
      </c>
      <c r="AT385" s="56">
        <v>25</v>
      </c>
      <c r="AU385" s="57">
        <v>150</v>
      </c>
      <c r="AV385" s="56">
        <v>59.16748046875</v>
      </c>
      <c r="AW385" s="57">
        <v>385.74905954996746</v>
      </c>
      <c r="AX385" s="8"/>
      <c r="AZ385" s="1">
        <v>90</v>
      </c>
    </row>
    <row r="386" spans="3:52" ht="15" customHeight="1" x14ac:dyDescent="0.25">
      <c r="C386" s="42"/>
      <c r="D386" s="43">
        <f>D376</f>
        <v>45688</v>
      </c>
      <c r="E386" s="44">
        <f t="shared" si="37"/>
        <v>31.083333333333162</v>
      </c>
      <c r="F386" s="45">
        <f t="shared" si="33"/>
        <v>45689.083333334231</v>
      </c>
      <c r="G386" s="52">
        <v>41</v>
      </c>
      <c r="H386" s="53">
        <v>40</v>
      </c>
      <c r="I386" s="54">
        <v>10.5</v>
      </c>
      <c r="J386" s="54">
        <v>300</v>
      </c>
      <c r="K386" s="55">
        <v>7.5</v>
      </c>
      <c r="L386" s="56">
        <v>41</v>
      </c>
      <c r="M386" s="54">
        <v>10</v>
      </c>
      <c r="N386" s="54">
        <v>300</v>
      </c>
      <c r="O386" s="57">
        <v>7.5</v>
      </c>
      <c r="P386" s="53">
        <v>37</v>
      </c>
      <c r="Q386" s="54">
        <v>10</v>
      </c>
      <c r="R386" s="55">
        <v>0</v>
      </c>
      <c r="S386" s="55">
        <v>7.5</v>
      </c>
      <c r="T386" s="57">
        <v>17.600000000000001</v>
      </c>
      <c r="U386" s="56">
        <v>37</v>
      </c>
      <c r="V386" s="54">
        <v>10.1</v>
      </c>
      <c r="W386" s="55">
        <v>0</v>
      </c>
      <c r="X386" s="55">
        <v>6.5</v>
      </c>
      <c r="Y386" s="57">
        <v>14.6</v>
      </c>
      <c r="Z386" s="53">
        <v>35</v>
      </c>
      <c r="AA386" s="54">
        <v>10.1</v>
      </c>
      <c r="AB386" s="55">
        <v>0</v>
      </c>
      <c r="AC386" s="55">
        <v>6.8</v>
      </c>
      <c r="AD386" s="57">
        <v>15.7</v>
      </c>
      <c r="AE386" s="56">
        <v>35</v>
      </c>
      <c r="AF386" s="54">
        <v>10.1</v>
      </c>
      <c r="AG386" s="55">
        <v>0</v>
      </c>
      <c r="AH386" s="55">
        <v>6.7</v>
      </c>
      <c r="AI386" s="57">
        <v>14.6</v>
      </c>
      <c r="AJ386" s="56">
        <v>35</v>
      </c>
      <c r="AK386" s="54">
        <v>10.199999999999999</v>
      </c>
      <c r="AL386" s="54">
        <v>0</v>
      </c>
      <c r="AM386" s="54">
        <v>6.8</v>
      </c>
      <c r="AN386" s="57">
        <v>14.8</v>
      </c>
      <c r="AO386" s="53">
        <v>36</v>
      </c>
      <c r="AP386" s="54">
        <v>10.3</v>
      </c>
      <c r="AQ386" s="54">
        <v>250</v>
      </c>
      <c r="AR386" s="54">
        <v>6.9</v>
      </c>
      <c r="AS386" s="57">
        <v>16.100000000000001</v>
      </c>
      <c r="AT386" s="56">
        <v>24</v>
      </c>
      <c r="AU386" s="57">
        <v>130</v>
      </c>
      <c r="AV386" s="56">
        <v>58.658855438232401</v>
      </c>
      <c r="AW386" s="57">
        <v>380.63175175984702</v>
      </c>
      <c r="AX386" s="8"/>
      <c r="AZ386" s="1">
        <v>90</v>
      </c>
    </row>
    <row r="387" spans="3:52" ht="15" customHeight="1" x14ac:dyDescent="0.25">
      <c r="C387" s="42"/>
      <c r="D387" s="69">
        <f>D376</f>
        <v>45688</v>
      </c>
      <c r="E387" s="70">
        <f t="shared" si="37"/>
        <v>31.166666666666494</v>
      </c>
      <c r="F387" s="71">
        <f t="shared" si="33"/>
        <v>45689.166666667566</v>
      </c>
      <c r="G387" s="72">
        <v>41</v>
      </c>
      <c r="H387" s="73">
        <v>40</v>
      </c>
      <c r="I387" s="74">
        <v>10.3</v>
      </c>
      <c r="J387" s="74">
        <v>300</v>
      </c>
      <c r="K387" s="75">
        <v>7.2</v>
      </c>
      <c r="L387" s="76">
        <v>41</v>
      </c>
      <c r="M387" s="74">
        <v>10</v>
      </c>
      <c r="N387" s="74">
        <v>350</v>
      </c>
      <c r="O387" s="77">
        <v>8.8000000000000007</v>
      </c>
      <c r="P387" s="73">
        <v>37</v>
      </c>
      <c r="Q387" s="74">
        <v>9.9</v>
      </c>
      <c r="R387" s="75">
        <v>0</v>
      </c>
      <c r="S387" s="75">
        <v>7.2</v>
      </c>
      <c r="T387" s="77">
        <v>16.3</v>
      </c>
      <c r="U387" s="76">
        <v>38</v>
      </c>
      <c r="V387" s="74">
        <v>10</v>
      </c>
      <c r="W387" s="75">
        <v>0</v>
      </c>
      <c r="X387" s="75">
        <v>6.9</v>
      </c>
      <c r="Y387" s="77">
        <v>14.6</v>
      </c>
      <c r="Z387" s="73">
        <v>36</v>
      </c>
      <c r="AA387" s="74">
        <v>10</v>
      </c>
      <c r="AB387" s="75">
        <v>0</v>
      </c>
      <c r="AC387" s="75">
        <v>7.4</v>
      </c>
      <c r="AD387" s="77">
        <v>15.3</v>
      </c>
      <c r="AE387" s="76">
        <v>37</v>
      </c>
      <c r="AF387" s="74">
        <v>10.1</v>
      </c>
      <c r="AG387" s="75">
        <v>0</v>
      </c>
      <c r="AH387" s="75">
        <v>5.8</v>
      </c>
      <c r="AI387" s="77">
        <v>14.4</v>
      </c>
      <c r="AJ387" s="76">
        <v>37</v>
      </c>
      <c r="AK387" s="74">
        <v>10.199999999999999</v>
      </c>
      <c r="AL387" s="74">
        <v>0</v>
      </c>
      <c r="AM387" s="74">
        <v>7.3</v>
      </c>
      <c r="AN387" s="77">
        <v>14.4</v>
      </c>
      <c r="AO387" s="73">
        <v>35</v>
      </c>
      <c r="AP387" s="74">
        <v>10.3</v>
      </c>
      <c r="AQ387" s="74">
        <v>260</v>
      </c>
      <c r="AR387" s="74">
        <v>8.3000000000000007</v>
      </c>
      <c r="AS387" s="77">
        <v>15.3</v>
      </c>
      <c r="AT387" s="76">
        <v>26</v>
      </c>
      <c r="AU387" s="77">
        <v>130</v>
      </c>
      <c r="AV387" s="76">
        <v>59.061687469482401</v>
      </c>
      <c r="AW387" s="77">
        <v>384.91548538208008</v>
      </c>
      <c r="AX387" s="8"/>
      <c r="AZ387" s="1">
        <v>90</v>
      </c>
    </row>
    <row r="388" spans="3:52" ht="15.75" thickBot="1" x14ac:dyDescent="0.3">
      <c r="C388" s="78"/>
      <c r="D388" s="79"/>
      <c r="E388" s="79"/>
      <c r="F388" s="79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1"/>
    </row>
  </sheetData>
  <mergeCells count="56">
    <mergeCell ref="AW12:AW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K12:AK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J12:J14"/>
    <mergeCell ref="K12:K14"/>
    <mergeCell ref="L12:L14"/>
    <mergeCell ref="M12:M14"/>
    <mergeCell ref="Y12:Y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C2:AX8"/>
    <mergeCell ref="D10:F15"/>
    <mergeCell ref="G10:G11"/>
    <mergeCell ref="H10:K11"/>
    <mergeCell ref="L10:O11"/>
    <mergeCell ref="P10:T11"/>
    <mergeCell ref="U10:Y11"/>
    <mergeCell ref="Z10:AD11"/>
    <mergeCell ref="AE10:AI11"/>
    <mergeCell ref="AJ10:AN11"/>
    <mergeCell ref="AO10:AS11"/>
    <mergeCell ref="AT10:AU11"/>
    <mergeCell ref="AV10:AW11"/>
    <mergeCell ref="G12:G14"/>
    <mergeCell ref="H12:H14"/>
    <mergeCell ref="I12:I14"/>
  </mergeCells>
  <conditionalFormatting sqref="A1:C1 G1:XFD1 C2 A2:B8 AY2:XFD8 A9:C15 AX9:XFD1048576 A16:B387 A388:C1048576 G388:AW1048576">
    <cfRule type="cellIs" dxfId="91" priority="32" operator="between">
      <formula>10</formula>
      <formula>100</formula>
    </cfRule>
    <cfRule type="cellIs" dxfId="90" priority="33" operator="between">
      <formula>1</formula>
      <formula>10</formula>
    </cfRule>
    <cfRule type="cellIs" dxfId="89" priority="34" operator="between">
      <formula>0</formula>
      <formula>1</formula>
    </cfRule>
  </conditionalFormatting>
  <conditionalFormatting sqref="A1:C1 G1:XFD1 C2 A2:B8 AY2:XFD8 A9:C15 AX9:XFD1048576 A16:B387 A388:C1048576">
    <cfRule type="cellIs" dxfId="88" priority="30" operator="equal">
      <formula>0</formula>
    </cfRule>
    <cfRule type="cellIs" dxfId="87" priority="31" operator="greaterThan">
      <formula>100</formula>
    </cfRule>
  </conditionalFormatting>
  <conditionalFormatting sqref="D16:D387">
    <cfRule type="expression" dxfId="86" priority="18">
      <formula>_xlfn.ISFORMULA(D16)</formula>
    </cfRule>
    <cfRule type="expression" priority="19">
      <formula>isvalue(D16)</formula>
    </cfRule>
  </conditionalFormatting>
  <conditionalFormatting sqref="G16:G387">
    <cfRule type="expression" dxfId="85" priority="8">
      <formula>_xlfn.ISFORMULA(G16)</formula>
    </cfRule>
    <cfRule type="expression" dxfId="84" priority="9">
      <formula>isvalue(G16)</formula>
    </cfRule>
  </conditionalFormatting>
  <conditionalFormatting sqref="G16:AW387">
    <cfRule type="cellIs" dxfId="83" priority="1" operator="equal">
      <formula>1</formula>
    </cfRule>
    <cfRule type="cellIs" dxfId="82" priority="3" operator="between">
      <formula>0</formula>
      <formula>1</formula>
    </cfRule>
    <cfRule type="cellIs" dxfId="81" priority="4" operator="equal">
      <formula>100</formula>
    </cfRule>
    <cfRule type="cellIs" dxfId="80" priority="5" operator="between">
      <formula>1</formula>
      <formula>10</formula>
    </cfRule>
    <cfRule type="cellIs" dxfId="79" priority="6" operator="between">
      <formula>10</formula>
      <formula>100</formula>
    </cfRule>
    <cfRule type="cellIs" dxfId="78" priority="10" operator="lessThan">
      <formula>0</formula>
    </cfRule>
    <cfRule type="cellIs" dxfId="77" priority="11" operator="equal">
      <formula>0</formula>
    </cfRule>
    <cfRule type="cellIs" dxfId="76" priority="12" operator="between">
      <formula>0</formula>
      <formula>1</formula>
    </cfRule>
    <cfRule type="cellIs" dxfId="75" priority="13" operator="between">
      <formula>1</formula>
      <formula>100</formula>
    </cfRule>
    <cfRule type="cellIs" dxfId="74" priority="15" operator="equal">
      <formula>0</formula>
    </cfRule>
    <cfRule type="expression" dxfId="73" priority="17">
      <formula>_xlfn.ISFORMULA(G16)</formula>
    </cfRule>
  </conditionalFormatting>
  <conditionalFormatting sqref="G16:AW1048576">
    <cfRule type="cellIs" dxfId="72" priority="2" operator="equal">
      <formula>0</formula>
    </cfRule>
    <cfRule type="cellIs" dxfId="71" priority="7" operator="greaterThan">
      <formula>100</formula>
    </cfRule>
  </conditionalFormatting>
  <conditionalFormatting sqref="H16:AW387">
    <cfRule type="expression" dxfId="70" priority="21">
      <formula>isvalue(H16)</formula>
    </cfRule>
    <cfRule type="expression" dxfId="69" priority="29">
      <formula>_xlfn.ISFORMULA(H16)</formula>
    </cfRule>
  </conditionalFormatting>
  <pageMargins left="0.7" right="0.7" top="0.75" bottom="0.75" header="0.3" footer="0.3"/>
  <headerFooter>
    <oddHeader>&amp;L&amp;"Calibri"&amp;14&amp;K000000 INTERNAL USE&amp;1#_x000D_</oddHeader>
    <oddFooter>&amp;C_x000D_&amp;1#&amp;"Calibri"&amp;10&amp;K000000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A9C6-DA79-4A1A-87B0-F829D7BC6709}">
  <sheetPr>
    <tabColor rgb="FF002060"/>
  </sheetPr>
  <dimension ref="C1:BD388"/>
  <sheetViews>
    <sheetView showGridLines="0" topLeftCell="A8" zoomScale="85" zoomScaleNormal="85" workbookViewId="0">
      <pane xSplit="6" ySplit="8" topLeftCell="G16" activePane="bottomRight" state="frozen"/>
      <selection pane="topRight" activeCell="G8" sqref="G8"/>
      <selection pane="bottomLeft" activeCell="A16" sqref="A16"/>
      <selection pane="bottomRight" activeCell="A74" sqref="A74"/>
    </sheetView>
  </sheetViews>
  <sheetFormatPr defaultColWidth="8.7109375" defaultRowHeight="15" x14ac:dyDescent="0.25"/>
  <cols>
    <col min="1" max="3" width="4.140625" style="1" customWidth="1"/>
    <col min="4" max="5" width="8.5703125" style="2" customWidth="1"/>
    <col min="6" max="6" width="12.28515625" style="2" customWidth="1"/>
    <col min="7" max="49" width="8.5703125" style="3" customWidth="1"/>
    <col min="50" max="50" width="3.5703125" style="1" customWidth="1"/>
    <col min="51" max="16384" width="8.7109375" style="1"/>
  </cols>
  <sheetData>
    <row r="1" spans="3:52" ht="15.75" thickBot="1" x14ac:dyDescent="0.3"/>
    <row r="2" spans="3:52" ht="14.45" customHeight="1" x14ac:dyDescent="0.25">
      <c r="C2" s="126" t="s">
        <v>17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8"/>
    </row>
    <row r="3" spans="3:52" ht="14.45" customHeight="1" x14ac:dyDescent="0.25">
      <c r="C3" s="129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1"/>
    </row>
    <row r="4" spans="3:52" ht="14.45" customHeight="1" x14ac:dyDescent="0.25"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1"/>
    </row>
    <row r="5" spans="3:52" ht="14.45" customHeight="1" x14ac:dyDescent="0.25">
      <c r="C5" s="129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1"/>
    </row>
    <row r="6" spans="3:52" ht="14.45" customHeight="1" x14ac:dyDescent="0.25"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1"/>
    </row>
    <row r="7" spans="3:52" ht="14.45" customHeight="1" x14ac:dyDescent="0.25"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1"/>
    </row>
    <row r="8" spans="3:52" ht="20.45" customHeight="1" thickBot="1" x14ac:dyDescent="0.3"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4"/>
    </row>
    <row r="9" spans="3:52" s="5" customFormat="1" x14ac:dyDescent="0.25">
      <c r="C9" s="4"/>
      <c r="D9" s="5">
        <v>1</v>
      </c>
      <c r="E9" s="5">
        <f>D9+1</f>
        <v>2</v>
      </c>
      <c r="F9" s="5">
        <f t="shared" ref="F9:AW9" si="0">E9+1</f>
        <v>3</v>
      </c>
      <c r="G9" s="5">
        <f t="shared" si="0"/>
        <v>4</v>
      </c>
      <c r="H9" s="5">
        <f t="shared" si="0"/>
        <v>5</v>
      </c>
      <c r="I9" s="5">
        <f t="shared" si="0"/>
        <v>6</v>
      </c>
      <c r="J9" s="5">
        <f t="shared" si="0"/>
        <v>7</v>
      </c>
      <c r="K9" s="5">
        <f t="shared" si="0"/>
        <v>8</v>
      </c>
      <c r="L9" s="5">
        <f t="shared" si="0"/>
        <v>9</v>
      </c>
      <c r="M9" s="5">
        <f t="shared" si="0"/>
        <v>10</v>
      </c>
      <c r="N9" s="5">
        <f t="shared" si="0"/>
        <v>11</v>
      </c>
      <c r="O9" s="5">
        <f t="shared" si="0"/>
        <v>12</v>
      </c>
      <c r="P9" s="5">
        <f t="shared" si="0"/>
        <v>13</v>
      </c>
      <c r="Q9" s="5">
        <f t="shared" si="0"/>
        <v>14</v>
      </c>
      <c r="R9" s="5">
        <f t="shared" si="0"/>
        <v>15</v>
      </c>
      <c r="S9" s="5">
        <f t="shared" si="0"/>
        <v>16</v>
      </c>
      <c r="T9" s="5">
        <f t="shared" si="0"/>
        <v>17</v>
      </c>
      <c r="U9" s="5">
        <f t="shared" si="0"/>
        <v>18</v>
      </c>
      <c r="V9" s="5">
        <f t="shared" si="0"/>
        <v>19</v>
      </c>
      <c r="W9" s="5">
        <f t="shared" si="0"/>
        <v>20</v>
      </c>
      <c r="X9" s="5">
        <f t="shared" si="0"/>
        <v>21</v>
      </c>
      <c r="Y9" s="5">
        <f t="shared" si="0"/>
        <v>22</v>
      </c>
      <c r="Z9" s="5">
        <f t="shared" si="0"/>
        <v>23</v>
      </c>
      <c r="AA9" s="5">
        <f t="shared" si="0"/>
        <v>24</v>
      </c>
      <c r="AB9" s="5">
        <f t="shared" si="0"/>
        <v>25</v>
      </c>
      <c r="AC9" s="5">
        <f t="shared" si="0"/>
        <v>26</v>
      </c>
      <c r="AD9" s="5">
        <f t="shared" si="0"/>
        <v>27</v>
      </c>
      <c r="AE9" s="5">
        <f t="shared" si="0"/>
        <v>28</v>
      </c>
      <c r="AF9" s="5">
        <f t="shared" si="0"/>
        <v>29</v>
      </c>
      <c r="AG9" s="5">
        <f t="shared" si="0"/>
        <v>30</v>
      </c>
      <c r="AH9" s="5">
        <f t="shared" si="0"/>
        <v>31</v>
      </c>
      <c r="AI9" s="5">
        <f t="shared" si="0"/>
        <v>32</v>
      </c>
      <c r="AJ9" s="5">
        <f t="shared" si="0"/>
        <v>33</v>
      </c>
      <c r="AK9" s="5">
        <f t="shared" si="0"/>
        <v>34</v>
      </c>
      <c r="AL9" s="5">
        <f t="shared" si="0"/>
        <v>35</v>
      </c>
      <c r="AM9" s="5">
        <f t="shared" si="0"/>
        <v>36</v>
      </c>
      <c r="AN9" s="5">
        <f t="shared" si="0"/>
        <v>37</v>
      </c>
      <c r="AO9" s="5">
        <f t="shared" si="0"/>
        <v>38</v>
      </c>
      <c r="AP9" s="5">
        <f t="shared" si="0"/>
        <v>39</v>
      </c>
      <c r="AQ9" s="5">
        <f t="shared" si="0"/>
        <v>40</v>
      </c>
      <c r="AR9" s="5">
        <f t="shared" si="0"/>
        <v>41</v>
      </c>
      <c r="AS9" s="5">
        <f t="shared" si="0"/>
        <v>42</v>
      </c>
      <c r="AT9" s="5">
        <f t="shared" si="0"/>
        <v>43</v>
      </c>
      <c r="AU9" s="5">
        <f t="shared" si="0"/>
        <v>44</v>
      </c>
      <c r="AV9" s="5">
        <f t="shared" si="0"/>
        <v>45</v>
      </c>
      <c r="AW9" s="5">
        <f t="shared" si="0"/>
        <v>46</v>
      </c>
      <c r="AX9" s="6"/>
    </row>
    <row r="10" spans="3:52" ht="15" customHeight="1" x14ac:dyDescent="0.25">
      <c r="C10" s="7"/>
      <c r="D10" s="135" t="s">
        <v>0</v>
      </c>
      <c r="E10" s="136"/>
      <c r="F10" s="136"/>
      <c r="G10" s="139" t="s">
        <v>18</v>
      </c>
      <c r="H10" s="141" t="s">
        <v>19</v>
      </c>
      <c r="I10" s="142"/>
      <c r="J10" s="142"/>
      <c r="K10" s="143"/>
      <c r="L10" s="147" t="s">
        <v>20</v>
      </c>
      <c r="M10" s="148"/>
      <c r="N10" s="148"/>
      <c r="O10" s="149"/>
      <c r="P10" s="153" t="s">
        <v>21</v>
      </c>
      <c r="Q10" s="154"/>
      <c r="R10" s="154"/>
      <c r="S10" s="154"/>
      <c r="T10" s="155"/>
      <c r="U10" s="147" t="s">
        <v>22</v>
      </c>
      <c r="V10" s="148"/>
      <c r="W10" s="159"/>
      <c r="X10" s="159"/>
      <c r="Y10" s="149"/>
      <c r="Z10" s="161" t="s">
        <v>23</v>
      </c>
      <c r="AA10" s="162"/>
      <c r="AB10" s="162"/>
      <c r="AC10" s="162"/>
      <c r="AD10" s="163"/>
      <c r="AE10" s="167" t="s">
        <v>24</v>
      </c>
      <c r="AF10" s="168"/>
      <c r="AG10" s="168"/>
      <c r="AH10" s="168"/>
      <c r="AI10" s="169"/>
      <c r="AJ10" s="173" t="s">
        <v>25</v>
      </c>
      <c r="AK10" s="174"/>
      <c r="AL10" s="174"/>
      <c r="AM10" s="174"/>
      <c r="AN10" s="175"/>
      <c r="AO10" s="179" t="s">
        <v>26</v>
      </c>
      <c r="AP10" s="180"/>
      <c r="AQ10" s="180"/>
      <c r="AR10" s="180"/>
      <c r="AS10" s="181"/>
      <c r="AT10" s="185" t="s">
        <v>27</v>
      </c>
      <c r="AU10" s="186"/>
      <c r="AV10" s="189" t="s">
        <v>28</v>
      </c>
      <c r="AW10" s="190"/>
      <c r="AX10" s="8"/>
    </row>
    <row r="11" spans="3:52" ht="15" customHeight="1" x14ac:dyDescent="0.25">
      <c r="C11" s="7"/>
      <c r="D11" s="137"/>
      <c r="E11" s="138"/>
      <c r="F11" s="138"/>
      <c r="G11" s="140"/>
      <c r="H11" s="144"/>
      <c r="I11" s="145"/>
      <c r="J11" s="145"/>
      <c r="K11" s="146"/>
      <c r="L11" s="150"/>
      <c r="M11" s="151"/>
      <c r="N11" s="151"/>
      <c r="O11" s="152"/>
      <c r="P11" s="156"/>
      <c r="Q11" s="157"/>
      <c r="R11" s="157"/>
      <c r="S11" s="157"/>
      <c r="T11" s="158"/>
      <c r="U11" s="150"/>
      <c r="V11" s="151"/>
      <c r="W11" s="160"/>
      <c r="X11" s="160"/>
      <c r="Y11" s="152"/>
      <c r="Z11" s="164"/>
      <c r="AA11" s="165"/>
      <c r="AB11" s="165"/>
      <c r="AC11" s="165"/>
      <c r="AD11" s="166"/>
      <c r="AE11" s="170"/>
      <c r="AF11" s="171"/>
      <c r="AG11" s="171"/>
      <c r="AH11" s="171"/>
      <c r="AI11" s="172"/>
      <c r="AJ11" s="176"/>
      <c r="AK11" s="177"/>
      <c r="AL11" s="177"/>
      <c r="AM11" s="177"/>
      <c r="AN11" s="178"/>
      <c r="AO11" s="182"/>
      <c r="AP11" s="183"/>
      <c r="AQ11" s="183"/>
      <c r="AR11" s="183"/>
      <c r="AS11" s="184"/>
      <c r="AT11" s="187"/>
      <c r="AU11" s="188"/>
      <c r="AV11" s="191"/>
      <c r="AW11" s="192"/>
      <c r="AX11" s="8"/>
    </row>
    <row r="12" spans="3:52" ht="15" customHeight="1" x14ac:dyDescent="0.25">
      <c r="C12" s="7"/>
      <c r="D12" s="137"/>
      <c r="E12" s="138"/>
      <c r="F12" s="138"/>
      <c r="G12" s="193" t="s">
        <v>29</v>
      </c>
      <c r="H12" s="194" t="s">
        <v>29</v>
      </c>
      <c r="I12" s="195" t="s">
        <v>30</v>
      </c>
      <c r="J12" s="198" t="s">
        <v>31</v>
      </c>
      <c r="K12" s="199" t="s">
        <v>32</v>
      </c>
      <c r="L12" s="200" t="s">
        <v>29</v>
      </c>
      <c r="M12" s="201" t="s">
        <v>30</v>
      </c>
      <c r="N12" s="205" t="s">
        <v>31</v>
      </c>
      <c r="O12" s="204" t="s">
        <v>32</v>
      </c>
      <c r="P12" s="206" t="s">
        <v>29</v>
      </c>
      <c r="Q12" s="207" t="s">
        <v>30</v>
      </c>
      <c r="R12" s="207" t="s">
        <v>31</v>
      </c>
      <c r="S12" s="210" t="s">
        <v>32</v>
      </c>
      <c r="T12" s="211" t="s">
        <v>33</v>
      </c>
      <c r="U12" s="200" t="s">
        <v>29</v>
      </c>
      <c r="V12" s="201" t="s">
        <v>30</v>
      </c>
      <c r="W12" s="205" t="s">
        <v>31</v>
      </c>
      <c r="X12" s="201" t="s">
        <v>32</v>
      </c>
      <c r="Y12" s="204" t="s">
        <v>33</v>
      </c>
      <c r="Z12" s="217" t="s">
        <v>29</v>
      </c>
      <c r="AA12" s="218" t="s">
        <v>30</v>
      </c>
      <c r="AB12" s="218" t="s">
        <v>31</v>
      </c>
      <c r="AC12" s="221" t="s">
        <v>32</v>
      </c>
      <c r="AD12" s="222" t="s">
        <v>33</v>
      </c>
      <c r="AE12" s="225" t="s">
        <v>29</v>
      </c>
      <c r="AF12" s="226" t="s">
        <v>30</v>
      </c>
      <c r="AG12" s="229" t="s">
        <v>31</v>
      </c>
      <c r="AH12" s="229" t="s">
        <v>32</v>
      </c>
      <c r="AI12" s="230" t="s">
        <v>33</v>
      </c>
      <c r="AJ12" s="233" t="s">
        <v>29</v>
      </c>
      <c r="AK12" s="214" t="s">
        <v>30</v>
      </c>
      <c r="AL12" s="237" t="s">
        <v>31</v>
      </c>
      <c r="AM12" s="237" t="s">
        <v>32</v>
      </c>
      <c r="AN12" s="238" t="s">
        <v>34</v>
      </c>
      <c r="AO12" s="239" t="s">
        <v>29</v>
      </c>
      <c r="AP12" s="240" t="s">
        <v>30</v>
      </c>
      <c r="AQ12" s="243" t="s">
        <v>31</v>
      </c>
      <c r="AR12" s="243" t="s">
        <v>32</v>
      </c>
      <c r="AS12" s="244" t="s">
        <v>34</v>
      </c>
      <c r="AT12" s="245" t="s">
        <v>29</v>
      </c>
      <c r="AU12" s="246" t="s">
        <v>31</v>
      </c>
      <c r="AV12" s="249" t="s">
        <v>35</v>
      </c>
      <c r="AW12" s="234" t="s">
        <v>36</v>
      </c>
      <c r="AX12" s="8"/>
    </row>
    <row r="13" spans="3:52" ht="15" customHeight="1" x14ac:dyDescent="0.25">
      <c r="C13" s="7"/>
      <c r="D13" s="137"/>
      <c r="E13" s="138"/>
      <c r="F13" s="138"/>
      <c r="G13" s="193"/>
      <c r="H13" s="194"/>
      <c r="I13" s="196"/>
      <c r="J13" s="198"/>
      <c r="K13" s="199"/>
      <c r="L13" s="200"/>
      <c r="M13" s="202"/>
      <c r="N13" s="205"/>
      <c r="O13" s="204"/>
      <c r="P13" s="206"/>
      <c r="Q13" s="208"/>
      <c r="R13" s="208"/>
      <c r="S13" s="210"/>
      <c r="T13" s="212"/>
      <c r="U13" s="200"/>
      <c r="V13" s="202"/>
      <c r="W13" s="205"/>
      <c r="X13" s="202"/>
      <c r="Y13" s="204"/>
      <c r="Z13" s="217"/>
      <c r="AA13" s="219"/>
      <c r="AB13" s="219"/>
      <c r="AC13" s="221"/>
      <c r="AD13" s="223"/>
      <c r="AE13" s="225"/>
      <c r="AF13" s="227"/>
      <c r="AG13" s="229"/>
      <c r="AH13" s="229"/>
      <c r="AI13" s="231"/>
      <c r="AJ13" s="233"/>
      <c r="AK13" s="215"/>
      <c r="AL13" s="237"/>
      <c r="AM13" s="237"/>
      <c r="AN13" s="238"/>
      <c r="AO13" s="239"/>
      <c r="AP13" s="241"/>
      <c r="AQ13" s="243"/>
      <c r="AR13" s="243"/>
      <c r="AS13" s="244"/>
      <c r="AT13" s="245"/>
      <c r="AU13" s="247"/>
      <c r="AV13" s="249"/>
      <c r="AW13" s="235"/>
      <c r="AX13" s="8"/>
    </row>
    <row r="14" spans="3:52" ht="15" customHeight="1" x14ac:dyDescent="0.25">
      <c r="C14" s="7"/>
      <c r="D14" s="137"/>
      <c r="E14" s="138"/>
      <c r="F14" s="138"/>
      <c r="G14" s="193"/>
      <c r="H14" s="194"/>
      <c r="I14" s="197"/>
      <c r="J14" s="198"/>
      <c r="K14" s="199"/>
      <c r="L14" s="200"/>
      <c r="M14" s="203"/>
      <c r="N14" s="205"/>
      <c r="O14" s="204"/>
      <c r="P14" s="206"/>
      <c r="Q14" s="209"/>
      <c r="R14" s="209"/>
      <c r="S14" s="210"/>
      <c r="T14" s="213"/>
      <c r="U14" s="200"/>
      <c r="V14" s="203"/>
      <c r="W14" s="205"/>
      <c r="X14" s="203"/>
      <c r="Y14" s="204"/>
      <c r="Z14" s="217"/>
      <c r="AA14" s="220"/>
      <c r="AB14" s="220"/>
      <c r="AC14" s="221"/>
      <c r="AD14" s="224"/>
      <c r="AE14" s="225"/>
      <c r="AF14" s="228"/>
      <c r="AG14" s="229"/>
      <c r="AH14" s="229"/>
      <c r="AI14" s="232"/>
      <c r="AJ14" s="233"/>
      <c r="AK14" s="216"/>
      <c r="AL14" s="237"/>
      <c r="AM14" s="237"/>
      <c r="AN14" s="238"/>
      <c r="AO14" s="239"/>
      <c r="AP14" s="242"/>
      <c r="AQ14" s="243"/>
      <c r="AR14" s="243"/>
      <c r="AS14" s="244"/>
      <c r="AT14" s="245"/>
      <c r="AU14" s="248"/>
      <c r="AV14" s="249"/>
      <c r="AW14" s="236"/>
      <c r="AX14" s="8"/>
    </row>
    <row r="15" spans="3:52" s="41" customFormat="1" ht="21.6" customHeight="1" x14ac:dyDescent="0.25">
      <c r="C15" s="9"/>
      <c r="D15" s="137"/>
      <c r="E15" s="138"/>
      <c r="F15" s="138"/>
      <c r="G15" s="10" t="s">
        <v>37</v>
      </c>
      <c r="H15" s="11" t="s">
        <v>37</v>
      </c>
      <c r="I15" s="12" t="s">
        <v>38</v>
      </c>
      <c r="J15" s="12" t="s">
        <v>14</v>
      </c>
      <c r="K15" s="13" t="s">
        <v>14</v>
      </c>
      <c r="L15" s="14" t="s">
        <v>37</v>
      </c>
      <c r="M15" s="15" t="s">
        <v>38</v>
      </c>
      <c r="N15" s="15" t="s">
        <v>38</v>
      </c>
      <c r="O15" s="16" t="s">
        <v>14</v>
      </c>
      <c r="P15" s="17" t="s">
        <v>37</v>
      </c>
      <c r="Q15" s="18" t="s">
        <v>38</v>
      </c>
      <c r="R15" s="19" t="s">
        <v>14</v>
      </c>
      <c r="S15" s="19" t="s">
        <v>14</v>
      </c>
      <c r="T15" s="20" t="s">
        <v>39</v>
      </c>
      <c r="U15" s="14" t="s">
        <v>37</v>
      </c>
      <c r="V15" s="15" t="s">
        <v>38</v>
      </c>
      <c r="W15" s="15" t="s">
        <v>14</v>
      </c>
      <c r="X15" s="21" t="s">
        <v>14</v>
      </c>
      <c r="Y15" s="16" t="s">
        <v>39</v>
      </c>
      <c r="Z15" s="22" t="s">
        <v>37</v>
      </c>
      <c r="AA15" s="23" t="s">
        <v>38</v>
      </c>
      <c r="AB15" s="24" t="s">
        <v>14</v>
      </c>
      <c r="AC15" s="24" t="s">
        <v>14</v>
      </c>
      <c r="AD15" s="25" t="s">
        <v>39</v>
      </c>
      <c r="AE15" s="26" t="s">
        <v>37</v>
      </c>
      <c r="AF15" s="27" t="s">
        <v>38</v>
      </c>
      <c r="AG15" s="28" t="s">
        <v>14</v>
      </c>
      <c r="AH15" s="28" t="s">
        <v>14</v>
      </c>
      <c r="AI15" s="29" t="s">
        <v>39</v>
      </c>
      <c r="AJ15" s="30" t="s">
        <v>37</v>
      </c>
      <c r="AK15" s="31" t="s">
        <v>38</v>
      </c>
      <c r="AL15" s="31" t="s">
        <v>14</v>
      </c>
      <c r="AM15" s="31" t="s">
        <v>14</v>
      </c>
      <c r="AN15" s="32" t="s">
        <v>39</v>
      </c>
      <c r="AO15" s="33" t="s">
        <v>37</v>
      </c>
      <c r="AP15" s="34" t="s">
        <v>38</v>
      </c>
      <c r="AQ15" s="34" t="s">
        <v>14</v>
      </c>
      <c r="AR15" s="34" t="s">
        <v>14</v>
      </c>
      <c r="AS15" s="35" t="s">
        <v>39</v>
      </c>
      <c r="AT15" s="36" t="s">
        <v>37</v>
      </c>
      <c r="AU15" s="37" t="s">
        <v>38</v>
      </c>
      <c r="AV15" s="38" t="s">
        <v>37</v>
      </c>
      <c r="AW15" s="39" t="s">
        <v>38</v>
      </c>
      <c r="AX15" s="40"/>
    </row>
    <row r="16" spans="3:52" ht="15" customHeight="1" x14ac:dyDescent="0.25">
      <c r="C16" s="42">
        <v>1</v>
      </c>
      <c r="D16" s="43">
        <f>DATE([2]Dash!$F$3,VLOOKUP([2]Dash!$E$3,[2]Abb!$C$3:$D$14,2,FALSE),C16)</f>
        <v>45689</v>
      </c>
      <c r="E16" s="44">
        <v>0.25</v>
      </c>
      <c r="F16" s="45">
        <f>D16+E16</f>
        <v>45689.25</v>
      </c>
      <c r="G16" s="46"/>
      <c r="H16" s="47"/>
      <c r="I16" s="48"/>
      <c r="J16" s="48"/>
      <c r="K16" s="49"/>
      <c r="L16" s="50"/>
      <c r="M16" s="48"/>
      <c r="N16" s="48"/>
      <c r="O16" s="51"/>
      <c r="P16" s="47"/>
      <c r="Q16" s="48"/>
      <c r="R16" s="49"/>
      <c r="S16" s="49"/>
      <c r="T16" s="51"/>
      <c r="U16" s="50"/>
      <c r="V16" s="48"/>
      <c r="W16" s="49"/>
      <c r="X16" s="49"/>
      <c r="Y16" s="51"/>
      <c r="Z16" s="47"/>
      <c r="AA16" s="48"/>
      <c r="AB16" s="49"/>
      <c r="AC16" s="49"/>
      <c r="AD16" s="51"/>
      <c r="AE16" s="50"/>
      <c r="AF16" s="48"/>
      <c r="AG16" s="49"/>
      <c r="AH16" s="49"/>
      <c r="AI16" s="51"/>
      <c r="AJ16" s="50"/>
      <c r="AK16" s="48"/>
      <c r="AL16" s="48"/>
      <c r="AM16" s="48"/>
      <c r="AN16" s="51"/>
      <c r="AO16" s="47"/>
      <c r="AP16" s="48"/>
      <c r="AQ16" s="48"/>
      <c r="AR16" s="48"/>
      <c r="AS16" s="51"/>
      <c r="AT16" s="50"/>
      <c r="AU16" s="51"/>
      <c r="AV16" s="50">
        <v>59.647624969482401</v>
      </c>
      <c r="AW16" s="51">
        <v>384.11820004781089</v>
      </c>
      <c r="AX16" s="8"/>
      <c r="AZ16" s="1">
        <v>90</v>
      </c>
    </row>
    <row r="17" spans="3:52" ht="15" customHeight="1" x14ac:dyDescent="0.25">
      <c r="C17" s="42"/>
      <c r="D17" s="43">
        <f>D16</f>
        <v>45689</v>
      </c>
      <c r="E17" s="44">
        <f>E16+2/24</f>
        <v>0.33333333333333331</v>
      </c>
      <c r="F17" s="45">
        <f>F16+(E17-E16)</f>
        <v>45689.333333333336</v>
      </c>
      <c r="G17" s="52">
        <v>35</v>
      </c>
      <c r="H17" s="53">
        <v>37</v>
      </c>
      <c r="I17" s="54">
        <v>10.199999999999999</v>
      </c>
      <c r="J17" s="54">
        <v>250</v>
      </c>
      <c r="K17" s="55">
        <v>6.4</v>
      </c>
      <c r="L17" s="56">
        <v>37</v>
      </c>
      <c r="M17" s="54">
        <v>10.1</v>
      </c>
      <c r="N17" s="54">
        <v>200</v>
      </c>
      <c r="O17" s="57">
        <v>7.2</v>
      </c>
      <c r="P17" s="53">
        <v>35</v>
      </c>
      <c r="Q17" s="54">
        <v>10.1</v>
      </c>
      <c r="R17" s="55">
        <v>0</v>
      </c>
      <c r="S17" s="55">
        <v>6.7</v>
      </c>
      <c r="T17" s="57">
        <v>9.61</v>
      </c>
      <c r="U17" s="56">
        <v>35</v>
      </c>
      <c r="V17" s="54">
        <v>10.1</v>
      </c>
      <c r="W17" s="55">
        <v>0</v>
      </c>
      <c r="X17" s="55">
        <v>6.3</v>
      </c>
      <c r="Y17" s="57">
        <v>14.42</v>
      </c>
      <c r="Z17" s="53">
        <v>36</v>
      </c>
      <c r="AA17" s="54">
        <v>10.1</v>
      </c>
      <c r="AB17" s="55">
        <v>0</v>
      </c>
      <c r="AC17" s="55">
        <v>6.7</v>
      </c>
      <c r="AD17" s="57">
        <v>13.46</v>
      </c>
      <c r="AE17" s="56">
        <v>35</v>
      </c>
      <c r="AF17" s="54">
        <v>10.1</v>
      </c>
      <c r="AG17" s="55">
        <v>0</v>
      </c>
      <c r="AH17" s="55">
        <v>6.2</v>
      </c>
      <c r="AI17" s="57">
        <v>14.42</v>
      </c>
      <c r="AJ17" s="56">
        <v>36</v>
      </c>
      <c r="AK17" s="54">
        <v>10.1</v>
      </c>
      <c r="AL17" s="54">
        <v>0</v>
      </c>
      <c r="AM17" s="54">
        <v>5.2</v>
      </c>
      <c r="AN17" s="57">
        <v>14.42</v>
      </c>
      <c r="AO17" s="53">
        <v>36</v>
      </c>
      <c r="AP17" s="54">
        <v>10.199999999999999</v>
      </c>
      <c r="AQ17" s="54">
        <v>200</v>
      </c>
      <c r="AR17" s="54">
        <v>5.2</v>
      </c>
      <c r="AS17" s="57">
        <v>15.38</v>
      </c>
      <c r="AT17" s="56">
        <v>30</v>
      </c>
      <c r="AU17" s="57">
        <v>190</v>
      </c>
      <c r="AV17" s="56">
        <v>59.375</v>
      </c>
      <c r="AW17" s="57">
        <v>386.27133928934734</v>
      </c>
      <c r="AX17" s="8"/>
      <c r="AZ17" s="1">
        <v>90</v>
      </c>
    </row>
    <row r="18" spans="3:52" ht="15" customHeight="1" x14ac:dyDescent="0.25">
      <c r="C18" s="42"/>
      <c r="D18" s="43">
        <f>D16</f>
        <v>45689</v>
      </c>
      <c r="E18" s="44">
        <f t="shared" ref="E18:E27" si="1">E17+2/24</f>
        <v>0.41666666666666663</v>
      </c>
      <c r="F18" s="45">
        <f t="shared" ref="F18:F81" si="2">F17+(E18-E17)</f>
        <v>45689.416666666672</v>
      </c>
      <c r="G18" s="52">
        <v>41</v>
      </c>
      <c r="H18" s="53">
        <v>38</v>
      </c>
      <c r="I18" s="54">
        <v>10.199999999999999</v>
      </c>
      <c r="J18" s="54">
        <v>200</v>
      </c>
      <c r="K18" s="55">
        <v>7.1</v>
      </c>
      <c r="L18" s="56">
        <v>37</v>
      </c>
      <c r="M18" s="54">
        <v>10.199999999999999</v>
      </c>
      <c r="N18" s="54">
        <v>200</v>
      </c>
      <c r="O18" s="57">
        <v>7.8</v>
      </c>
      <c r="P18" s="53">
        <v>35</v>
      </c>
      <c r="Q18" s="54">
        <v>10.1</v>
      </c>
      <c r="R18" s="55">
        <v>0</v>
      </c>
      <c r="S18" s="55">
        <v>6.8</v>
      </c>
      <c r="T18" s="57">
        <v>15.38</v>
      </c>
      <c r="U18" s="56">
        <v>36</v>
      </c>
      <c r="V18" s="54">
        <v>10.1</v>
      </c>
      <c r="W18" s="55">
        <v>0</v>
      </c>
      <c r="X18" s="55">
        <v>6.7</v>
      </c>
      <c r="Y18" s="57">
        <v>14.23</v>
      </c>
      <c r="Z18" s="53">
        <v>36</v>
      </c>
      <c r="AA18" s="54">
        <v>10</v>
      </c>
      <c r="AB18" s="55">
        <v>0</v>
      </c>
      <c r="AC18" s="55">
        <v>6.9</v>
      </c>
      <c r="AD18" s="57">
        <v>13.46</v>
      </c>
      <c r="AE18" s="56">
        <v>35</v>
      </c>
      <c r="AF18" s="54">
        <v>10</v>
      </c>
      <c r="AG18" s="55">
        <v>0</v>
      </c>
      <c r="AH18" s="55">
        <v>6.8</v>
      </c>
      <c r="AI18" s="57">
        <v>14.42</v>
      </c>
      <c r="AJ18" s="56">
        <v>35</v>
      </c>
      <c r="AK18" s="54">
        <v>10.199999999999999</v>
      </c>
      <c r="AL18" s="54">
        <v>0</v>
      </c>
      <c r="AM18" s="54">
        <v>5.8</v>
      </c>
      <c r="AN18" s="57">
        <v>14.61</v>
      </c>
      <c r="AO18" s="53">
        <v>35</v>
      </c>
      <c r="AP18" s="54">
        <v>10.199999999999999</v>
      </c>
      <c r="AQ18" s="54">
        <v>200</v>
      </c>
      <c r="AR18" s="54">
        <v>5.8</v>
      </c>
      <c r="AS18" s="57">
        <v>15.19</v>
      </c>
      <c r="AT18" s="56">
        <v>39</v>
      </c>
      <c r="AU18" s="57">
        <v>190</v>
      </c>
      <c r="AV18" s="56">
        <v>0</v>
      </c>
      <c r="AW18" s="57">
        <v>384.77768185933434</v>
      </c>
      <c r="AX18" s="8"/>
      <c r="AZ18" s="1">
        <v>90</v>
      </c>
    </row>
    <row r="19" spans="3:52" ht="15" customHeight="1" x14ac:dyDescent="0.25">
      <c r="C19" s="42"/>
      <c r="D19" s="43">
        <f>D16</f>
        <v>45689</v>
      </c>
      <c r="E19" s="44">
        <f t="shared" si="1"/>
        <v>0.49999999999999994</v>
      </c>
      <c r="F19" s="45">
        <f t="shared" si="2"/>
        <v>45689.500000000007</v>
      </c>
      <c r="G19" s="52">
        <v>34</v>
      </c>
      <c r="H19" s="53">
        <v>36</v>
      </c>
      <c r="I19" s="54">
        <v>10</v>
      </c>
      <c r="J19" s="54">
        <v>100</v>
      </c>
      <c r="K19" s="55">
        <v>7</v>
      </c>
      <c r="L19" s="56">
        <v>36</v>
      </c>
      <c r="M19" s="54">
        <v>10.1</v>
      </c>
      <c r="N19" s="54">
        <v>200</v>
      </c>
      <c r="O19" s="57">
        <v>8</v>
      </c>
      <c r="P19" s="53">
        <v>36</v>
      </c>
      <c r="Q19" s="54">
        <v>10.1</v>
      </c>
      <c r="R19" s="55">
        <v>0</v>
      </c>
      <c r="S19" s="55">
        <v>7.1</v>
      </c>
      <c r="T19" s="57">
        <v>15.76</v>
      </c>
      <c r="U19" s="56">
        <v>35</v>
      </c>
      <c r="V19" s="54">
        <v>10.1</v>
      </c>
      <c r="W19" s="55">
        <v>0</v>
      </c>
      <c r="X19" s="55">
        <v>7</v>
      </c>
      <c r="Y19" s="57">
        <v>14.61</v>
      </c>
      <c r="Z19" s="53">
        <v>35</v>
      </c>
      <c r="AA19" s="54">
        <v>10</v>
      </c>
      <c r="AB19" s="55">
        <v>0</v>
      </c>
      <c r="AC19" s="55">
        <v>6.4</v>
      </c>
      <c r="AD19" s="57">
        <v>13.84</v>
      </c>
      <c r="AE19" s="56">
        <v>35</v>
      </c>
      <c r="AF19" s="54">
        <v>10</v>
      </c>
      <c r="AG19" s="55">
        <v>0</v>
      </c>
      <c r="AH19" s="55">
        <v>6.5</v>
      </c>
      <c r="AI19" s="57">
        <v>14.23</v>
      </c>
      <c r="AJ19" s="56">
        <v>35</v>
      </c>
      <c r="AK19" s="54">
        <v>10.1</v>
      </c>
      <c r="AL19" s="54">
        <v>0</v>
      </c>
      <c r="AM19" s="54">
        <v>5.4</v>
      </c>
      <c r="AN19" s="57">
        <v>14.42</v>
      </c>
      <c r="AO19" s="53">
        <v>40</v>
      </c>
      <c r="AP19" s="54">
        <v>10.1</v>
      </c>
      <c r="AQ19" s="54">
        <v>270</v>
      </c>
      <c r="AR19" s="54">
        <v>5.4</v>
      </c>
      <c r="AS19" s="57">
        <v>15.38</v>
      </c>
      <c r="AT19" s="56">
        <v>28</v>
      </c>
      <c r="AU19" s="57">
        <v>160</v>
      </c>
      <c r="AV19" s="56">
        <v>0</v>
      </c>
      <c r="AW19" s="57">
        <v>384.55162455240884</v>
      </c>
      <c r="AX19" s="8"/>
      <c r="AZ19" s="1">
        <v>90</v>
      </c>
    </row>
    <row r="20" spans="3:52" ht="15" customHeight="1" x14ac:dyDescent="0.25">
      <c r="C20" s="42"/>
      <c r="D20" s="43">
        <f>D16</f>
        <v>45689</v>
      </c>
      <c r="E20" s="44">
        <f t="shared" si="1"/>
        <v>0.58333333333333326</v>
      </c>
      <c r="F20" s="45">
        <f t="shared" si="2"/>
        <v>45689.583333333343</v>
      </c>
      <c r="G20" s="52">
        <v>36</v>
      </c>
      <c r="H20" s="53">
        <v>35</v>
      </c>
      <c r="I20" s="54">
        <v>10</v>
      </c>
      <c r="J20" s="54">
        <v>200</v>
      </c>
      <c r="K20" s="55">
        <v>7.1</v>
      </c>
      <c r="L20" s="56">
        <v>35</v>
      </c>
      <c r="M20" s="54">
        <v>10</v>
      </c>
      <c r="N20" s="54">
        <v>450</v>
      </c>
      <c r="O20" s="57">
        <v>7.8</v>
      </c>
      <c r="P20" s="53">
        <v>35</v>
      </c>
      <c r="Q20" s="54">
        <v>10</v>
      </c>
      <c r="R20" s="55">
        <v>0</v>
      </c>
      <c r="S20" s="55">
        <v>7.1</v>
      </c>
      <c r="T20" s="57">
        <v>15.76</v>
      </c>
      <c r="U20" s="56">
        <v>34</v>
      </c>
      <c r="V20" s="54">
        <v>10.1</v>
      </c>
      <c r="W20" s="55">
        <v>0</v>
      </c>
      <c r="X20" s="55">
        <v>7.1</v>
      </c>
      <c r="Y20" s="57">
        <v>14.23</v>
      </c>
      <c r="Z20" s="53">
        <v>34</v>
      </c>
      <c r="AA20" s="54">
        <v>10.1</v>
      </c>
      <c r="AB20" s="55">
        <v>0</v>
      </c>
      <c r="AC20" s="55">
        <v>6.7</v>
      </c>
      <c r="AD20" s="57">
        <v>13.46</v>
      </c>
      <c r="AE20" s="56">
        <v>34</v>
      </c>
      <c r="AF20" s="54">
        <v>10.1</v>
      </c>
      <c r="AG20" s="55">
        <v>0</v>
      </c>
      <c r="AH20" s="55">
        <v>6.2</v>
      </c>
      <c r="AI20" s="57">
        <v>14.03</v>
      </c>
      <c r="AJ20" s="56">
        <v>34</v>
      </c>
      <c r="AK20" s="54">
        <v>10.1</v>
      </c>
      <c r="AL20" s="54">
        <v>0</v>
      </c>
      <c r="AM20" s="54">
        <v>5.2</v>
      </c>
      <c r="AN20" s="57">
        <v>15.19</v>
      </c>
      <c r="AO20" s="53">
        <v>36</v>
      </c>
      <c r="AP20" s="54">
        <v>10.1</v>
      </c>
      <c r="AQ20" s="54">
        <v>280</v>
      </c>
      <c r="AR20" s="54">
        <v>5.2</v>
      </c>
      <c r="AS20" s="57">
        <v>15.9</v>
      </c>
      <c r="AT20" s="56">
        <v>28</v>
      </c>
      <c r="AU20" s="57">
        <v>180</v>
      </c>
      <c r="AV20" s="56">
        <v>61.87744140625</v>
      </c>
      <c r="AW20" s="57">
        <v>382.76897659301756</v>
      </c>
      <c r="AX20" s="8"/>
      <c r="AZ20" s="1">
        <v>90</v>
      </c>
    </row>
    <row r="21" spans="3:52" ht="15" customHeight="1" x14ac:dyDescent="0.25">
      <c r="C21" s="42"/>
      <c r="D21" s="43">
        <f>D16</f>
        <v>45689</v>
      </c>
      <c r="E21" s="44">
        <f t="shared" si="1"/>
        <v>0.66666666666666663</v>
      </c>
      <c r="F21" s="45">
        <f t="shared" si="2"/>
        <v>45689.666666666679</v>
      </c>
      <c r="G21" s="52">
        <v>38</v>
      </c>
      <c r="H21" s="53">
        <v>36</v>
      </c>
      <c r="I21" s="54">
        <v>9.9</v>
      </c>
      <c r="J21" s="54">
        <v>200</v>
      </c>
      <c r="K21" s="55">
        <v>7.9</v>
      </c>
      <c r="L21" s="56">
        <v>36</v>
      </c>
      <c r="M21" s="54">
        <v>10.1</v>
      </c>
      <c r="N21" s="54">
        <v>250</v>
      </c>
      <c r="O21" s="57">
        <v>7.2</v>
      </c>
      <c r="P21" s="53">
        <v>33</v>
      </c>
      <c r="Q21" s="54">
        <v>10</v>
      </c>
      <c r="R21" s="55">
        <v>0</v>
      </c>
      <c r="S21" s="55">
        <v>6.8</v>
      </c>
      <c r="T21" s="57">
        <v>6.73</v>
      </c>
      <c r="U21" s="56">
        <v>36</v>
      </c>
      <c r="V21" s="54">
        <v>9.9</v>
      </c>
      <c r="W21" s="55">
        <v>0</v>
      </c>
      <c r="X21" s="55">
        <v>6.7</v>
      </c>
      <c r="Y21" s="57">
        <v>14.03</v>
      </c>
      <c r="Z21" s="53">
        <v>34</v>
      </c>
      <c r="AA21" s="54">
        <v>9.9</v>
      </c>
      <c r="AB21" s="55">
        <v>0</v>
      </c>
      <c r="AC21" s="55">
        <v>6.5</v>
      </c>
      <c r="AD21" s="57">
        <v>13.84</v>
      </c>
      <c r="AE21" s="56">
        <v>36</v>
      </c>
      <c r="AF21" s="54">
        <v>9.8000000000000007</v>
      </c>
      <c r="AG21" s="55">
        <v>0</v>
      </c>
      <c r="AH21" s="55">
        <v>6.8</v>
      </c>
      <c r="AI21" s="57">
        <v>14.42</v>
      </c>
      <c r="AJ21" s="56">
        <v>34</v>
      </c>
      <c r="AK21" s="54">
        <v>10.1</v>
      </c>
      <c r="AL21" s="54">
        <v>0</v>
      </c>
      <c r="AM21" s="54">
        <v>5.7</v>
      </c>
      <c r="AN21" s="57">
        <v>14.42</v>
      </c>
      <c r="AO21" s="53">
        <v>34</v>
      </c>
      <c r="AP21" s="54">
        <v>10.1</v>
      </c>
      <c r="AQ21" s="54">
        <v>220</v>
      </c>
      <c r="AR21" s="54">
        <v>5.7</v>
      </c>
      <c r="AS21" s="57">
        <v>15.38</v>
      </c>
      <c r="AT21" s="56">
        <v>28</v>
      </c>
      <c r="AU21" s="57">
        <v>190</v>
      </c>
      <c r="AV21" s="56">
        <v>58.65478515625</v>
      </c>
      <c r="AW21" s="57">
        <v>373.818359375</v>
      </c>
      <c r="AX21" s="8"/>
      <c r="AZ21" s="1">
        <v>90</v>
      </c>
    </row>
    <row r="22" spans="3:52" ht="15" customHeight="1" x14ac:dyDescent="0.25">
      <c r="C22" s="42"/>
      <c r="D22" s="43">
        <f>D16</f>
        <v>45689</v>
      </c>
      <c r="E22" s="44">
        <f t="shared" si="1"/>
        <v>0.75</v>
      </c>
      <c r="F22" s="45">
        <f t="shared" si="2"/>
        <v>45689.750000000015</v>
      </c>
      <c r="G22" s="52">
        <v>36</v>
      </c>
      <c r="H22" s="53">
        <v>36</v>
      </c>
      <c r="I22" s="54">
        <v>10</v>
      </c>
      <c r="J22" s="54">
        <v>200</v>
      </c>
      <c r="K22" s="55">
        <v>7.5</v>
      </c>
      <c r="L22" s="56">
        <v>36</v>
      </c>
      <c r="M22" s="54">
        <v>10</v>
      </c>
      <c r="N22" s="54">
        <v>250</v>
      </c>
      <c r="O22" s="57">
        <v>7.5</v>
      </c>
      <c r="P22" s="53">
        <v>33</v>
      </c>
      <c r="Q22" s="54">
        <v>10</v>
      </c>
      <c r="R22" s="55">
        <v>0</v>
      </c>
      <c r="S22" s="55">
        <v>6.4</v>
      </c>
      <c r="T22" s="57">
        <v>0</v>
      </c>
      <c r="U22" s="56">
        <v>34</v>
      </c>
      <c r="V22" s="54">
        <v>10</v>
      </c>
      <c r="W22" s="55">
        <v>0</v>
      </c>
      <c r="X22" s="55">
        <v>6.5</v>
      </c>
      <c r="Y22" s="57">
        <v>14.61</v>
      </c>
      <c r="Z22" s="53">
        <v>34</v>
      </c>
      <c r="AA22" s="54">
        <v>10</v>
      </c>
      <c r="AB22" s="55">
        <v>0</v>
      </c>
      <c r="AC22" s="55">
        <v>6.8</v>
      </c>
      <c r="AD22" s="57">
        <v>13.46</v>
      </c>
      <c r="AE22" s="56">
        <v>35</v>
      </c>
      <c r="AF22" s="54">
        <v>10</v>
      </c>
      <c r="AG22" s="55">
        <v>0</v>
      </c>
      <c r="AH22" s="55">
        <v>6.5</v>
      </c>
      <c r="AI22" s="57">
        <v>14.8</v>
      </c>
      <c r="AJ22" s="56">
        <v>34</v>
      </c>
      <c r="AK22" s="54">
        <v>10</v>
      </c>
      <c r="AL22" s="54">
        <v>0</v>
      </c>
      <c r="AM22" s="54">
        <v>5.8</v>
      </c>
      <c r="AN22" s="57">
        <v>13.26</v>
      </c>
      <c r="AO22" s="53">
        <v>34</v>
      </c>
      <c r="AP22" s="54">
        <v>10.1</v>
      </c>
      <c r="AQ22" s="54">
        <v>200</v>
      </c>
      <c r="AR22" s="54">
        <v>5.4</v>
      </c>
      <c r="AS22" s="57">
        <v>15.14</v>
      </c>
      <c r="AT22" s="56">
        <v>28</v>
      </c>
      <c r="AU22" s="57">
        <v>200</v>
      </c>
      <c r="AV22" s="56">
        <v>59.375</v>
      </c>
      <c r="AW22" s="57">
        <v>384.57405014038085</v>
      </c>
      <c r="AX22" s="8"/>
      <c r="AZ22" s="1">
        <v>90</v>
      </c>
    </row>
    <row r="23" spans="3:52" ht="15" customHeight="1" x14ac:dyDescent="0.25">
      <c r="C23" s="42"/>
      <c r="D23" s="43">
        <f>D16</f>
        <v>45689</v>
      </c>
      <c r="E23" s="44">
        <f t="shared" si="1"/>
        <v>0.83333333333333337</v>
      </c>
      <c r="F23" s="45">
        <f t="shared" si="2"/>
        <v>45689.83333333335</v>
      </c>
      <c r="G23" s="52">
        <v>39</v>
      </c>
      <c r="H23" s="53">
        <v>40</v>
      </c>
      <c r="I23" s="54">
        <v>10</v>
      </c>
      <c r="J23" s="54">
        <v>200</v>
      </c>
      <c r="K23" s="55">
        <v>7.3</v>
      </c>
      <c r="L23" s="56">
        <v>40</v>
      </c>
      <c r="M23" s="54">
        <v>10</v>
      </c>
      <c r="N23" s="54">
        <v>300</v>
      </c>
      <c r="O23" s="57">
        <v>9.4</v>
      </c>
      <c r="P23" s="53">
        <v>38</v>
      </c>
      <c r="Q23" s="54">
        <v>10.1</v>
      </c>
      <c r="R23" s="55">
        <v>0</v>
      </c>
      <c r="S23" s="55">
        <v>8.3000000000000007</v>
      </c>
      <c r="T23" s="57">
        <v>6.7</v>
      </c>
      <c r="U23" s="56">
        <v>36</v>
      </c>
      <c r="V23" s="54">
        <v>10</v>
      </c>
      <c r="W23" s="55">
        <v>0</v>
      </c>
      <c r="X23" s="55">
        <v>7.6</v>
      </c>
      <c r="Y23" s="57">
        <v>14.4</v>
      </c>
      <c r="Z23" s="53">
        <v>35</v>
      </c>
      <c r="AA23" s="54">
        <v>10</v>
      </c>
      <c r="AB23" s="55">
        <v>0</v>
      </c>
      <c r="AC23" s="55">
        <v>8.1999999999999993</v>
      </c>
      <c r="AD23" s="57">
        <v>14.4</v>
      </c>
      <c r="AE23" s="56">
        <v>36</v>
      </c>
      <c r="AF23" s="54">
        <v>9.9</v>
      </c>
      <c r="AG23" s="55">
        <v>0</v>
      </c>
      <c r="AH23" s="55">
        <v>7.4</v>
      </c>
      <c r="AI23" s="57">
        <v>13.4</v>
      </c>
      <c r="AJ23" s="56">
        <v>37</v>
      </c>
      <c r="AK23" s="54">
        <v>10</v>
      </c>
      <c r="AL23" s="54">
        <v>0</v>
      </c>
      <c r="AM23" s="54">
        <v>6.6</v>
      </c>
      <c r="AN23" s="57">
        <v>13.4</v>
      </c>
      <c r="AO23" s="53">
        <v>36</v>
      </c>
      <c r="AP23" s="54">
        <v>10</v>
      </c>
      <c r="AQ23" s="54">
        <v>260</v>
      </c>
      <c r="AR23" s="54">
        <v>8.4</v>
      </c>
      <c r="AS23" s="57">
        <v>15</v>
      </c>
      <c r="AT23" s="56">
        <v>29</v>
      </c>
      <c r="AU23" s="57">
        <v>210</v>
      </c>
      <c r="AV23" s="56">
        <v>58.80126953125</v>
      </c>
      <c r="AW23" s="57">
        <v>384.05285491943357</v>
      </c>
      <c r="AX23" s="8"/>
      <c r="AZ23" s="1">
        <v>90</v>
      </c>
    </row>
    <row r="24" spans="3:52" ht="15" customHeight="1" x14ac:dyDescent="0.25">
      <c r="C24" s="42"/>
      <c r="D24" s="43">
        <f>D16</f>
        <v>45689</v>
      </c>
      <c r="E24" s="44">
        <f t="shared" si="1"/>
        <v>0.91666666666666674</v>
      </c>
      <c r="F24" s="45">
        <f t="shared" si="2"/>
        <v>45689.916666666686</v>
      </c>
      <c r="G24" s="52">
        <v>39</v>
      </c>
      <c r="H24" s="53">
        <v>40</v>
      </c>
      <c r="I24" s="54">
        <v>9.9</v>
      </c>
      <c r="J24" s="54">
        <v>200</v>
      </c>
      <c r="K24" s="55">
        <v>7.9</v>
      </c>
      <c r="L24" s="56">
        <v>41</v>
      </c>
      <c r="M24" s="54">
        <v>10</v>
      </c>
      <c r="N24" s="54">
        <v>250</v>
      </c>
      <c r="O24" s="57">
        <v>9.1</v>
      </c>
      <c r="P24" s="53">
        <v>39</v>
      </c>
      <c r="Q24" s="54">
        <v>10</v>
      </c>
      <c r="R24" s="55">
        <v>0</v>
      </c>
      <c r="S24" s="55">
        <v>8.1</v>
      </c>
      <c r="T24" s="57">
        <v>14.42</v>
      </c>
      <c r="U24" s="56">
        <v>37</v>
      </c>
      <c r="V24" s="54">
        <v>10</v>
      </c>
      <c r="W24" s="55">
        <v>0</v>
      </c>
      <c r="X24" s="55">
        <v>7.4</v>
      </c>
      <c r="Y24" s="57">
        <v>9.6</v>
      </c>
      <c r="Z24" s="53">
        <v>36</v>
      </c>
      <c r="AA24" s="54">
        <v>10</v>
      </c>
      <c r="AB24" s="55">
        <v>0</v>
      </c>
      <c r="AC24" s="55">
        <v>8</v>
      </c>
      <c r="AD24" s="57">
        <v>14.4</v>
      </c>
      <c r="AE24" s="56">
        <v>36</v>
      </c>
      <c r="AF24" s="54">
        <v>9.8000000000000007</v>
      </c>
      <c r="AG24" s="55">
        <v>0</v>
      </c>
      <c r="AH24" s="55">
        <v>7.2</v>
      </c>
      <c r="AI24" s="57">
        <v>13.4</v>
      </c>
      <c r="AJ24" s="56">
        <v>38</v>
      </c>
      <c r="AK24" s="54">
        <v>10</v>
      </c>
      <c r="AL24" s="54">
        <v>0</v>
      </c>
      <c r="AM24" s="54">
        <v>6.2</v>
      </c>
      <c r="AN24" s="57">
        <v>13.4</v>
      </c>
      <c r="AO24" s="53">
        <v>37</v>
      </c>
      <c r="AP24" s="54">
        <v>10</v>
      </c>
      <c r="AQ24" s="54">
        <v>250</v>
      </c>
      <c r="AR24" s="54">
        <v>8.1</v>
      </c>
      <c r="AS24" s="57">
        <v>15</v>
      </c>
      <c r="AT24" s="56">
        <v>30</v>
      </c>
      <c r="AU24" s="57">
        <v>200</v>
      </c>
      <c r="AV24" s="56">
        <v>61.275226593017599</v>
      </c>
      <c r="AW24" s="57">
        <v>374.17197138468424</v>
      </c>
      <c r="AX24" s="8"/>
      <c r="AZ24" s="1">
        <v>90</v>
      </c>
    </row>
    <row r="25" spans="3:52" ht="15" customHeight="1" x14ac:dyDescent="0.25">
      <c r="C25" s="42"/>
      <c r="D25" s="43">
        <f>D16</f>
        <v>45689</v>
      </c>
      <c r="E25" s="44">
        <f t="shared" si="1"/>
        <v>1</v>
      </c>
      <c r="F25" s="45">
        <f t="shared" si="2"/>
        <v>45690.000000000022</v>
      </c>
      <c r="G25" s="52">
        <v>40</v>
      </c>
      <c r="H25" s="53">
        <v>40</v>
      </c>
      <c r="I25" s="54">
        <v>10</v>
      </c>
      <c r="J25" s="54">
        <v>250</v>
      </c>
      <c r="K25" s="55">
        <v>8.1</v>
      </c>
      <c r="L25" s="56">
        <v>40</v>
      </c>
      <c r="M25" s="54">
        <v>10</v>
      </c>
      <c r="N25" s="54">
        <v>250</v>
      </c>
      <c r="O25" s="57">
        <v>8.6</v>
      </c>
      <c r="P25" s="53">
        <v>37</v>
      </c>
      <c r="Q25" s="54">
        <v>10</v>
      </c>
      <c r="R25" s="55">
        <v>0</v>
      </c>
      <c r="S25" s="55">
        <v>7.6</v>
      </c>
      <c r="T25" s="57">
        <v>16.3</v>
      </c>
      <c r="U25" s="56">
        <v>37</v>
      </c>
      <c r="V25" s="54">
        <v>10</v>
      </c>
      <c r="W25" s="55">
        <v>0</v>
      </c>
      <c r="X25" s="55">
        <v>7.2</v>
      </c>
      <c r="Y25" s="57">
        <v>5.7</v>
      </c>
      <c r="Z25" s="53">
        <v>35</v>
      </c>
      <c r="AA25" s="54">
        <v>10</v>
      </c>
      <c r="AB25" s="55">
        <v>0</v>
      </c>
      <c r="AC25" s="55">
        <v>8.1</v>
      </c>
      <c r="AD25" s="57">
        <v>14.4</v>
      </c>
      <c r="AE25" s="56">
        <v>37</v>
      </c>
      <c r="AF25" s="54">
        <v>9.8000000000000007</v>
      </c>
      <c r="AG25" s="55">
        <v>0</v>
      </c>
      <c r="AH25" s="55">
        <v>8.4</v>
      </c>
      <c r="AI25" s="57">
        <v>14.4</v>
      </c>
      <c r="AJ25" s="56">
        <v>37</v>
      </c>
      <c r="AK25" s="54">
        <v>9.9</v>
      </c>
      <c r="AL25" s="54">
        <v>0</v>
      </c>
      <c r="AM25" s="54">
        <v>6.1</v>
      </c>
      <c r="AN25" s="57">
        <v>13.4</v>
      </c>
      <c r="AO25" s="53">
        <v>38</v>
      </c>
      <c r="AP25" s="54">
        <v>9.9</v>
      </c>
      <c r="AQ25" s="54">
        <v>240</v>
      </c>
      <c r="AR25" s="54">
        <v>7.2</v>
      </c>
      <c r="AS25" s="57">
        <v>16.3</v>
      </c>
      <c r="AT25" s="56">
        <v>30</v>
      </c>
      <c r="AU25" s="57">
        <v>200</v>
      </c>
      <c r="AV25" s="56">
        <v>59.53369140625</v>
      </c>
      <c r="AW25" s="57">
        <v>373.21035842895509</v>
      </c>
      <c r="AX25" s="8"/>
      <c r="AZ25" s="1">
        <v>90</v>
      </c>
    </row>
    <row r="26" spans="3:52" ht="15" customHeight="1" x14ac:dyDescent="0.25">
      <c r="C26" s="42"/>
      <c r="D26" s="43">
        <f>D16</f>
        <v>45689</v>
      </c>
      <c r="E26" s="44">
        <f t="shared" si="1"/>
        <v>1.0833333333333333</v>
      </c>
      <c r="F26" s="45">
        <f t="shared" si="2"/>
        <v>45690.083333333358</v>
      </c>
      <c r="G26" s="52">
        <v>40</v>
      </c>
      <c r="H26" s="53">
        <v>39</v>
      </c>
      <c r="I26" s="54">
        <v>9.9</v>
      </c>
      <c r="J26" s="54">
        <v>250</v>
      </c>
      <c r="K26" s="55">
        <v>7.4</v>
      </c>
      <c r="L26" s="56">
        <v>40</v>
      </c>
      <c r="M26" s="54">
        <v>9.9</v>
      </c>
      <c r="N26" s="54">
        <v>250</v>
      </c>
      <c r="O26" s="57">
        <v>7.8</v>
      </c>
      <c r="P26" s="53">
        <v>38</v>
      </c>
      <c r="Q26" s="54">
        <v>10</v>
      </c>
      <c r="R26" s="55">
        <v>0</v>
      </c>
      <c r="S26" s="55">
        <v>6.3</v>
      </c>
      <c r="T26" s="57">
        <v>17.3</v>
      </c>
      <c r="U26" s="56">
        <v>37</v>
      </c>
      <c r="V26" s="54">
        <v>10</v>
      </c>
      <c r="W26" s="55">
        <v>0</v>
      </c>
      <c r="X26" s="55">
        <v>7.9</v>
      </c>
      <c r="Y26" s="57">
        <v>11.5</v>
      </c>
      <c r="Z26" s="53">
        <v>36</v>
      </c>
      <c r="AA26" s="54">
        <v>10</v>
      </c>
      <c r="AB26" s="55">
        <v>0</v>
      </c>
      <c r="AC26" s="55">
        <v>8.5</v>
      </c>
      <c r="AD26" s="57">
        <v>7.6</v>
      </c>
      <c r="AE26" s="56">
        <v>36</v>
      </c>
      <c r="AF26" s="54">
        <v>9.8000000000000007</v>
      </c>
      <c r="AG26" s="55">
        <v>0</v>
      </c>
      <c r="AH26" s="55">
        <v>8.1999999999999993</v>
      </c>
      <c r="AI26" s="57">
        <v>14.6</v>
      </c>
      <c r="AJ26" s="56">
        <v>37</v>
      </c>
      <c r="AK26" s="54">
        <v>9.9</v>
      </c>
      <c r="AL26" s="54">
        <v>0</v>
      </c>
      <c r="AM26" s="54">
        <v>7.3</v>
      </c>
      <c r="AN26" s="57">
        <v>14.03</v>
      </c>
      <c r="AO26" s="53">
        <v>37</v>
      </c>
      <c r="AP26" s="54">
        <v>9.9</v>
      </c>
      <c r="AQ26" s="54">
        <v>290</v>
      </c>
      <c r="AR26" s="54">
        <v>6.8</v>
      </c>
      <c r="AS26" s="57">
        <v>16.7</v>
      </c>
      <c r="AT26" s="56">
        <v>32</v>
      </c>
      <c r="AU26" s="57">
        <v>190</v>
      </c>
      <c r="AV26" s="56">
        <v>60.880535125732401</v>
      </c>
      <c r="AW26" s="57">
        <v>371.63761062622069</v>
      </c>
      <c r="AX26" s="8"/>
      <c r="AZ26" s="1">
        <v>90</v>
      </c>
    </row>
    <row r="27" spans="3:52" ht="15" customHeight="1" x14ac:dyDescent="0.25">
      <c r="C27" s="42"/>
      <c r="D27" s="58">
        <f>D16</f>
        <v>45689</v>
      </c>
      <c r="E27" s="59">
        <f t="shared" si="1"/>
        <v>1.1666666666666665</v>
      </c>
      <c r="F27" s="45">
        <f t="shared" si="2"/>
        <v>45690.166666666693</v>
      </c>
      <c r="G27" s="60">
        <v>41</v>
      </c>
      <c r="H27" s="61">
        <v>39</v>
      </c>
      <c r="I27" s="62">
        <v>10.3</v>
      </c>
      <c r="J27" s="62">
        <v>250</v>
      </c>
      <c r="K27" s="63">
        <v>7.2</v>
      </c>
      <c r="L27" s="64">
        <v>40</v>
      </c>
      <c r="M27" s="62">
        <v>9.9</v>
      </c>
      <c r="N27" s="62">
        <v>250</v>
      </c>
      <c r="O27" s="65">
        <v>9.6</v>
      </c>
      <c r="P27" s="61">
        <v>36</v>
      </c>
      <c r="Q27" s="62">
        <v>9.9</v>
      </c>
      <c r="R27" s="63">
        <v>0</v>
      </c>
      <c r="S27" s="63">
        <v>7.9</v>
      </c>
      <c r="T27" s="65">
        <v>18.260000000000002</v>
      </c>
      <c r="U27" s="64">
        <v>36</v>
      </c>
      <c r="V27" s="62">
        <v>9.9</v>
      </c>
      <c r="W27" s="63">
        <v>0</v>
      </c>
      <c r="X27" s="63">
        <v>8.3000000000000007</v>
      </c>
      <c r="Y27" s="65">
        <v>15.38</v>
      </c>
      <c r="Z27" s="61">
        <v>36</v>
      </c>
      <c r="AA27" s="62">
        <v>9.9</v>
      </c>
      <c r="AB27" s="63">
        <v>0</v>
      </c>
      <c r="AC27" s="63">
        <v>7.3</v>
      </c>
      <c r="AD27" s="65">
        <v>4.8</v>
      </c>
      <c r="AE27" s="64">
        <v>36</v>
      </c>
      <c r="AF27" s="62">
        <v>9.9</v>
      </c>
      <c r="AG27" s="63">
        <v>0</v>
      </c>
      <c r="AH27" s="63">
        <v>7.5</v>
      </c>
      <c r="AI27" s="65">
        <v>14.46</v>
      </c>
      <c r="AJ27" s="64">
        <v>36</v>
      </c>
      <c r="AK27" s="62">
        <v>9.9</v>
      </c>
      <c r="AL27" s="62">
        <v>0</v>
      </c>
      <c r="AM27" s="62">
        <v>8.1</v>
      </c>
      <c r="AN27" s="65">
        <v>13.46</v>
      </c>
      <c r="AO27" s="61">
        <v>36</v>
      </c>
      <c r="AP27" s="62">
        <v>9.9</v>
      </c>
      <c r="AQ27" s="62">
        <v>240</v>
      </c>
      <c r="AR27" s="62">
        <v>7.3</v>
      </c>
      <c r="AS27" s="65">
        <v>15.38</v>
      </c>
      <c r="AT27" s="64">
        <v>31</v>
      </c>
      <c r="AU27" s="65">
        <v>190</v>
      </c>
      <c r="AV27" s="64">
        <v>61.165363311767599</v>
      </c>
      <c r="AW27" s="65">
        <v>367.37569910685221</v>
      </c>
      <c r="AX27" s="8"/>
      <c r="AZ27" s="1">
        <v>90</v>
      </c>
    </row>
    <row r="28" spans="3:52" ht="15" customHeight="1" x14ac:dyDescent="0.25">
      <c r="C28" s="42">
        <f>C16+1</f>
        <v>2</v>
      </c>
      <c r="D28" s="66">
        <f>D16+1</f>
        <v>45690</v>
      </c>
      <c r="E28" s="67">
        <f>E27+2/24</f>
        <v>1.2499999999999998</v>
      </c>
      <c r="F28" s="68">
        <f t="shared" si="2"/>
        <v>45690.250000000029</v>
      </c>
      <c r="G28" s="46">
        <v>40</v>
      </c>
      <c r="H28" s="47">
        <v>38</v>
      </c>
      <c r="I28" s="48">
        <v>10.3</v>
      </c>
      <c r="J28" s="48">
        <v>250</v>
      </c>
      <c r="K28" s="49">
        <v>8.1</v>
      </c>
      <c r="L28" s="50">
        <v>40</v>
      </c>
      <c r="M28" s="48">
        <v>9.9</v>
      </c>
      <c r="N28" s="48">
        <v>300</v>
      </c>
      <c r="O28" s="51">
        <v>10.1</v>
      </c>
      <c r="P28" s="47">
        <v>37</v>
      </c>
      <c r="Q28" s="48">
        <v>9.9</v>
      </c>
      <c r="R28" s="49">
        <v>0</v>
      </c>
      <c r="S28" s="49">
        <v>10.1</v>
      </c>
      <c r="T28" s="51">
        <v>17.3</v>
      </c>
      <c r="U28" s="50">
        <v>36</v>
      </c>
      <c r="V28" s="48">
        <v>9.9</v>
      </c>
      <c r="W28" s="49">
        <v>0</v>
      </c>
      <c r="X28" s="49">
        <v>8.6</v>
      </c>
      <c r="Y28" s="51">
        <v>15</v>
      </c>
      <c r="Z28" s="47">
        <v>35</v>
      </c>
      <c r="AA28" s="48">
        <v>9.9</v>
      </c>
      <c r="AB28" s="49">
        <v>0</v>
      </c>
      <c r="AC28" s="49">
        <v>8.3000000000000007</v>
      </c>
      <c r="AD28" s="51">
        <v>12.5</v>
      </c>
      <c r="AE28" s="50">
        <v>36</v>
      </c>
      <c r="AF28" s="48">
        <v>9.9</v>
      </c>
      <c r="AG28" s="49">
        <v>0</v>
      </c>
      <c r="AH28" s="49">
        <v>8.5</v>
      </c>
      <c r="AI28" s="51">
        <v>6.73</v>
      </c>
      <c r="AJ28" s="50">
        <v>35</v>
      </c>
      <c r="AK28" s="48">
        <v>9.9</v>
      </c>
      <c r="AL28" s="48">
        <v>0</v>
      </c>
      <c r="AM28" s="48">
        <v>7.8</v>
      </c>
      <c r="AN28" s="51">
        <v>13.4</v>
      </c>
      <c r="AO28" s="47">
        <v>35</v>
      </c>
      <c r="AP28" s="48">
        <v>9.9</v>
      </c>
      <c r="AQ28" s="48">
        <v>250</v>
      </c>
      <c r="AR28" s="48">
        <v>8.4</v>
      </c>
      <c r="AS28" s="51">
        <v>15.38</v>
      </c>
      <c r="AT28" s="50">
        <v>30</v>
      </c>
      <c r="AU28" s="51">
        <v>200</v>
      </c>
      <c r="AV28" s="50">
        <v>58.610027313232401</v>
      </c>
      <c r="AW28" s="51">
        <v>385.22147407531736</v>
      </c>
      <c r="AX28" s="8"/>
      <c r="AZ28" s="1">
        <v>90</v>
      </c>
    </row>
    <row r="29" spans="3:52" ht="15" customHeight="1" x14ac:dyDescent="0.25">
      <c r="C29" s="42"/>
      <c r="D29" s="43">
        <f>D28</f>
        <v>45690</v>
      </c>
      <c r="E29" s="44">
        <f>E28+2/24</f>
        <v>1.333333333333333</v>
      </c>
      <c r="F29" s="45">
        <f t="shared" si="2"/>
        <v>45690.333333333365</v>
      </c>
      <c r="G29" s="52">
        <v>36</v>
      </c>
      <c r="H29" s="53">
        <v>35</v>
      </c>
      <c r="I29" s="54">
        <v>10.6</v>
      </c>
      <c r="J29" s="54">
        <v>200</v>
      </c>
      <c r="K29" s="55">
        <v>7.4</v>
      </c>
      <c r="L29" s="56">
        <v>35</v>
      </c>
      <c r="M29" s="54">
        <v>10.1</v>
      </c>
      <c r="N29" s="54">
        <v>200</v>
      </c>
      <c r="O29" s="57">
        <v>7.8</v>
      </c>
      <c r="P29" s="53">
        <v>36</v>
      </c>
      <c r="Q29" s="54">
        <v>9.9</v>
      </c>
      <c r="R29" s="55">
        <v>0</v>
      </c>
      <c r="S29" s="55">
        <v>7.4</v>
      </c>
      <c r="T29" s="57">
        <v>17.3</v>
      </c>
      <c r="U29" s="56">
        <v>35</v>
      </c>
      <c r="V29" s="54">
        <v>9.9</v>
      </c>
      <c r="W29" s="55">
        <v>0</v>
      </c>
      <c r="X29" s="55">
        <v>6.3</v>
      </c>
      <c r="Y29" s="57">
        <v>15.38</v>
      </c>
      <c r="Z29" s="53">
        <v>34</v>
      </c>
      <c r="AA29" s="54">
        <v>9.9</v>
      </c>
      <c r="AB29" s="55">
        <v>0</v>
      </c>
      <c r="AC29" s="55">
        <v>7.1</v>
      </c>
      <c r="AD29" s="57">
        <v>12.11</v>
      </c>
      <c r="AE29" s="56">
        <v>34</v>
      </c>
      <c r="AF29" s="54">
        <v>9.9</v>
      </c>
      <c r="AG29" s="55">
        <v>0</v>
      </c>
      <c r="AH29" s="55">
        <v>6.4</v>
      </c>
      <c r="AI29" s="57">
        <v>5.76</v>
      </c>
      <c r="AJ29" s="56">
        <v>34</v>
      </c>
      <c r="AK29" s="54">
        <v>10</v>
      </c>
      <c r="AL29" s="54">
        <v>0</v>
      </c>
      <c r="AM29" s="54">
        <v>6.7</v>
      </c>
      <c r="AN29" s="57">
        <v>13.46</v>
      </c>
      <c r="AO29" s="53">
        <v>35</v>
      </c>
      <c r="AP29" s="54">
        <v>10</v>
      </c>
      <c r="AQ29" s="54">
        <v>200</v>
      </c>
      <c r="AR29" s="54">
        <v>6.2</v>
      </c>
      <c r="AS29" s="57">
        <v>16.34</v>
      </c>
      <c r="AT29" s="56">
        <v>26</v>
      </c>
      <c r="AU29" s="57">
        <v>130</v>
      </c>
      <c r="AV29" s="56">
        <v>59.358722686767599</v>
      </c>
      <c r="AW29" s="57">
        <v>379.83241678873696</v>
      </c>
      <c r="AX29" s="8"/>
      <c r="AZ29" s="1">
        <v>90</v>
      </c>
    </row>
    <row r="30" spans="3:52" ht="15" customHeight="1" x14ac:dyDescent="0.25">
      <c r="C30" s="42"/>
      <c r="D30" s="43">
        <f>D28</f>
        <v>45690</v>
      </c>
      <c r="E30" s="44">
        <f t="shared" ref="E30:E39" si="3">E29+2/24</f>
        <v>1.4166666666666663</v>
      </c>
      <c r="F30" s="45">
        <f t="shared" si="2"/>
        <v>45690.416666666701</v>
      </c>
      <c r="G30" s="52">
        <v>38</v>
      </c>
      <c r="H30" s="53">
        <v>35</v>
      </c>
      <c r="I30" s="54">
        <v>10.5</v>
      </c>
      <c r="J30" s="54">
        <v>200</v>
      </c>
      <c r="K30" s="55">
        <v>7</v>
      </c>
      <c r="L30" s="56">
        <v>36</v>
      </c>
      <c r="M30" s="54">
        <v>10.199999999999999</v>
      </c>
      <c r="N30" s="54">
        <v>200</v>
      </c>
      <c r="O30" s="57">
        <v>7.2</v>
      </c>
      <c r="P30" s="53">
        <v>36</v>
      </c>
      <c r="Q30" s="54">
        <v>10.1</v>
      </c>
      <c r="R30" s="55">
        <v>0</v>
      </c>
      <c r="S30" s="55">
        <v>7</v>
      </c>
      <c r="T30" s="57">
        <v>16.350000000000001</v>
      </c>
      <c r="U30" s="56">
        <v>35</v>
      </c>
      <c r="V30" s="54">
        <v>10</v>
      </c>
      <c r="W30" s="55">
        <v>0</v>
      </c>
      <c r="X30" s="55">
        <v>6.4</v>
      </c>
      <c r="Y30" s="57">
        <v>14.8</v>
      </c>
      <c r="Z30" s="53">
        <v>35</v>
      </c>
      <c r="AA30" s="54">
        <v>10</v>
      </c>
      <c r="AB30" s="55">
        <v>0</v>
      </c>
      <c r="AC30" s="55">
        <v>6.8</v>
      </c>
      <c r="AD30" s="57">
        <v>12.5</v>
      </c>
      <c r="AE30" s="56">
        <v>34</v>
      </c>
      <c r="AF30" s="54">
        <v>10</v>
      </c>
      <c r="AG30" s="55">
        <v>0</v>
      </c>
      <c r="AH30" s="55">
        <v>6.7</v>
      </c>
      <c r="AI30" s="57">
        <v>12.5</v>
      </c>
      <c r="AJ30" s="56">
        <v>34</v>
      </c>
      <c r="AK30" s="54">
        <v>10</v>
      </c>
      <c r="AL30" s="54">
        <v>0</v>
      </c>
      <c r="AM30" s="54">
        <v>6.3</v>
      </c>
      <c r="AN30" s="57">
        <v>11.53</v>
      </c>
      <c r="AO30" s="53">
        <v>35</v>
      </c>
      <c r="AP30" s="54">
        <v>10</v>
      </c>
      <c r="AQ30" s="54">
        <v>200</v>
      </c>
      <c r="AR30" s="54">
        <v>6.3</v>
      </c>
      <c r="AS30" s="57">
        <v>15.38</v>
      </c>
      <c r="AT30" s="56">
        <v>28</v>
      </c>
      <c r="AU30" s="57">
        <v>140</v>
      </c>
      <c r="AV30" s="56">
        <v>63.2568359375</v>
      </c>
      <c r="AW30" s="57">
        <v>366.07204806009929</v>
      </c>
      <c r="AX30" s="8"/>
      <c r="AZ30" s="1">
        <v>90</v>
      </c>
    </row>
    <row r="31" spans="3:52" ht="15" customHeight="1" x14ac:dyDescent="0.25">
      <c r="C31" s="42"/>
      <c r="D31" s="43">
        <f>D28</f>
        <v>45690</v>
      </c>
      <c r="E31" s="44">
        <f t="shared" si="3"/>
        <v>1.4999999999999996</v>
      </c>
      <c r="F31" s="45">
        <f t="shared" si="2"/>
        <v>45690.500000000036</v>
      </c>
      <c r="G31" s="52">
        <v>38</v>
      </c>
      <c r="H31" s="53">
        <v>37</v>
      </c>
      <c r="I31" s="54">
        <v>10.6</v>
      </c>
      <c r="J31" s="54">
        <v>250</v>
      </c>
      <c r="K31" s="55">
        <v>6.9</v>
      </c>
      <c r="L31" s="56">
        <v>37</v>
      </c>
      <c r="M31" s="54">
        <v>10.3</v>
      </c>
      <c r="N31" s="54">
        <v>250</v>
      </c>
      <c r="O31" s="57">
        <v>7.5</v>
      </c>
      <c r="P31" s="53">
        <v>36</v>
      </c>
      <c r="Q31" s="54">
        <v>10.1</v>
      </c>
      <c r="R31" s="55">
        <v>0</v>
      </c>
      <c r="S31" s="55">
        <v>6.8</v>
      </c>
      <c r="T31" s="57">
        <v>16.920000000000002</v>
      </c>
      <c r="U31" s="56">
        <v>35</v>
      </c>
      <c r="V31" s="54">
        <v>10</v>
      </c>
      <c r="W31" s="55">
        <v>0</v>
      </c>
      <c r="X31" s="55">
        <v>6.1</v>
      </c>
      <c r="Y31" s="57">
        <v>15</v>
      </c>
      <c r="Z31" s="53">
        <v>35</v>
      </c>
      <c r="AA31" s="54">
        <v>10</v>
      </c>
      <c r="AB31" s="55">
        <v>0</v>
      </c>
      <c r="AC31" s="55">
        <v>6.4</v>
      </c>
      <c r="AD31" s="57">
        <v>13.46</v>
      </c>
      <c r="AE31" s="56">
        <v>35</v>
      </c>
      <c r="AF31" s="54">
        <v>10</v>
      </c>
      <c r="AG31" s="55">
        <v>0</v>
      </c>
      <c r="AH31" s="55">
        <v>6.2</v>
      </c>
      <c r="AI31" s="57">
        <v>15.38</v>
      </c>
      <c r="AJ31" s="56">
        <v>34</v>
      </c>
      <c r="AK31" s="54">
        <v>9.9</v>
      </c>
      <c r="AL31" s="54">
        <v>0</v>
      </c>
      <c r="AM31" s="54">
        <v>6.4</v>
      </c>
      <c r="AN31" s="57">
        <v>8.6</v>
      </c>
      <c r="AO31" s="53">
        <v>34</v>
      </c>
      <c r="AP31" s="54">
        <v>9.9</v>
      </c>
      <c r="AQ31" s="54">
        <v>200</v>
      </c>
      <c r="AR31" s="54">
        <v>6.5</v>
      </c>
      <c r="AS31" s="57">
        <v>15.76</v>
      </c>
      <c r="AT31" s="56">
        <v>27</v>
      </c>
      <c r="AU31" s="57">
        <v>140</v>
      </c>
      <c r="AV31" s="56">
        <v>61.580402374267599</v>
      </c>
      <c r="AW31" s="57">
        <v>361.88717683156329</v>
      </c>
      <c r="AX31" s="8"/>
      <c r="AZ31" s="1">
        <v>90</v>
      </c>
    </row>
    <row r="32" spans="3:52" ht="15" customHeight="1" x14ac:dyDescent="0.25">
      <c r="C32" s="42"/>
      <c r="D32" s="43">
        <f>D28</f>
        <v>45690</v>
      </c>
      <c r="E32" s="44">
        <f t="shared" si="3"/>
        <v>1.5833333333333328</v>
      </c>
      <c r="F32" s="45">
        <f t="shared" si="2"/>
        <v>45690.583333333372</v>
      </c>
      <c r="G32" s="52">
        <v>38</v>
      </c>
      <c r="H32" s="53">
        <v>37</v>
      </c>
      <c r="I32" s="54">
        <v>10.6</v>
      </c>
      <c r="J32" s="54">
        <v>250</v>
      </c>
      <c r="K32" s="55">
        <v>6.4</v>
      </c>
      <c r="L32" s="56">
        <v>36</v>
      </c>
      <c r="M32" s="54">
        <v>10.4</v>
      </c>
      <c r="N32" s="54">
        <v>250</v>
      </c>
      <c r="O32" s="57">
        <v>7.2</v>
      </c>
      <c r="P32" s="53">
        <v>35</v>
      </c>
      <c r="Q32" s="54">
        <v>10.1</v>
      </c>
      <c r="R32" s="55">
        <v>0</v>
      </c>
      <c r="S32" s="55">
        <v>6</v>
      </c>
      <c r="T32" s="57">
        <v>16.73</v>
      </c>
      <c r="U32" s="56">
        <v>35</v>
      </c>
      <c r="V32" s="54">
        <v>10.1</v>
      </c>
      <c r="W32" s="55">
        <v>0</v>
      </c>
      <c r="X32" s="55">
        <v>6.5</v>
      </c>
      <c r="Y32" s="57">
        <v>14.4</v>
      </c>
      <c r="Z32" s="53">
        <v>36</v>
      </c>
      <c r="AA32" s="54">
        <v>10</v>
      </c>
      <c r="AB32" s="55">
        <v>0</v>
      </c>
      <c r="AC32" s="55">
        <v>6.2</v>
      </c>
      <c r="AD32" s="57">
        <v>12.5</v>
      </c>
      <c r="AE32" s="56">
        <v>35</v>
      </c>
      <c r="AF32" s="54">
        <v>10</v>
      </c>
      <c r="AG32" s="55">
        <v>0</v>
      </c>
      <c r="AH32" s="55">
        <v>6.4</v>
      </c>
      <c r="AI32" s="57">
        <v>15</v>
      </c>
      <c r="AJ32" s="56">
        <v>34</v>
      </c>
      <c r="AK32" s="54">
        <v>10</v>
      </c>
      <c r="AL32" s="54">
        <v>0</v>
      </c>
      <c r="AM32" s="54">
        <v>6.5</v>
      </c>
      <c r="AN32" s="57">
        <v>12.5</v>
      </c>
      <c r="AO32" s="53">
        <v>34</v>
      </c>
      <c r="AP32" s="54">
        <v>9.9</v>
      </c>
      <c r="AQ32" s="54">
        <v>200</v>
      </c>
      <c r="AR32" s="54">
        <v>6.5</v>
      </c>
      <c r="AS32" s="57">
        <v>8.65</v>
      </c>
      <c r="AT32" s="56">
        <v>27</v>
      </c>
      <c r="AU32" s="57">
        <v>140</v>
      </c>
      <c r="AV32" s="56">
        <v>59.4970703125</v>
      </c>
      <c r="AW32" s="57">
        <v>369.07696762084959</v>
      </c>
      <c r="AX32" s="8"/>
      <c r="AZ32" s="1">
        <v>90</v>
      </c>
    </row>
    <row r="33" spans="3:52" ht="15" customHeight="1" x14ac:dyDescent="0.25">
      <c r="C33" s="42"/>
      <c r="D33" s="43">
        <f>D28</f>
        <v>45690</v>
      </c>
      <c r="E33" s="44">
        <f t="shared" si="3"/>
        <v>1.6666666666666661</v>
      </c>
      <c r="F33" s="45">
        <f t="shared" si="2"/>
        <v>45690.666666666708</v>
      </c>
      <c r="G33" s="52">
        <v>38</v>
      </c>
      <c r="H33" s="53">
        <v>37</v>
      </c>
      <c r="I33" s="54">
        <v>10.3</v>
      </c>
      <c r="J33" s="54">
        <v>300</v>
      </c>
      <c r="K33" s="55">
        <v>6.8</v>
      </c>
      <c r="L33" s="56">
        <v>37</v>
      </c>
      <c r="M33" s="54">
        <v>10.1</v>
      </c>
      <c r="N33" s="54">
        <v>300</v>
      </c>
      <c r="O33" s="57">
        <v>7.8</v>
      </c>
      <c r="P33" s="53">
        <v>36</v>
      </c>
      <c r="Q33" s="54">
        <v>10</v>
      </c>
      <c r="R33" s="55">
        <v>0</v>
      </c>
      <c r="S33" s="55">
        <v>6.4</v>
      </c>
      <c r="T33" s="57">
        <v>17.3</v>
      </c>
      <c r="U33" s="56">
        <v>35</v>
      </c>
      <c r="V33" s="54">
        <v>10</v>
      </c>
      <c r="W33" s="55">
        <v>0</v>
      </c>
      <c r="X33" s="55">
        <v>6.2</v>
      </c>
      <c r="Y33" s="57">
        <v>15.7</v>
      </c>
      <c r="Z33" s="53">
        <v>35</v>
      </c>
      <c r="AA33" s="54">
        <v>9.9</v>
      </c>
      <c r="AB33" s="55">
        <v>0</v>
      </c>
      <c r="AC33" s="55">
        <v>6.4</v>
      </c>
      <c r="AD33" s="57">
        <v>11.53</v>
      </c>
      <c r="AE33" s="56">
        <v>34</v>
      </c>
      <c r="AF33" s="54">
        <v>9.9</v>
      </c>
      <c r="AG33" s="55">
        <v>0</v>
      </c>
      <c r="AH33" s="55">
        <v>6.2</v>
      </c>
      <c r="AI33" s="57">
        <v>15.38</v>
      </c>
      <c r="AJ33" s="56">
        <v>35</v>
      </c>
      <c r="AK33" s="54">
        <v>9.8000000000000007</v>
      </c>
      <c r="AL33" s="54">
        <v>0</v>
      </c>
      <c r="AM33" s="54">
        <v>6.2</v>
      </c>
      <c r="AN33" s="57">
        <v>13.46</v>
      </c>
      <c r="AO33" s="53">
        <v>35</v>
      </c>
      <c r="AP33" s="54">
        <v>9.8000000000000007</v>
      </c>
      <c r="AQ33" s="54">
        <v>150</v>
      </c>
      <c r="AR33" s="54">
        <v>6.1</v>
      </c>
      <c r="AS33" s="57">
        <v>6.73</v>
      </c>
      <c r="AT33" s="56">
        <v>27</v>
      </c>
      <c r="AU33" s="57">
        <v>150</v>
      </c>
      <c r="AV33" s="56">
        <v>58.21533203125</v>
      </c>
      <c r="AW33" s="57">
        <v>384.32159029642742</v>
      </c>
      <c r="AX33" s="8"/>
      <c r="AZ33" s="1">
        <v>90</v>
      </c>
    </row>
    <row r="34" spans="3:52" ht="15" customHeight="1" x14ac:dyDescent="0.25">
      <c r="C34" s="42"/>
      <c r="D34" s="43">
        <f>D28</f>
        <v>45690</v>
      </c>
      <c r="E34" s="44">
        <f t="shared" si="3"/>
        <v>1.7499999999999993</v>
      </c>
      <c r="F34" s="45">
        <f t="shared" si="2"/>
        <v>45690.750000000044</v>
      </c>
      <c r="G34" s="52">
        <v>36</v>
      </c>
      <c r="H34" s="53">
        <v>36</v>
      </c>
      <c r="I34" s="54">
        <v>10.199999999999999</v>
      </c>
      <c r="J34" s="54">
        <v>300</v>
      </c>
      <c r="K34" s="55">
        <v>0</v>
      </c>
      <c r="L34" s="56">
        <v>37</v>
      </c>
      <c r="M34" s="54">
        <v>10.1</v>
      </c>
      <c r="N34" s="54">
        <v>300</v>
      </c>
      <c r="O34" s="57">
        <v>0</v>
      </c>
      <c r="P34" s="53">
        <v>36</v>
      </c>
      <c r="Q34" s="54">
        <v>10.1</v>
      </c>
      <c r="R34" s="55">
        <v>0</v>
      </c>
      <c r="S34" s="55">
        <v>6.01</v>
      </c>
      <c r="T34" s="57">
        <v>17.11</v>
      </c>
      <c r="U34" s="56">
        <v>35</v>
      </c>
      <c r="V34" s="54">
        <v>10</v>
      </c>
      <c r="W34" s="55">
        <v>0</v>
      </c>
      <c r="X34" s="55">
        <v>0</v>
      </c>
      <c r="Y34" s="57">
        <v>18.760000000000002</v>
      </c>
      <c r="Z34" s="53">
        <v>35</v>
      </c>
      <c r="AA34" s="54">
        <v>10</v>
      </c>
      <c r="AB34" s="55">
        <v>0</v>
      </c>
      <c r="AC34" s="55">
        <v>6.5</v>
      </c>
      <c r="AD34" s="57">
        <v>14.42</v>
      </c>
      <c r="AE34" s="56">
        <v>34</v>
      </c>
      <c r="AF34" s="54">
        <v>9.9</v>
      </c>
      <c r="AG34" s="55">
        <v>0</v>
      </c>
      <c r="AH34" s="55">
        <v>6.5</v>
      </c>
      <c r="AI34" s="57">
        <v>12.3</v>
      </c>
      <c r="AJ34" s="56">
        <v>35</v>
      </c>
      <c r="AK34" s="54">
        <v>9.8000000000000007</v>
      </c>
      <c r="AL34" s="54">
        <v>0</v>
      </c>
      <c r="AM34" s="54">
        <v>6.5</v>
      </c>
      <c r="AN34" s="57">
        <v>15.46</v>
      </c>
      <c r="AO34" s="53">
        <v>35</v>
      </c>
      <c r="AP34" s="54">
        <v>9.8000000000000007</v>
      </c>
      <c r="AQ34" s="54">
        <v>200</v>
      </c>
      <c r="AR34" s="54">
        <v>6.1</v>
      </c>
      <c r="AS34" s="57">
        <v>6.34</v>
      </c>
      <c r="AT34" s="56">
        <v>28</v>
      </c>
      <c r="AU34" s="57">
        <v>150</v>
      </c>
      <c r="AV34" s="56">
        <v>57.169597625732401</v>
      </c>
      <c r="AW34" s="57">
        <v>379.72162043253581</v>
      </c>
      <c r="AX34" s="8"/>
      <c r="AZ34" s="1">
        <v>90</v>
      </c>
    </row>
    <row r="35" spans="3:52" ht="15" customHeight="1" x14ac:dyDescent="0.25">
      <c r="C35" s="42"/>
      <c r="D35" s="43">
        <f>D28</f>
        <v>45690</v>
      </c>
      <c r="E35" s="44">
        <f t="shared" si="3"/>
        <v>1.8333333333333326</v>
      </c>
      <c r="F35" s="45">
        <f t="shared" si="2"/>
        <v>45690.833333333379</v>
      </c>
      <c r="G35" s="52">
        <v>41</v>
      </c>
      <c r="H35" s="53">
        <v>40</v>
      </c>
      <c r="I35" s="54">
        <v>10.199999999999999</v>
      </c>
      <c r="J35" s="54">
        <v>400</v>
      </c>
      <c r="K35" s="55">
        <v>7.4</v>
      </c>
      <c r="L35" s="56">
        <v>40</v>
      </c>
      <c r="M35" s="54">
        <v>10</v>
      </c>
      <c r="N35" s="54">
        <v>250</v>
      </c>
      <c r="O35" s="57">
        <v>7.9</v>
      </c>
      <c r="P35" s="53">
        <v>40</v>
      </c>
      <c r="Q35" s="54">
        <v>10</v>
      </c>
      <c r="R35" s="55">
        <v>0</v>
      </c>
      <c r="S35" s="55">
        <v>6.1</v>
      </c>
      <c r="T35" s="57">
        <v>17.3</v>
      </c>
      <c r="U35" s="56">
        <v>38</v>
      </c>
      <c r="V35" s="54">
        <v>10</v>
      </c>
      <c r="W35" s="55">
        <v>0</v>
      </c>
      <c r="X35" s="55">
        <v>6.9</v>
      </c>
      <c r="Y35" s="57">
        <v>15.19</v>
      </c>
      <c r="Z35" s="53">
        <v>37</v>
      </c>
      <c r="AA35" s="54">
        <v>10</v>
      </c>
      <c r="AB35" s="55">
        <v>0</v>
      </c>
      <c r="AC35" s="55">
        <v>5.4</v>
      </c>
      <c r="AD35" s="57">
        <v>15.38</v>
      </c>
      <c r="AE35" s="56">
        <v>38</v>
      </c>
      <c r="AF35" s="54">
        <v>10</v>
      </c>
      <c r="AG35" s="55">
        <v>0</v>
      </c>
      <c r="AH35" s="55">
        <v>5.3</v>
      </c>
      <c r="AI35" s="57">
        <v>11.73</v>
      </c>
      <c r="AJ35" s="56">
        <v>37</v>
      </c>
      <c r="AK35" s="54">
        <v>10</v>
      </c>
      <c r="AL35" s="54">
        <v>0</v>
      </c>
      <c r="AM35" s="54">
        <v>5.3</v>
      </c>
      <c r="AN35" s="57">
        <v>12.5</v>
      </c>
      <c r="AO35" s="53">
        <v>36</v>
      </c>
      <c r="AP35" s="54">
        <v>9.9</v>
      </c>
      <c r="AQ35" s="54">
        <v>210</v>
      </c>
      <c r="AR35" s="54">
        <v>5.8</v>
      </c>
      <c r="AS35" s="57">
        <v>5.76</v>
      </c>
      <c r="AT35" s="56">
        <v>28</v>
      </c>
      <c r="AU35" s="57">
        <v>140</v>
      </c>
      <c r="AV35" s="56">
        <v>57.320148468017599</v>
      </c>
      <c r="AW35" s="57">
        <v>390.1668596903483</v>
      </c>
      <c r="AX35" s="8"/>
      <c r="AZ35" s="1">
        <v>90</v>
      </c>
    </row>
    <row r="36" spans="3:52" ht="15" customHeight="1" x14ac:dyDescent="0.25">
      <c r="C36" s="42"/>
      <c r="D36" s="43">
        <f>D28</f>
        <v>45690</v>
      </c>
      <c r="E36" s="44">
        <f t="shared" si="3"/>
        <v>1.9166666666666659</v>
      </c>
      <c r="F36" s="45">
        <f t="shared" si="2"/>
        <v>45690.916666666715</v>
      </c>
      <c r="G36" s="52">
        <v>37</v>
      </c>
      <c r="H36" s="53">
        <v>40</v>
      </c>
      <c r="I36" s="54">
        <v>10.1</v>
      </c>
      <c r="J36" s="54">
        <v>400</v>
      </c>
      <c r="K36" s="55" t="s">
        <v>41</v>
      </c>
      <c r="L36" s="56">
        <v>40</v>
      </c>
      <c r="M36" s="54">
        <v>10</v>
      </c>
      <c r="N36" s="54">
        <v>300</v>
      </c>
      <c r="O36" s="57">
        <v>8.1</v>
      </c>
      <c r="P36" s="53">
        <v>40</v>
      </c>
      <c r="Q36" s="54">
        <v>10</v>
      </c>
      <c r="R36" s="55">
        <v>0</v>
      </c>
      <c r="S36" s="55">
        <v>6.2</v>
      </c>
      <c r="T36" s="57">
        <v>17.3</v>
      </c>
      <c r="U36" s="56">
        <v>39</v>
      </c>
      <c r="V36" s="54">
        <v>10</v>
      </c>
      <c r="W36" s="55">
        <v>0</v>
      </c>
      <c r="X36" s="55">
        <v>7.5</v>
      </c>
      <c r="Y36" s="57">
        <v>15.38</v>
      </c>
      <c r="Z36" s="53">
        <v>38</v>
      </c>
      <c r="AA36" s="54">
        <v>10</v>
      </c>
      <c r="AB36" s="55">
        <v>0</v>
      </c>
      <c r="AC36" s="55">
        <v>5.6</v>
      </c>
      <c r="AD36" s="57">
        <v>15.38</v>
      </c>
      <c r="AE36" s="56">
        <v>37</v>
      </c>
      <c r="AF36" s="54">
        <v>10</v>
      </c>
      <c r="AG36" s="55">
        <v>0</v>
      </c>
      <c r="AH36" s="55">
        <v>5.6</v>
      </c>
      <c r="AI36" s="57">
        <v>11.53</v>
      </c>
      <c r="AJ36" s="56">
        <v>37</v>
      </c>
      <c r="AK36" s="54">
        <v>10</v>
      </c>
      <c r="AL36" s="54">
        <v>0</v>
      </c>
      <c r="AM36" s="54">
        <v>5.4</v>
      </c>
      <c r="AN36" s="57">
        <v>12.5</v>
      </c>
      <c r="AO36" s="53">
        <v>35</v>
      </c>
      <c r="AP36" s="54">
        <v>9.8000000000000007</v>
      </c>
      <c r="AQ36" s="54">
        <v>200</v>
      </c>
      <c r="AR36" s="54">
        <v>5.6</v>
      </c>
      <c r="AS36" s="57">
        <v>5.38</v>
      </c>
      <c r="AT36" s="56">
        <v>29</v>
      </c>
      <c r="AU36" s="57">
        <v>150</v>
      </c>
      <c r="AV36" s="56">
        <v>57.1533203125</v>
      </c>
      <c r="AW36" s="57">
        <v>390.0786071777344</v>
      </c>
      <c r="AX36" s="8"/>
      <c r="AZ36" s="1">
        <v>90</v>
      </c>
    </row>
    <row r="37" spans="3:52" ht="15" customHeight="1" x14ac:dyDescent="0.25">
      <c r="C37" s="42"/>
      <c r="D37" s="43">
        <f>D28</f>
        <v>45690</v>
      </c>
      <c r="E37" s="44">
        <f t="shared" si="3"/>
        <v>1.9999999999999991</v>
      </c>
      <c r="F37" s="45">
        <f t="shared" si="2"/>
        <v>45691.000000000051</v>
      </c>
      <c r="G37" s="52">
        <v>35</v>
      </c>
      <c r="H37" s="53">
        <v>39</v>
      </c>
      <c r="I37" s="54">
        <v>10.199999999999999</v>
      </c>
      <c r="J37" s="54">
        <v>400</v>
      </c>
      <c r="K37" s="55">
        <v>6.4</v>
      </c>
      <c r="L37" s="56">
        <v>42</v>
      </c>
      <c r="M37" s="54">
        <v>10.1</v>
      </c>
      <c r="N37" s="54">
        <v>300</v>
      </c>
      <c r="O37" s="57">
        <v>7.6</v>
      </c>
      <c r="P37" s="53">
        <v>39</v>
      </c>
      <c r="Q37" s="54">
        <v>10.1</v>
      </c>
      <c r="R37" s="55">
        <v>0</v>
      </c>
      <c r="S37" s="55">
        <v>6.1</v>
      </c>
      <c r="T37" s="57">
        <v>16.34</v>
      </c>
      <c r="U37" s="56">
        <v>40</v>
      </c>
      <c r="V37" s="54">
        <v>10.1</v>
      </c>
      <c r="W37" s="55">
        <v>0</v>
      </c>
      <c r="X37" s="55">
        <v>6.9</v>
      </c>
      <c r="Y37" s="57">
        <v>15.38</v>
      </c>
      <c r="Z37" s="53">
        <v>37</v>
      </c>
      <c r="AA37" s="54">
        <v>10</v>
      </c>
      <c r="AB37" s="55">
        <v>0</v>
      </c>
      <c r="AC37" s="55">
        <v>5.9</v>
      </c>
      <c r="AD37" s="57">
        <v>14.61</v>
      </c>
      <c r="AE37" s="56">
        <v>38</v>
      </c>
      <c r="AF37" s="54">
        <v>9.9</v>
      </c>
      <c r="AG37" s="55">
        <v>0</v>
      </c>
      <c r="AH37" s="55">
        <v>5.9</v>
      </c>
      <c r="AI37" s="57">
        <v>12.11</v>
      </c>
      <c r="AJ37" s="56">
        <v>38</v>
      </c>
      <c r="AK37" s="54">
        <v>9.9</v>
      </c>
      <c r="AL37" s="54">
        <v>0</v>
      </c>
      <c r="AM37" s="54">
        <v>5.7</v>
      </c>
      <c r="AN37" s="57">
        <v>12.69</v>
      </c>
      <c r="AO37" s="53">
        <v>37</v>
      </c>
      <c r="AP37" s="54">
        <v>9.9</v>
      </c>
      <c r="AQ37" s="54">
        <v>220</v>
      </c>
      <c r="AR37" s="54">
        <v>5.6</v>
      </c>
      <c r="AS37" s="57">
        <v>5.76</v>
      </c>
      <c r="AT37" s="56">
        <v>29</v>
      </c>
      <c r="AU37" s="57">
        <v>170</v>
      </c>
      <c r="AV37" s="56">
        <v>57.48291015625</v>
      </c>
      <c r="AW37" s="57">
        <v>389.17257436116535</v>
      </c>
      <c r="AX37" s="8"/>
      <c r="AZ37" s="1">
        <v>90</v>
      </c>
    </row>
    <row r="38" spans="3:52" ht="15" customHeight="1" x14ac:dyDescent="0.25">
      <c r="C38" s="42"/>
      <c r="D38" s="43">
        <f>D28</f>
        <v>45690</v>
      </c>
      <c r="E38" s="44">
        <f t="shared" si="3"/>
        <v>2.0833333333333326</v>
      </c>
      <c r="F38" s="45">
        <f t="shared" si="2"/>
        <v>45691.083333333387</v>
      </c>
      <c r="G38" s="52">
        <v>41</v>
      </c>
      <c r="H38" s="53">
        <v>40</v>
      </c>
      <c r="I38" s="54">
        <v>10.199999999999999</v>
      </c>
      <c r="J38" s="54">
        <v>400</v>
      </c>
      <c r="K38" s="55">
        <v>8.1</v>
      </c>
      <c r="L38" s="56">
        <v>41</v>
      </c>
      <c r="M38" s="54">
        <v>10.1</v>
      </c>
      <c r="N38" s="54">
        <v>300</v>
      </c>
      <c r="O38" s="57">
        <v>9.6</v>
      </c>
      <c r="P38" s="53">
        <v>40</v>
      </c>
      <c r="Q38" s="54">
        <v>10.1</v>
      </c>
      <c r="R38" s="55">
        <v>0</v>
      </c>
      <c r="S38" s="55">
        <v>7.9</v>
      </c>
      <c r="T38" s="57">
        <v>17.3</v>
      </c>
      <c r="U38" s="56">
        <v>40</v>
      </c>
      <c r="V38" s="54">
        <v>10.1</v>
      </c>
      <c r="W38" s="55">
        <v>0</v>
      </c>
      <c r="X38" s="55">
        <v>8.3000000000000007</v>
      </c>
      <c r="Y38" s="57">
        <v>15.3</v>
      </c>
      <c r="Z38" s="53">
        <v>37</v>
      </c>
      <c r="AA38" s="54">
        <v>10</v>
      </c>
      <c r="AB38" s="55">
        <v>0</v>
      </c>
      <c r="AC38" s="55">
        <v>8.1</v>
      </c>
      <c r="AD38" s="57">
        <v>14.6</v>
      </c>
      <c r="AE38" s="56">
        <v>38</v>
      </c>
      <c r="AF38" s="54">
        <v>9.9</v>
      </c>
      <c r="AG38" s="55">
        <v>0</v>
      </c>
      <c r="AH38" s="55">
        <v>6.5</v>
      </c>
      <c r="AI38" s="57">
        <v>11.9</v>
      </c>
      <c r="AJ38" s="56">
        <v>38</v>
      </c>
      <c r="AK38" s="54">
        <v>9.9</v>
      </c>
      <c r="AL38" s="54">
        <v>0</v>
      </c>
      <c r="AM38" s="54">
        <v>7.5</v>
      </c>
      <c r="AN38" s="57">
        <v>12.3</v>
      </c>
      <c r="AO38" s="53">
        <v>36</v>
      </c>
      <c r="AP38" s="54">
        <v>9.9</v>
      </c>
      <c r="AQ38" s="54">
        <v>200</v>
      </c>
      <c r="AR38" s="54">
        <v>7.3</v>
      </c>
      <c r="AS38" s="57">
        <v>5.7</v>
      </c>
      <c r="AT38" s="56">
        <v>27</v>
      </c>
      <c r="AU38" s="57">
        <v>140</v>
      </c>
      <c r="AV38" s="56">
        <v>57.792156219482401</v>
      </c>
      <c r="AW38" s="57">
        <v>386.92961527506509</v>
      </c>
      <c r="AX38" s="8"/>
      <c r="AZ38" s="1">
        <v>90</v>
      </c>
    </row>
    <row r="39" spans="3:52" ht="15" customHeight="1" x14ac:dyDescent="0.25">
      <c r="C39" s="42"/>
      <c r="D39" s="69">
        <f>D28</f>
        <v>45690</v>
      </c>
      <c r="E39" s="70">
        <f t="shared" si="3"/>
        <v>2.1666666666666661</v>
      </c>
      <c r="F39" s="71">
        <f t="shared" si="2"/>
        <v>45691.166666666722</v>
      </c>
      <c r="G39" s="60">
        <v>40</v>
      </c>
      <c r="H39" s="61">
        <v>40</v>
      </c>
      <c r="I39" s="62">
        <v>10.1</v>
      </c>
      <c r="J39" s="62">
        <v>450</v>
      </c>
      <c r="K39" s="63">
        <v>7.5</v>
      </c>
      <c r="L39" s="64">
        <v>41</v>
      </c>
      <c r="M39" s="62">
        <v>10</v>
      </c>
      <c r="N39" s="62">
        <v>300</v>
      </c>
      <c r="O39" s="65">
        <v>9.1999999999999993</v>
      </c>
      <c r="P39" s="61">
        <v>40</v>
      </c>
      <c r="Q39" s="62">
        <v>10</v>
      </c>
      <c r="R39" s="63">
        <v>0</v>
      </c>
      <c r="S39" s="63">
        <v>8.1</v>
      </c>
      <c r="T39" s="65">
        <v>17.600000000000001</v>
      </c>
      <c r="U39" s="64">
        <v>40</v>
      </c>
      <c r="V39" s="62">
        <v>10</v>
      </c>
      <c r="W39" s="63">
        <v>0</v>
      </c>
      <c r="X39" s="63">
        <v>7.6</v>
      </c>
      <c r="Y39" s="65">
        <v>15</v>
      </c>
      <c r="Z39" s="61">
        <v>39</v>
      </c>
      <c r="AA39" s="62">
        <v>10</v>
      </c>
      <c r="AB39" s="63">
        <v>0</v>
      </c>
      <c r="AC39" s="63">
        <v>7.3</v>
      </c>
      <c r="AD39" s="65">
        <v>15.3</v>
      </c>
      <c r="AE39" s="64">
        <v>38</v>
      </c>
      <c r="AF39" s="62">
        <v>9.9</v>
      </c>
      <c r="AG39" s="63">
        <v>0</v>
      </c>
      <c r="AH39" s="63">
        <v>6.9</v>
      </c>
      <c r="AI39" s="65">
        <v>12.5</v>
      </c>
      <c r="AJ39" s="64">
        <v>38</v>
      </c>
      <c r="AK39" s="62">
        <v>9.9</v>
      </c>
      <c r="AL39" s="62">
        <v>0</v>
      </c>
      <c r="AM39" s="62">
        <v>7.1</v>
      </c>
      <c r="AN39" s="65">
        <v>12.5</v>
      </c>
      <c r="AO39" s="61">
        <v>37</v>
      </c>
      <c r="AP39" s="62">
        <v>9.9</v>
      </c>
      <c r="AQ39" s="62">
        <v>220</v>
      </c>
      <c r="AR39" s="62">
        <v>7.9</v>
      </c>
      <c r="AS39" s="65">
        <v>6.7</v>
      </c>
      <c r="AT39" s="64">
        <v>28</v>
      </c>
      <c r="AU39" s="65">
        <v>170</v>
      </c>
      <c r="AV39" s="64">
        <v>58.378093719482401</v>
      </c>
      <c r="AW39" s="65">
        <v>384.49375470479328</v>
      </c>
      <c r="AX39" s="8"/>
      <c r="AZ39" s="1">
        <v>90</v>
      </c>
    </row>
    <row r="40" spans="3:52" ht="15" customHeight="1" x14ac:dyDescent="0.25">
      <c r="C40" s="42">
        <f>C28+1</f>
        <v>3</v>
      </c>
      <c r="D40" s="66">
        <f>DATE([2]Dash!$F$3,VLOOKUP([2]Dash!$E$3,[2]Abb!$C$3:$D$14,2,FALSE),C40)</f>
        <v>45691</v>
      </c>
      <c r="E40" s="67">
        <f>E39+2/24</f>
        <v>2.2499999999999996</v>
      </c>
      <c r="F40" s="68">
        <f t="shared" si="2"/>
        <v>45691.250000000058</v>
      </c>
      <c r="G40" s="46">
        <v>43</v>
      </c>
      <c r="H40" s="47">
        <v>41</v>
      </c>
      <c r="I40" s="48">
        <v>10</v>
      </c>
      <c r="J40" s="48">
        <v>350</v>
      </c>
      <c r="K40" s="49">
        <v>7.4</v>
      </c>
      <c r="L40" s="50">
        <v>40</v>
      </c>
      <c r="M40" s="48">
        <v>10.1</v>
      </c>
      <c r="N40" s="48">
        <v>350</v>
      </c>
      <c r="O40" s="51">
        <v>8.6</v>
      </c>
      <c r="P40" s="47">
        <v>40</v>
      </c>
      <c r="Q40" s="48">
        <v>10</v>
      </c>
      <c r="R40" s="49">
        <v>0</v>
      </c>
      <c r="S40" s="49">
        <v>7.2</v>
      </c>
      <c r="T40" s="51">
        <v>17.3</v>
      </c>
      <c r="U40" s="50">
        <v>41</v>
      </c>
      <c r="V40" s="48">
        <v>10</v>
      </c>
      <c r="W40" s="49">
        <v>0</v>
      </c>
      <c r="X40" s="49">
        <v>7.4</v>
      </c>
      <c r="Y40" s="51">
        <v>15.19</v>
      </c>
      <c r="Z40" s="47">
        <v>38</v>
      </c>
      <c r="AA40" s="48">
        <v>10</v>
      </c>
      <c r="AB40" s="49">
        <v>0</v>
      </c>
      <c r="AC40" s="49">
        <v>7</v>
      </c>
      <c r="AD40" s="51">
        <v>15.38</v>
      </c>
      <c r="AE40" s="50">
        <v>38</v>
      </c>
      <c r="AF40" s="48">
        <v>9.6999999999999993</v>
      </c>
      <c r="AG40" s="49">
        <v>0</v>
      </c>
      <c r="AH40" s="49">
        <v>6.7</v>
      </c>
      <c r="AI40" s="51">
        <v>11.73</v>
      </c>
      <c r="AJ40" s="50">
        <v>39</v>
      </c>
      <c r="AK40" s="48">
        <v>10</v>
      </c>
      <c r="AL40" s="48">
        <v>0</v>
      </c>
      <c r="AM40" s="48">
        <v>7</v>
      </c>
      <c r="AN40" s="51">
        <v>12.5</v>
      </c>
      <c r="AO40" s="47">
        <v>39</v>
      </c>
      <c r="AP40" s="48">
        <v>10</v>
      </c>
      <c r="AQ40" s="48">
        <v>180</v>
      </c>
      <c r="AR40" s="48">
        <v>6.2</v>
      </c>
      <c r="AS40" s="51">
        <v>5.38</v>
      </c>
      <c r="AT40" s="50">
        <v>32</v>
      </c>
      <c r="AU40" s="51">
        <v>160</v>
      </c>
      <c r="AV40" s="50">
        <v>58.610027313232401</v>
      </c>
      <c r="AW40" s="51">
        <v>385.22147407531736</v>
      </c>
      <c r="AX40" s="8"/>
      <c r="AZ40" s="1">
        <v>90</v>
      </c>
    </row>
    <row r="41" spans="3:52" ht="15" customHeight="1" x14ac:dyDescent="0.25">
      <c r="C41" s="42"/>
      <c r="D41" s="43">
        <f>D40</f>
        <v>45691</v>
      </c>
      <c r="E41" s="44">
        <f>E40+2/24</f>
        <v>2.333333333333333</v>
      </c>
      <c r="F41" s="45">
        <f t="shared" si="2"/>
        <v>45691.333333333394</v>
      </c>
      <c r="G41" s="52">
        <v>40</v>
      </c>
      <c r="H41" s="53">
        <v>40</v>
      </c>
      <c r="I41" s="54">
        <v>10.5</v>
      </c>
      <c r="J41" s="54">
        <v>300</v>
      </c>
      <c r="K41" s="55">
        <v>6.8</v>
      </c>
      <c r="L41" s="56">
        <v>37</v>
      </c>
      <c r="M41" s="54">
        <v>10.199999999999999</v>
      </c>
      <c r="N41" s="54">
        <v>300</v>
      </c>
      <c r="O41" s="57">
        <v>7.5</v>
      </c>
      <c r="P41" s="53">
        <v>38</v>
      </c>
      <c r="Q41" s="54">
        <v>10.1</v>
      </c>
      <c r="R41" s="55">
        <v>0</v>
      </c>
      <c r="S41" s="55">
        <v>6.2</v>
      </c>
      <c r="T41" s="57">
        <v>17.690000000000001</v>
      </c>
      <c r="U41" s="56">
        <v>38</v>
      </c>
      <c r="V41" s="54">
        <v>10.1</v>
      </c>
      <c r="W41" s="55">
        <v>0</v>
      </c>
      <c r="X41" s="55">
        <v>5.5</v>
      </c>
      <c r="Y41" s="57">
        <v>14.42</v>
      </c>
      <c r="Z41" s="53">
        <v>38</v>
      </c>
      <c r="AA41" s="54">
        <v>10.1</v>
      </c>
      <c r="AB41" s="55">
        <v>0</v>
      </c>
      <c r="AC41" s="55">
        <v>5.3</v>
      </c>
      <c r="AD41" s="57">
        <v>15.38</v>
      </c>
      <c r="AE41" s="56">
        <v>35</v>
      </c>
      <c r="AF41" s="54">
        <v>10.1</v>
      </c>
      <c r="AG41" s="55">
        <v>0</v>
      </c>
      <c r="AH41" s="55">
        <v>5.4</v>
      </c>
      <c r="AI41" s="57">
        <v>12.5</v>
      </c>
      <c r="AJ41" s="56">
        <v>37</v>
      </c>
      <c r="AK41" s="54">
        <v>10.1</v>
      </c>
      <c r="AL41" s="54">
        <v>0</v>
      </c>
      <c r="AM41" s="54">
        <v>5.5</v>
      </c>
      <c r="AN41" s="57">
        <v>15.38</v>
      </c>
      <c r="AO41" s="53">
        <v>36</v>
      </c>
      <c r="AP41" s="54">
        <v>9.9</v>
      </c>
      <c r="AQ41" s="54">
        <v>200</v>
      </c>
      <c r="AR41" s="54">
        <v>5.4</v>
      </c>
      <c r="AS41" s="57">
        <v>9.61</v>
      </c>
      <c r="AT41" s="56">
        <v>25</v>
      </c>
      <c r="AU41" s="57">
        <v>140</v>
      </c>
      <c r="AV41" s="56">
        <v>58.646648406982401</v>
      </c>
      <c r="AW41" s="57">
        <v>383.29053357442223</v>
      </c>
      <c r="AX41" s="8"/>
      <c r="AZ41" s="1">
        <v>90</v>
      </c>
    </row>
    <row r="42" spans="3:52" ht="15" customHeight="1" x14ac:dyDescent="0.25">
      <c r="C42" s="42"/>
      <c r="D42" s="43">
        <f>D40</f>
        <v>45691</v>
      </c>
      <c r="E42" s="44">
        <f t="shared" ref="E42:E51" si="4">E41+2/24</f>
        <v>2.4166666666666665</v>
      </c>
      <c r="F42" s="45">
        <f t="shared" si="2"/>
        <v>45691.41666666673</v>
      </c>
      <c r="G42" s="52">
        <v>42</v>
      </c>
      <c r="H42" s="53">
        <v>40</v>
      </c>
      <c r="I42" s="54">
        <v>10.4</v>
      </c>
      <c r="J42" s="54">
        <v>300</v>
      </c>
      <c r="K42" s="55">
        <v>7.1</v>
      </c>
      <c r="L42" s="56">
        <v>39</v>
      </c>
      <c r="M42" s="54">
        <v>10.1</v>
      </c>
      <c r="N42" s="54">
        <v>300</v>
      </c>
      <c r="O42" s="57">
        <v>7.2</v>
      </c>
      <c r="P42" s="53">
        <v>39</v>
      </c>
      <c r="Q42" s="54">
        <v>10.1</v>
      </c>
      <c r="R42" s="55">
        <v>0</v>
      </c>
      <c r="S42" s="55">
        <v>6.1</v>
      </c>
      <c r="T42" s="57">
        <v>17.5</v>
      </c>
      <c r="U42" s="56">
        <v>39</v>
      </c>
      <c r="V42" s="54">
        <v>10.1</v>
      </c>
      <c r="W42" s="55">
        <v>0</v>
      </c>
      <c r="X42" s="55">
        <v>5.4</v>
      </c>
      <c r="Y42" s="57">
        <v>14.23</v>
      </c>
      <c r="Z42" s="53">
        <v>38</v>
      </c>
      <c r="AA42" s="54">
        <v>10</v>
      </c>
      <c r="AB42" s="55">
        <v>0</v>
      </c>
      <c r="AC42" s="55">
        <v>5.2</v>
      </c>
      <c r="AD42" s="57">
        <v>15.38</v>
      </c>
      <c r="AE42" s="56">
        <v>36</v>
      </c>
      <c r="AF42" s="54">
        <v>10</v>
      </c>
      <c r="AG42" s="55">
        <v>0</v>
      </c>
      <c r="AH42" s="55">
        <v>5.5</v>
      </c>
      <c r="AI42" s="57">
        <v>12.5</v>
      </c>
      <c r="AJ42" s="56">
        <v>37</v>
      </c>
      <c r="AK42" s="54">
        <v>10.1</v>
      </c>
      <c r="AL42" s="54">
        <v>0</v>
      </c>
      <c r="AM42" s="54">
        <v>5.6</v>
      </c>
      <c r="AN42" s="57">
        <v>15.19</v>
      </c>
      <c r="AO42" s="53">
        <v>35</v>
      </c>
      <c r="AP42" s="54">
        <v>9.9</v>
      </c>
      <c r="AQ42" s="54">
        <v>200</v>
      </c>
      <c r="AR42" s="54">
        <v>5.3</v>
      </c>
      <c r="AS42" s="57">
        <v>16.34</v>
      </c>
      <c r="AT42" s="56">
        <v>24</v>
      </c>
      <c r="AU42" s="57">
        <v>150</v>
      </c>
      <c r="AV42" s="56">
        <v>59.517414093017599</v>
      </c>
      <c r="AW42" s="57">
        <v>383.15152371724446</v>
      </c>
      <c r="AX42" s="8"/>
      <c r="AZ42" s="1">
        <v>90</v>
      </c>
    </row>
    <row r="43" spans="3:52" ht="15" customHeight="1" x14ac:dyDescent="0.25">
      <c r="C43" s="42"/>
      <c r="D43" s="43">
        <f>D40</f>
        <v>45691</v>
      </c>
      <c r="E43" s="44">
        <f t="shared" si="4"/>
        <v>2.5</v>
      </c>
      <c r="F43" s="45">
        <f t="shared" si="2"/>
        <v>45691.500000000065</v>
      </c>
      <c r="G43" s="52">
        <v>42</v>
      </c>
      <c r="H43" s="53">
        <v>41</v>
      </c>
      <c r="I43" s="54">
        <v>10.7</v>
      </c>
      <c r="J43" s="54">
        <v>300</v>
      </c>
      <c r="K43" s="55">
        <v>6.8</v>
      </c>
      <c r="L43" s="56">
        <v>41</v>
      </c>
      <c r="M43" s="54">
        <v>10.3</v>
      </c>
      <c r="N43" s="54">
        <v>300</v>
      </c>
      <c r="O43" s="57">
        <v>6.5</v>
      </c>
      <c r="P43" s="53">
        <v>40</v>
      </c>
      <c r="Q43" s="54">
        <v>10.199999999999999</v>
      </c>
      <c r="R43" s="55">
        <v>0</v>
      </c>
      <c r="S43" s="55">
        <v>5.9</v>
      </c>
      <c r="T43" s="57">
        <v>17.690000000000001</v>
      </c>
      <c r="U43" s="56">
        <v>39</v>
      </c>
      <c r="V43" s="54">
        <v>10.199999999999999</v>
      </c>
      <c r="W43" s="55">
        <v>0</v>
      </c>
      <c r="X43" s="55">
        <v>5.2</v>
      </c>
      <c r="Y43" s="57">
        <v>14.61</v>
      </c>
      <c r="Z43" s="53">
        <v>39</v>
      </c>
      <c r="AA43" s="54">
        <v>10.1</v>
      </c>
      <c r="AB43" s="55">
        <v>0</v>
      </c>
      <c r="AC43" s="55">
        <v>5.6</v>
      </c>
      <c r="AD43" s="57">
        <v>15</v>
      </c>
      <c r="AE43" s="56">
        <v>38</v>
      </c>
      <c r="AF43" s="54">
        <v>10</v>
      </c>
      <c r="AG43" s="55">
        <v>0</v>
      </c>
      <c r="AH43" s="55">
        <v>5.4</v>
      </c>
      <c r="AI43" s="57">
        <v>12.3</v>
      </c>
      <c r="AJ43" s="56">
        <v>37</v>
      </c>
      <c r="AK43" s="54">
        <v>10</v>
      </c>
      <c r="AL43" s="54">
        <v>0</v>
      </c>
      <c r="AM43" s="54">
        <v>5.5</v>
      </c>
      <c r="AN43" s="57">
        <v>15.38</v>
      </c>
      <c r="AO43" s="53">
        <v>35</v>
      </c>
      <c r="AP43" s="54">
        <v>10</v>
      </c>
      <c r="AQ43" s="54">
        <v>200</v>
      </c>
      <c r="AR43" s="54">
        <v>5.4</v>
      </c>
      <c r="AS43" s="57">
        <v>15.38</v>
      </c>
      <c r="AT43" s="56">
        <v>29</v>
      </c>
      <c r="AU43" s="57">
        <v>150</v>
      </c>
      <c r="AV43" s="56">
        <v>59.672039031982401</v>
      </c>
      <c r="AW43" s="57">
        <v>380.84719823201499</v>
      </c>
      <c r="AX43" s="8"/>
      <c r="AZ43" s="1">
        <v>90</v>
      </c>
    </row>
    <row r="44" spans="3:52" ht="15" customHeight="1" x14ac:dyDescent="0.25">
      <c r="C44" s="42"/>
      <c r="D44" s="43">
        <f>D40</f>
        <v>45691</v>
      </c>
      <c r="E44" s="44">
        <f t="shared" si="4"/>
        <v>2.5833333333333335</v>
      </c>
      <c r="F44" s="45">
        <f t="shared" si="2"/>
        <v>45691.583333333401</v>
      </c>
      <c r="G44" s="52">
        <v>40</v>
      </c>
      <c r="H44" s="53">
        <v>41</v>
      </c>
      <c r="I44" s="54">
        <v>10.7</v>
      </c>
      <c r="J44" s="54">
        <v>350</v>
      </c>
      <c r="K44" s="55">
        <v>5.9</v>
      </c>
      <c r="L44" s="56">
        <v>40</v>
      </c>
      <c r="M44" s="54">
        <v>10.199999999999999</v>
      </c>
      <c r="N44" s="54">
        <v>300</v>
      </c>
      <c r="O44" s="57">
        <v>5.8</v>
      </c>
      <c r="P44" s="53">
        <v>40</v>
      </c>
      <c r="Q44" s="54">
        <v>10.1</v>
      </c>
      <c r="R44" s="55">
        <v>0</v>
      </c>
      <c r="S44" s="55">
        <v>5.8</v>
      </c>
      <c r="T44" s="57">
        <v>16.34</v>
      </c>
      <c r="U44" s="56">
        <v>38</v>
      </c>
      <c r="V44" s="54">
        <v>10.1</v>
      </c>
      <c r="W44" s="55">
        <v>0</v>
      </c>
      <c r="X44" s="55">
        <v>5.6</v>
      </c>
      <c r="Y44" s="57">
        <v>16.149999999999999</v>
      </c>
      <c r="Z44" s="53">
        <v>38</v>
      </c>
      <c r="AA44" s="54">
        <v>10</v>
      </c>
      <c r="AB44" s="55">
        <v>0</v>
      </c>
      <c r="AC44" s="55">
        <v>5.8</v>
      </c>
      <c r="AD44" s="57">
        <v>14.42</v>
      </c>
      <c r="AE44" s="56">
        <v>37</v>
      </c>
      <c r="AF44" s="54">
        <v>10</v>
      </c>
      <c r="AG44" s="55">
        <v>0</v>
      </c>
      <c r="AH44" s="55">
        <v>5.2</v>
      </c>
      <c r="AI44" s="57">
        <v>12.5</v>
      </c>
      <c r="AJ44" s="56">
        <v>38</v>
      </c>
      <c r="AK44" s="54">
        <v>10</v>
      </c>
      <c r="AL44" s="54">
        <v>0</v>
      </c>
      <c r="AM44" s="54">
        <v>5.7</v>
      </c>
      <c r="AN44" s="57">
        <v>14.42</v>
      </c>
      <c r="AO44" s="53">
        <v>36</v>
      </c>
      <c r="AP44" s="54">
        <v>10</v>
      </c>
      <c r="AQ44" s="54">
        <v>150</v>
      </c>
      <c r="AR44" s="54">
        <v>5.2</v>
      </c>
      <c r="AS44" s="57">
        <v>15.38</v>
      </c>
      <c r="AT44" s="56">
        <v>26</v>
      </c>
      <c r="AU44" s="57">
        <v>140</v>
      </c>
      <c r="AV44" s="56">
        <v>59.138996124267599</v>
      </c>
      <c r="AW44" s="57">
        <v>381.75841560363767</v>
      </c>
      <c r="AX44" s="8"/>
      <c r="AZ44" s="1">
        <v>90</v>
      </c>
    </row>
    <row r="45" spans="3:52" ht="15" customHeight="1" x14ac:dyDescent="0.25">
      <c r="C45" s="42"/>
      <c r="D45" s="43">
        <f>D40</f>
        <v>45691</v>
      </c>
      <c r="E45" s="44">
        <f t="shared" si="4"/>
        <v>2.666666666666667</v>
      </c>
      <c r="F45" s="45">
        <f t="shared" si="2"/>
        <v>45691.666666666737</v>
      </c>
      <c r="G45" s="52">
        <v>36</v>
      </c>
      <c r="H45" s="53">
        <v>39</v>
      </c>
      <c r="I45" s="54">
        <v>10.7</v>
      </c>
      <c r="J45" s="54">
        <v>200</v>
      </c>
      <c r="K45" s="55">
        <v>5.9</v>
      </c>
      <c r="L45" s="56">
        <v>38</v>
      </c>
      <c r="M45" s="54">
        <v>10.4</v>
      </c>
      <c r="N45" s="54">
        <v>250</v>
      </c>
      <c r="O45" s="57">
        <v>5.2</v>
      </c>
      <c r="P45" s="53">
        <v>39</v>
      </c>
      <c r="Q45" s="54">
        <v>10.1</v>
      </c>
      <c r="R45" s="55">
        <v>0</v>
      </c>
      <c r="S45" s="55">
        <v>5.9</v>
      </c>
      <c r="T45" s="57">
        <v>16.53</v>
      </c>
      <c r="U45" s="56">
        <v>38</v>
      </c>
      <c r="V45" s="54">
        <v>10.1</v>
      </c>
      <c r="W45" s="55">
        <v>0</v>
      </c>
      <c r="X45" s="55">
        <v>5.2</v>
      </c>
      <c r="Y45" s="57">
        <v>15.38</v>
      </c>
      <c r="Z45" s="53">
        <v>37</v>
      </c>
      <c r="AA45" s="54">
        <v>10</v>
      </c>
      <c r="AB45" s="55">
        <v>0</v>
      </c>
      <c r="AC45" s="55">
        <v>5.3</v>
      </c>
      <c r="AD45" s="57">
        <v>15</v>
      </c>
      <c r="AE45" s="56">
        <v>36</v>
      </c>
      <c r="AF45" s="54">
        <v>10.1</v>
      </c>
      <c r="AG45" s="55">
        <v>0</v>
      </c>
      <c r="AH45" s="55">
        <v>5.0999999999999996</v>
      </c>
      <c r="AI45" s="57">
        <v>12.5</v>
      </c>
      <c r="AJ45" s="56">
        <v>36</v>
      </c>
      <c r="AK45" s="54">
        <v>10.1</v>
      </c>
      <c r="AL45" s="54">
        <v>0</v>
      </c>
      <c r="AM45" s="54">
        <v>5.5</v>
      </c>
      <c r="AN45" s="57">
        <v>15.38</v>
      </c>
      <c r="AO45" s="53">
        <v>36</v>
      </c>
      <c r="AP45" s="54">
        <v>10</v>
      </c>
      <c r="AQ45" s="54">
        <v>200</v>
      </c>
      <c r="AR45" s="54">
        <v>5.5</v>
      </c>
      <c r="AS45" s="57">
        <v>15.19</v>
      </c>
      <c r="AT45" s="56">
        <v>25</v>
      </c>
      <c r="AU45" s="57">
        <v>140</v>
      </c>
      <c r="AV45" s="56">
        <v>58.4228515625</v>
      </c>
      <c r="AW45" s="57">
        <v>384.44733759562172</v>
      </c>
      <c r="AX45" s="8"/>
      <c r="AZ45" s="1">
        <v>90</v>
      </c>
    </row>
    <row r="46" spans="3:52" ht="15" customHeight="1" x14ac:dyDescent="0.25">
      <c r="C46" s="42"/>
      <c r="D46" s="43">
        <f>D40</f>
        <v>45691</v>
      </c>
      <c r="E46" s="44">
        <f t="shared" si="4"/>
        <v>2.7500000000000004</v>
      </c>
      <c r="F46" s="45">
        <f t="shared" si="2"/>
        <v>45691.750000000073</v>
      </c>
      <c r="G46" s="52">
        <v>38</v>
      </c>
      <c r="H46" s="53">
        <v>39</v>
      </c>
      <c r="I46" s="54">
        <v>10.6</v>
      </c>
      <c r="J46" s="54">
        <v>250</v>
      </c>
      <c r="K46" s="55">
        <v>5.4</v>
      </c>
      <c r="L46" s="56">
        <v>39</v>
      </c>
      <c r="M46" s="54">
        <v>10.4</v>
      </c>
      <c r="N46" s="54">
        <v>250</v>
      </c>
      <c r="O46" s="57">
        <v>5.8</v>
      </c>
      <c r="P46" s="53">
        <v>38</v>
      </c>
      <c r="Q46" s="54">
        <v>10.199999999999999</v>
      </c>
      <c r="R46" s="55">
        <v>0</v>
      </c>
      <c r="S46" s="55">
        <v>5.8</v>
      </c>
      <c r="T46" s="57">
        <v>17.3</v>
      </c>
      <c r="U46" s="56">
        <v>38</v>
      </c>
      <c r="V46" s="54">
        <v>10.1</v>
      </c>
      <c r="W46" s="55">
        <v>0</v>
      </c>
      <c r="X46" s="55">
        <v>5.5</v>
      </c>
      <c r="Y46" s="57">
        <v>14.42</v>
      </c>
      <c r="Z46" s="53">
        <v>36</v>
      </c>
      <c r="AA46" s="54">
        <v>10.1</v>
      </c>
      <c r="AB46" s="55">
        <v>0</v>
      </c>
      <c r="AC46" s="55">
        <v>5.5</v>
      </c>
      <c r="AD46" s="57">
        <v>15.38</v>
      </c>
      <c r="AE46" s="56">
        <v>35</v>
      </c>
      <c r="AF46" s="54">
        <v>10.1</v>
      </c>
      <c r="AG46" s="55">
        <v>0</v>
      </c>
      <c r="AH46" s="55">
        <v>5</v>
      </c>
      <c r="AI46" s="57">
        <v>12.5</v>
      </c>
      <c r="AJ46" s="56">
        <v>35</v>
      </c>
      <c r="AK46" s="54">
        <v>10.1</v>
      </c>
      <c r="AL46" s="54">
        <v>0</v>
      </c>
      <c r="AM46" s="54">
        <v>5.0999999999999996</v>
      </c>
      <c r="AN46" s="57">
        <v>15.38</v>
      </c>
      <c r="AO46" s="53">
        <v>36</v>
      </c>
      <c r="AP46" s="54">
        <v>10</v>
      </c>
      <c r="AQ46" s="54">
        <v>200</v>
      </c>
      <c r="AR46" s="54">
        <v>5.6</v>
      </c>
      <c r="AS46" s="57">
        <v>16.34</v>
      </c>
      <c r="AT46" s="56">
        <v>25</v>
      </c>
      <c r="AU46" s="57">
        <v>130</v>
      </c>
      <c r="AV46" s="56">
        <v>58.21533203125</v>
      </c>
      <c r="AW46" s="57">
        <v>386.47292200724286</v>
      </c>
      <c r="AX46" s="8"/>
      <c r="AZ46" s="1">
        <v>90</v>
      </c>
    </row>
    <row r="47" spans="3:52" ht="15" customHeight="1" x14ac:dyDescent="0.25">
      <c r="C47" s="42"/>
      <c r="D47" s="43">
        <f>D40</f>
        <v>45691</v>
      </c>
      <c r="E47" s="44">
        <f t="shared" si="4"/>
        <v>2.8333333333333339</v>
      </c>
      <c r="F47" s="45">
        <f t="shared" si="2"/>
        <v>45691.833333333409</v>
      </c>
      <c r="G47" s="52">
        <v>38</v>
      </c>
      <c r="H47" s="53">
        <v>40</v>
      </c>
      <c r="I47" s="54">
        <v>10.1</v>
      </c>
      <c r="J47" s="54">
        <v>250</v>
      </c>
      <c r="K47" s="55">
        <v>6.3</v>
      </c>
      <c r="L47" s="56">
        <v>39</v>
      </c>
      <c r="M47" s="54">
        <v>10.199999999999999</v>
      </c>
      <c r="N47" s="54">
        <v>200</v>
      </c>
      <c r="O47" s="57" t="s">
        <v>42</v>
      </c>
      <c r="P47" s="53">
        <v>40</v>
      </c>
      <c r="Q47" s="54">
        <v>10.199999999999999</v>
      </c>
      <c r="R47" s="55">
        <v>0</v>
      </c>
      <c r="S47" s="55">
        <v>6.4</v>
      </c>
      <c r="T47" s="57">
        <v>17.3</v>
      </c>
      <c r="U47" s="56">
        <v>40</v>
      </c>
      <c r="V47" s="54">
        <v>10.1</v>
      </c>
      <c r="W47" s="55">
        <v>0</v>
      </c>
      <c r="X47" s="55">
        <v>6.4</v>
      </c>
      <c r="Y47" s="57">
        <v>15.38</v>
      </c>
      <c r="Z47" s="53">
        <v>38</v>
      </c>
      <c r="AA47" s="54">
        <v>10</v>
      </c>
      <c r="AB47" s="55">
        <v>0</v>
      </c>
      <c r="AC47" s="55">
        <v>5.4</v>
      </c>
      <c r="AD47" s="57">
        <v>14.61</v>
      </c>
      <c r="AE47" s="56">
        <v>37</v>
      </c>
      <c r="AF47" s="54">
        <v>10</v>
      </c>
      <c r="AG47" s="55">
        <v>0</v>
      </c>
      <c r="AH47" s="55">
        <v>5.7</v>
      </c>
      <c r="AI47" s="57">
        <v>11.53</v>
      </c>
      <c r="AJ47" s="56">
        <v>37</v>
      </c>
      <c r="AK47" s="54">
        <v>10</v>
      </c>
      <c r="AL47" s="54">
        <v>0</v>
      </c>
      <c r="AM47" s="54">
        <v>5.4</v>
      </c>
      <c r="AN47" s="57">
        <v>14.42</v>
      </c>
      <c r="AO47" s="53">
        <v>37</v>
      </c>
      <c r="AP47" s="54">
        <v>10</v>
      </c>
      <c r="AQ47" s="54">
        <v>200</v>
      </c>
      <c r="AR47" s="54">
        <v>5.4</v>
      </c>
      <c r="AS47" s="57">
        <v>16.34</v>
      </c>
      <c r="AT47" s="56">
        <v>27</v>
      </c>
      <c r="AU47" s="57">
        <v>170</v>
      </c>
      <c r="AV47" s="56">
        <v>58.162433624267599</v>
      </c>
      <c r="AW47" s="57">
        <v>387.82636464436848</v>
      </c>
      <c r="AX47" s="8"/>
      <c r="AZ47" s="1">
        <v>90</v>
      </c>
    </row>
    <row r="48" spans="3:52" ht="15" customHeight="1" x14ac:dyDescent="0.25">
      <c r="C48" s="42"/>
      <c r="D48" s="43">
        <f>D40</f>
        <v>45691</v>
      </c>
      <c r="E48" s="44">
        <f t="shared" si="4"/>
        <v>2.9166666666666674</v>
      </c>
      <c r="F48" s="45">
        <f t="shared" si="2"/>
        <v>45691.916666666744</v>
      </c>
      <c r="G48" s="52">
        <v>43</v>
      </c>
      <c r="H48" s="53">
        <v>43</v>
      </c>
      <c r="I48" s="54">
        <v>10.7</v>
      </c>
      <c r="J48" s="54">
        <v>300</v>
      </c>
      <c r="K48" s="55">
        <v>6.2</v>
      </c>
      <c r="L48" s="56">
        <v>40</v>
      </c>
      <c r="M48" s="54">
        <v>10.199999999999999</v>
      </c>
      <c r="N48" s="54">
        <v>300</v>
      </c>
      <c r="O48" s="57">
        <v>6.9</v>
      </c>
      <c r="P48" s="53">
        <v>39</v>
      </c>
      <c r="Q48" s="54">
        <v>10.199999999999999</v>
      </c>
      <c r="R48" s="55">
        <v>0</v>
      </c>
      <c r="S48" s="55">
        <v>6.5</v>
      </c>
      <c r="T48" s="57">
        <v>17.3</v>
      </c>
      <c r="U48" s="56">
        <v>40</v>
      </c>
      <c r="V48" s="54">
        <v>10.199999999999999</v>
      </c>
      <c r="W48" s="55">
        <v>0</v>
      </c>
      <c r="X48" s="55">
        <v>6.3</v>
      </c>
      <c r="Y48" s="57">
        <v>15</v>
      </c>
      <c r="Z48" s="53">
        <v>38</v>
      </c>
      <c r="AA48" s="54">
        <v>10.1</v>
      </c>
      <c r="AB48" s="55">
        <v>0</v>
      </c>
      <c r="AC48" s="55">
        <v>5.6</v>
      </c>
      <c r="AD48" s="57">
        <v>14.61</v>
      </c>
      <c r="AE48" s="56">
        <v>34</v>
      </c>
      <c r="AF48" s="54">
        <v>10.1</v>
      </c>
      <c r="AG48" s="55">
        <v>0</v>
      </c>
      <c r="AH48" s="55">
        <v>5.8</v>
      </c>
      <c r="AI48" s="57">
        <v>11.53</v>
      </c>
      <c r="AJ48" s="56">
        <v>35</v>
      </c>
      <c r="AK48" s="54">
        <v>10</v>
      </c>
      <c r="AL48" s="54">
        <v>0</v>
      </c>
      <c r="AM48" s="54">
        <v>5.6</v>
      </c>
      <c r="AN48" s="57">
        <v>14.42</v>
      </c>
      <c r="AO48" s="53">
        <v>35</v>
      </c>
      <c r="AP48" s="54">
        <v>10</v>
      </c>
      <c r="AQ48" s="54">
        <v>210</v>
      </c>
      <c r="AR48" s="54">
        <v>5.4</v>
      </c>
      <c r="AS48" s="57">
        <v>16.34</v>
      </c>
      <c r="AT48" s="56">
        <v>26</v>
      </c>
      <c r="AU48" s="57">
        <v>180</v>
      </c>
      <c r="AV48" s="56">
        <v>57.97119140625</v>
      </c>
      <c r="AW48" s="57">
        <v>388.10341898600262</v>
      </c>
      <c r="AX48" s="8"/>
      <c r="AZ48" s="1">
        <v>90</v>
      </c>
    </row>
    <row r="49" spans="3:52" ht="15" customHeight="1" x14ac:dyDescent="0.25">
      <c r="C49" s="42"/>
      <c r="D49" s="43">
        <f>D40</f>
        <v>45691</v>
      </c>
      <c r="E49" s="44">
        <f t="shared" si="4"/>
        <v>3.0000000000000009</v>
      </c>
      <c r="F49" s="45">
        <f t="shared" si="2"/>
        <v>45692.00000000008</v>
      </c>
      <c r="G49" s="52">
        <v>41</v>
      </c>
      <c r="H49" s="53">
        <v>40</v>
      </c>
      <c r="I49" s="54">
        <v>10.6</v>
      </c>
      <c r="J49" s="54">
        <v>250</v>
      </c>
      <c r="K49" s="55">
        <v>7.9</v>
      </c>
      <c r="L49" s="56">
        <v>42</v>
      </c>
      <c r="M49" s="54">
        <v>10.4</v>
      </c>
      <c r="N49" s="54">
        <v>25</v>
      </c>
      <c r="O49" s="57">
        <v>8.1</v>
      </c>
      <c r="P49" s="53">
        <v>40</v>
      </c>
      <c r="Q49" s="54">
        <v>10.1</v>
      </c>
      <c r="R49" s="55">
        <v>0</v>
      </c>
      <c r="S49" s="55">
        <v>7.3</v>
      </c>
      <c r="T49" s="57">
        <v>16.73</v>
      </c>
      <c r="U49" s="56">
        <v>40</v>
      </c>
      <c r="V49" s="54">
        <v>10.199999999999999</v>
      </c>
      <c r="W49" s="55">
        <v>0</v>
      </c>
      <c r="X49" s="55">
        <v>8.1</v>
      </c>
      <c r="Y49" s="57">
        <v>15</v>
      </c>
      <c r="Z49" s="53">
        <v>40</v>
      </c>
      <c r="AA49" s="54">
        <v>10.1</v>
      </c>
      <c r="AB49" s="55">
        <v>0</v>
      </c>
      <c r="AC49" s="55">
        <v>6.9</v>
      </c>
      <c r="AD49" s="57">
        <v>14.42</v>
      </c>
      <c r="AE49" s="56">
        <v>39</v>
      </c>
      <c r="AF49" s="54">
        <v>10</v>
      </c>
      <c r="AG49" s="55">
        <v>0</v>
      </c>
      <c r="AH49" s="55">
        <v>5.5</v>
      </c>
      <c r="AI49" s="57">
        <v>11.92</v>
      </c>
      <c r="AJ49" s="56">
        <v>37</v>
      </c>
      <c r="AK49" s="54">
        <v>10</v>
      </c>
      <c r="AL49" s="54">
        <v>0</v>
      </c>
      <c r="AM49" s="54">
        <v>6.1</v>
      </c>
      <c r="AN49" s="57">
        <v>14.42</v>
      </c>
      <c r="AO49" s="53">
        <v>37</v>
      </c>
      <c r="AP49" s="54">
        <v>9.9</v>
      </c>
      <c r="AQ49" s="54">
        <v>250</v>
      </c>
      <c r="AR49" s="54">
        <v>6.3</v>
      </c>
      <c r="AS49" s="57">
        <v>15.3</v>
      </c>
      <c r="AT49" s="56">
        <v>29</v>
      </c>
      <c r="AU49" s="57">
        <v>180</v>
      </c>
      <c r="AV49" s="56">
        <v>58.353679656982401</v>
      </c>
      <c r="AW49" s="57">
        <v>386.58552729288738</v>
      </c>
      <c r="AX49" s="8"/>
      <c r="AZ49" s="1">
        <v>90</v>
      </c>
    </row>
    <row r="50" spans="3:52" ht="15" customHeight="1" x14ac:dyDescent="0.25">
      <c r="C50" s="42"/>
      <c r="D50" s="43">
        <f>D40</f>
        <v>45691</v>
      </c>
      <c r="E50" s="44">
        <f t="shared" si="4"/>
        <v>3.0833333333333344</v>
      </c>
      <c r="F50" s="45">
        <f t="shared" si="2"/>
        <v>45692.083333333416</v>
      </c>
      <c r="G50" s="52">
        <v>42</v>
      </c>
      <c r="H50" s="53">
        <v>39</v>
      </c>
      <c r="I50" s="54">
        <v>10.3</v>
      </c>
      <c r="J50" s="54">
        <v>250</v>
      </c>
      <c r="K50" s="55">
        <v>8.3000000000000007</v>
      </c>
      <c r="L50" s="56">
        <v>40</v>
      </c>
      <c r="M50" s="54">
        <v>10.3</v>
      </c>
      <c r="N50" s="54">
        <v>250</v>
      </c>
      <c r="O50" s="57">
        <v>8.3000000000000007</v>
      </c>
      <c r="P50" s="53">
        <v>40</v>
      </c>
      <c r="Q50" s="54">
        <v>10.1</v>
      </c>
      <c r="R50" s="55">
        <v>0</v>
      </c>
      <c r="S50" s="55">
        <v>6.9</v>
      </c>
      <c r="T50" s="57">
        <v>16.920000000000002</v>
      </c>
      <c r="U50" s="56">
        <v>39</v>
      </c>
      <c r="V50" s="54">
        <v>10.199999999999999</v>
      </c>
      <c r="W50" s="55">
        <v>0</v>
      </c>
      <c r="X50" s="55">
        <v>7.5</v>
      </c>
      <c r="Y50" s="57">
        <v>14.8</v>
      </c>
      <c r="Z50" s="53">
        <v>40</v>
      </c>
      <c r="AA50" s="54">
        <v>10.1</v>
      </c>
      <c r="AB50" s="55">
        <v>0</v>
      </c>
      <c r="AC50" s="55">
        <v>7.5</v>
      </c>
      <c r="AD50" s="57">
        <v>14.42</v>
      </c>
      <c r="AE50" s="56">
        <v>38</v>
      </c>
      <c r="AF50" s="54">
        <v>10</v>
      </c>
      <c r="AG50" s="55">
        <v>0</v>
      </c>
      <c r="AH50" s="55">
        <v>6.3</v>
      </c>
      <c r="AI50" s="57">
        <v>11.73</v>
      </c>
      <c r="AJ50" s="56">
        <v>3</v>
      </c>
      <c r="AK50" s="54">
        <v>10</v>
      </c>
      <c r="AL50" s="54">
        <v>0</v>
      </c>
      <c r="AM50" s="54">
        <v>6.8</v>
      </c>
      <c r="AN50" s="57">
        <v>14.61</v>
      </c>
      <c r="AO50" s="53">
        <v>36</v>
      </c>
      <c r="AP50" s="54">
        <v>9.9</v>
      </c>
      <c r="AQ50" s="54">
        <v>240</v>
      </c>
      <c r="AR50" s="54">
        <v>7.4</v>
      </c>
      <c r="AS50" s="57">
        <v>16.149999999999999</v>
      </c>
      <c r="AT50" s="56">
        <v>26</v>
      </c>
      <c r="AU50" s="57">
        <v>190</v>
      </c>
      <c r="AV50" s="56">
        <v>58.793132781982401</v>
      </c>
      <c r="AW50" s="57">
        <v>385.05979944864907</v>
      </c>
      <c r="AX50" s="8"/>
      <c r="AZ50" s="1">
        <v>90</v>
      </c>
    </row>
    <row r="51" spans="3:52" ht="15" customHeight="1" x14ac:dyDescent="0.25">
      <c r="C51" s="42"/>
      <c r="D51" s="69">
        <f>D40</f>
        <v>45691</v>
      </c>
      <c r="E51" s="70">
        <f t="shared" si="4"/>
        <v>3.1666666666666679</v>
      </c>
      <c r="F51" s="71">
        <f t="shared" si="2"/>
        <v>45692.166666666752</v>
      </c>
      <c r="G51" s="60">
        <v>42</v>
      </c>
      <c r="H51" s="61">
        <v>42</v>
      </c>
      <c r="I51" s="62">
        <v>11.2</v>
      </c>
      <c r="J51" s="62">
        <v>300</v>
      </c>
      <c r="K51" s="63">
        <v>8</v>
      </c>
      <c r="L51" s="64">
        <v>40</v>
      </c>
      <c r="M51" s="62">
        <v>10.4</v>
      </c>
      <c r="N51" s="62">
        <v>300</v>
      </c>
      <c r="O51" s="65">
        <v>7.2</v>
      </c>
      <c r="P51" s="61">
        <v>40</v>
      </c>
      <c r="Q51" s="62">
        <v>10.3</v>
      </c>
      <c r="R51" s="63">
        <v>0</v>
      </c>
      <c r="S51" s="63">
        <v>6.5</v>
      </c>
      <c r="T51" s="65">
        <v>17.11</v>
      </c>
      <c r="U51" s="64">
        <v>38</v>
      </c>
      <c r="V51" s="62">
        <v>10.199999999999999</v>
      </c>
      <c r="W51" s="63">
        <v>0</v>
      </c>
      <c r="X51" s="63">
        <v>7.2</v>
      </c>
      <c r="Y51" s="65">
        <v>15.59</v>
      </c>
      <c r="Z51" s="61">
        <v>38</v>
      </c>
      <c r="AA51" s="62">
        <v>10.1</v>
      </c>
      <c r="AB51" s="63">
        <v>0</v>
      </c>
      <c r="AC51" s="63">
        <v>7.1</v>
      </c>
      <c r="AD51" s="65">
        <v>14.42</v>
      </c>
      <c r="AE51" s="64">
        <v>37</v>
      </c>
      <c r="AF51" s="62">
        <v>10.1</v>
      </c>
      <c r="AG51" s="63">
        <v>0</v>
      </c>
      <c r="AH51" s="63">
        <v>6.3</v>
      </c>
      <c r="AI51" s="65">
        <v>11.53</v>
      </c>
      <c r="AJ51" s="64">
        <v>37</v>
      </c>
      <c r="AK51" s="62">
        <v>10.1</v>
      </c>
      <c r="AL51" s="62">
        <v>0</v>
      </c>
      <c r="AM51" s="62">
        <v>6.2</v>
      </c>
      <c r="AN51" s="65">
        <v>14.23</v>
      </c>
      <c r="AO51" s="61">
        <v>36</v>
      </c>
      <c r="AP51" s="62">
        <v>10</v>
      </c>
      <c r="AQ51" s="62">
        <v>210</v>
      </c>
      <c r="AR51" s="62">
        <v>6.4</v>
      </c>
      <c r="AS51" s="65">
        <v>16.149999999999999</v>
      </c>
      <c r="AT51" s="64">
        <v>27</v>
      </c>
      <c r="AU51" s="65">
        <v>170</v>
      </c>
      <c r="AV51" s="64">
        <v>58.882648468017599</v>
      </c>
      <c r="AW51" s="65">
        <v>385.05787022908527</v>
      </c>
      <c r="AX51" s="8"/>
      <c r="AZ51" s="1">
        <v>90</v>
      </c>
    </row>
    <row r="52" spans="3:52" ht="15" customHeight="1" x14ac:dyDescent="0.25">
      <c r="C52" s="42">
        <f>C40+1</f>
        <v>4</v>
      </c>
      <c r="D52" s="66">
        <f>DATE([2]Dash!$F$3,VLOOKUP([2]Dash!$E$3,[2]Abb!$C$3:$D$14,2,FALSE),C52)</f>
        <v>45692</v>
      </c>
      <c r="E52" s="67">
        <f>E51+2/24</f>
        <v>3.2500000000000013</v>
      </c>
      <c r="F52" s="68">
        <f t="shared" si="2"/>
        <v>45692.250000000087</v>
      </c>
      <c r="G52" s="46">
        <v>43</v>
      </c>
      <c r="H52" s="47">
        <v>43</v>
      </c>
      <c r="I52" s="48">
        <v>4.0999999999999996</v>
      </c>
      <c r="J52" s="48">
        <v>350</v>
      </c>
      <c r="K52" s="49">
        <v>7.2</v>
      </c>
      <c r="L52" s="50">
        <v>41</v>
      </c>
      <c r="M52" s="48">
        <v>10.6</v>
      </c>
      <c r="N52" s="48">
        <v>300</v>
      </c>
      <c r="O52" s="51">
        <v>7</v>
      </c>
      <c r="P52" s="47">
        <v>41</v>
      </c>
      <c r="Q52" s="48">
        <v>10.3</v>
      </c>
      <c r="R52" s="49">
        <v>0</v>
      </c>
      <c r="S52" s="49">
        <v>6.9</v>
      </c>
      <c r="T52" s="51">
        <v>17.3</v>
      </c>
      <c r="U52" s="50">
        <v>39</v>
      </c>
      <c r="V52" s="48">
        <v>10.3</v>
      </c>
      <c r="W52" s="49">
        <v>0</v>
      </c>
      <c r="X52" s="49">
        <v>6.9</v>
      </c>
      <c r="Y52" s="51">
        <v>15</v>
      </c>
      <c r="Z52" s="47">
        <v>37</v>
      </c>
      <c r="AA52" s="48">
        <v>10.199999999999999</v>
      </c>
      <c r="AB52" s="49">
        <v>0</v>
      </c>
      <c r="AC52" s="49">
        <v>6</v>
      </c>
      <c r="AD52" s="51">
        <v>14.61</v>
      </c>
      <c r="AE52" s="50">
        <v>38</v>
      </c>
      <c r="AF52" s="48">
        <v>10.199999999999999</v>
      </c>
      <c r="AG52" s="49">
        <v>0</v>
      </c>
      <c r="AH52" s="49">
        <v>6</v>
      </c>
      <c r="AI52" s="51">
        <v>10.57</v>
      </c>
      <c r="AJ52" s="50">
        <v>0</v>
      </c>
      <c r="AK52" s="48">
        <v>10.199999999999999</v>
      </c>
      <c r="AL52" s="48">
        <v>0</v>
      </c>
      <c r="AM52" s="48">
        <v>6.1</v>
      </c>
      <c r="AN52" s="51">
        <v>14.61</v>
      </c>
      <c r="AO52" s="47">
        <v>37</v>
      </c>
      <c r="AP52" s="48">
        <v>10.1</v>
      </c>
      <c r="AQ52" s="48">
        <v>220</v>
      </c>
      <c r="AR52" s="48">
        <v>5.6</v>
      </c>
      <c r="AS52" s="48">
        <v>16.34</v>
      </c>
      <c r="AT52" s="50">
        <v>29</v>
      </c>
      <c r="AU52" s="51">
        <v>170</v>
      </c>
      <c r="AV52" s="50">
        <v>59.220378875732401</v>
      </c>
      <c r="AW52" s="51">
        <v>384.49664802551268</v>
      </c>
      <c r="AX52" s="8"/>
      <c r="AZ52" s="1">
        <v>90</v>
      </c>
    </row>
    <row r="53" spans="3:52" ht="15" customHeight="1" x14ac:dyDescent="0.25">
      <c r="C53" s="42"/>
      <c r="D53" s="43">
        <f>D52</f>
        <v>45692</v>
      </c>
      <c r="E53" s="44">
        <f>E52+2/24</f>
        <v>3.3333333333333348</v>
      </c>
      <c r="F53" s="45">
        <f t="shared" si="2"/>
        <v>45692.333333333423</v>
      </c>
      <c r="G53" s="52">
        <v>29</v>
      </c>
      <c r="H53" s="53">
        <v>39</v>
      </c>
      <c r="I53" s="54">
        <v>10.9</v>
      </c>
      <c r="J53" s="54">
        <v>300</v>
      </c>
      <c r="K53" s="55">
        <v>7.4</v>
      </c>
      <c r="L53" s="56">
        <v>39</v>
      </c>
      <c r="M53" s="54">
        <v>10.4</v>
      </c>
      <c r="N53" s="54">
        <v>200</v>
      </c>
      <c r="O53" s="57">
        <v>7</v>
      </c>
      <c r="P53" s="53">
        <v>38</v>
      </c>
      <c r="Q53" s="54">
        <v>10.4</v>
      </c>
      <c r="R53" s="55">
        <v>0</v>
      </c>
      <c r="S53" s="55">
        <v>6.8</v>
      </c>
      <c r="T53" s="57">
        <v>15.38</v>
      </c>
      <c r="U53" s="56">
        <v>37</v>
      </c>
      <c r="V53" s="54">
        <v>10.3</v>
      </c>
      <c r="W53" s="55">
        <v>0</v>
      </c>
      <c r="X53" s="55">
        <v>6.4</v>
      </c>
      <c r="Y53" s="57">
        <v>13.06</v>
      </c>
      <c r="Z53" s="53">
        <v>36</v>
      </c>
      <c r="AA53" s="54">
        <v>10.199999999999999</v>
      </c>
      <c r="AB53" s="55">
        <v>0</v>
      </c>
      <c r="AC53" s="55">
        <v>6.2</v>
      </c>
      <c r="AD53" s="57">
        <v>12.5</v>
      </c>
      <c r="AE53" s="56">
        <v>36</v>
      </c>
      <c r="AF53" s="54">
        <v>10.199999999999999</v>
      </c>
      <c r="AG53" s="55">
        <v>0</v>
      </c>
      <c r="AH53" s="55">
        <v>6.4</v>
      </c>
      <c r="AI53" s="57">
        <v>14.42</v>
      </c>
      <c r="AJ53" s="56">
        <v>36</v>
      </c>
      <c r="AK53" s="54">
        <v>10.199999999999999</v>
      </c>
      <c r="AL53" s="54">
        <v>0</v>
      </c>
      <c r="AM53" s="54">
        <v>6.1</v>
      </c>
      <c r="AN53" s="57">
        <v>15.38</v>
      </c>
      <c r="AO53" s="53">
        <v>35</v>
      </c>
      <c r="AP53" s="54">
        <v>10.1</v>
      </c>
      <c r="AQ53" s="54">
        <v>16.34</v>
      </c>
      <c r="AR53" s="54">
        <v>5.6</v>
      </c>
      <c r="AS53" s="54">
        <v>200</v>
      </c>
      <c r="AT53" s="56">
        <v>30</v>
      </c>
      <c r="AU53" s="57">
        <v>150</v>
      </c>
      <c r="AV53" s="56">
        <v>59.5947265625</v>
      </c>
      <c r="AW53" s="57">
        <v>383.61798286437988</v>
      </c>
      <c r="AX53" s="8"/>
      <c r="AZ53" s="1">
        <v>90</v>
      </c>
    </row>
    <row r="54" spans="3:52" ht="15" customHeight="1" x14ac:dyDescent="0.25">
      <c r="C54" s="42"/>
      <c r="D54" s="43">
        <f>D52</f>
        <v>45692</v>
      </c>
      <c r="E54" s="44">
        <f t="shared" ref="E54:E63" si="5">E53+2/24</f>
        <v>3.4166666666666683</v>
      </c>
      <c r="F54" s="45">
        <f t="shared" si="2"/>
        <v>45692.416666666759</v>
      </c>
      <c r="G54" s="52">
        <v>36</v>
      </c>
      <c r="H54" s="53">
        <v>38</v>
      </c>
      <c r="I54" s="54">
        <v>11.1</v>
      </c>
      <c r="J54" s="54">
        <v>300</v>
      </c>
      <c r="K54" s="55">
        <v>7.2</v>
      </c>
      <c r="L54" s="56">
        <v>37</v>
      </c>
      <c r="M54" s="54">
        <v>10.6</v>
      </c>
      <c r="N54" s="54">
        <v>250</v>
      </c>
      <c r="O54" s="57">
        <v>7.1</v>
      </c>
      <c r="P54" s="53">
        <v>37</v>
      </c>
      <c r="Q54" s="54">
        <v>10.5</v>
      </c>
      <c r="R54" s="55">
        <v>0</v>
      </c>
      <c r="S54" s="55">
        <v>6.2</v>
      </c>
      <c r="T54" s="57">
        <v>16.34</v>
      </c>
      <c r="U54" s="56">
        <v>37</v>
      </c>
      <c r="V54" s="54">
        <v>10.3</v>
      </c>
      <c r="W54" s="55">
        <v>0</v>
      </c>
      <c r="X54" s="55">
        <v>6.2</v>
      </c>
      <c r="Y54" s="57">
        <v>15</v>
      </c>
      <c r="Z54" s="53">
        <v>36</v>
      </c>
      <c r="AA54" s="54">
        <v>10.3</v>
      </c>
      <c r="AB54" s="55">
        <v>0</v>
      </c>
      <c r="AC54" s="55">
        <v>6.8</v>
      </c>
      <c r="AD54" s="57">
        <v>13.46</v>
      </c>
      <c r="AE54" s="56">
        <v>36</v>
      </c>
      <c r="AF54" s="54">
        <v>10.199999999999999</v>
      </c>
      <c r="AG54" s="55">
        <v>0</v>
      </c>
      <c r="AH54" s="55">
        <v>6</v>
      </c>
      <c r="AI54" s="57">
        <v>13.04</v>
      </c>
      <c r="AJ54" s="56">
        <v>36</v>
      </c>
      <c r="AK54" s="54">
        <v>10.199999999999999</v>
      </c>
      <c r="AL54" s="54">
        <v>0</v>
      </c>
      <c r="AM54" s="54">
        <v>6.1</v>
      </c>
      <c r="AN54" s="57">
        <v>15.76</v>
      </c>
      <c r="AO54" s="53">
        <v>36</v>
      </c>
      <c r="AP54" s="54">
        <v>10.1</v>
      </c>
      <c r="AQ54" s="54">
        <v>15.76</v>
      </c>
      <c r="AR54" s="54">
        <v>5.2</v>
      </c>
      <c r="AS54" s="54">
        <v>200</v>
      </c>
      <c r="AT54" s="56">
        <v>29</v>
      </c>
      <c r="AU54" s="57">
        <v>150</v>
      </c>
      <c r="AV54" s="56">
        <v>59.847003936767599</v>
      </c>
      <c r="AW54" s="57">
        <v>382.50928319295247</v>
      </c>
      <c r="AX54" s="8"/>
      <c r="AZ54" s="1">
        <v>90</v>
      </c>
    </row>
    <row r="55" spans="3:52" ht="15" customHeight="1" x14ac:dyDescent="0.25">
      <c r="C55" s="42"/>
      <c r="D55" s="43">
        <f>D52</f>
        <v>45692</v>
      </c>
      <c r="E55" s="44">
        <f t="shared" si="5"/>
        <v>3.5000000000000018</v>
      </c>
      <c r="F55" s="45">
        <f t="shared" si="2"/>
        <v>45692.500000000095</v>
      </c>
      <c r="G55" s="52">
        <v>40</v>
      </c>
      <c r="H55" s="53">
        <v>41</v>
      </c>
      <c r="I55" s="54">
        <v>10.8</v>
      </c>
      <c r="J55" s="54">
        <v>300</v>
      </c>
      <c r="K55" s="55">
        <v>7.6</v>
      </c>
      <c r="L55" s="56">
        <v>38</v>
      </c>
      <c r="M55" s="54">
        <v>10.4</v>
      </c>
      <c r="N55" s="54">
        <v>250</v>
      </c>
      <c r="O55" s="57">
        <v>6.9</v>
      </c>
      <c r="P55" s="53">
        <v>40</v>
      </c>
      <c r="Q55" s="54">
        <v>10.4</v>
      </c>
      <c r="R55" s="55">
        <v>0</v>
      </c>
      <c r="S55" s="55">
        <v>6.7</v>
      </c>
      <c r="T55" s="57">
        <v>15.76</v>
      </c>
      <c r="U55" s="56">
        <v>38</v>
      </c>
      <c r="V55" s="54">
        <v>10.3</v>
      </c>
      <c r="W55" s="55">
        <v>0</v>
      </c>
      <c r="X55" s="55">
        <v>6.8</v>
      </c>
      <c r="Y55" s="57">
        <v>15.38</v>
      </c>
      <c r="Z55" s="53">
        <v>37</v>
      </c>
      <c r="AA55" s="54">
        <v>10.3</v>
      </c>
      <c r="AB55" s="55">
        <v>0</v>
      </c>
      <c r="AC55" s="55">
        <v>6.1</v>
      </c>
      <c r="AD55" s="57">
        <v>14.42</v>
      </c>
      <c r="AE55" s="56">
        <v>37</v>
      </c>
      <c r="AF55" s="54">
        <v>10.3</v>
      </c>
      <c r="AG55" s="55">
        <v>0</v>
      </c>
      <c r="AH55" s="55">
        <v>6.5</v>
      </c>
      <c r="AI55" s="57">
        <v>14.42</v>
      </c>
      <c r="AJ55" s="56">
        <v>35</v>
      </c>
      <c r="AK55" s="54">
        <v>10.3</v>
      </c>
      <c r="AL55" s="54">
        <v>0</v>
      </c>
      <c r="AM55" s="54">
        <v>6.7</v>
      </c>
      <c r="AN55" s="57">
        <v>15.38</v>
      </c>
      <c r="AO55" s="53">
        <v>37</v>
      </c>
      <c r="AP55" s="54">
        <v>10.1</v>
      </c>
      <c r="AQ55" s="54">
        <v>15.38</v>
      </c>
      <c r="AR55" s="54">
        <v>5</v>
      </c>
      <c r="AS55" s="54">
        <v>200</v>
      </c>
      <c r="AT55" s="56">
        <v>29</v>
      </c>
      <c r="AU55" s="57">
        <v>160</v>
      </c>
      <c r="AV55" s="56">
        <v>59.676105499267599</v>
      </c>
      <c r="AW55" s="57">
        <v>380.95522295633953</v>
      </c>
      <c r="AX55" s="8"/>
      <c r="AZ55" s="1">
        <v>90</v>
      </c>
    </row>
    <row r="56" spans="3:52" ht="15" customHeight="1" x14ac:dyDescent="0.25">
      <c r="C56" s="42"/>
      <c r="D56" s="43">
        <f>D52</f>
        <v>45692</v>
      </c>
      <c r="E56" s="44">
        <f t="shared" si="5"/>
        <v>3.5833333333333353</v>
      </c>
      <c r="F56" s="45">
        <f t="shared" si="2"/>
        <v>45692.58333333343</v>
      </c>
      <c r="G56" s="52">
        <v>37</v>
      </c>
      <c r="H56" s="53">
        <v>39</v>
      </c>
      <c r="I56" s="54">
        <v>10.3</v>
      </c>
      <c r="J56" s="54">
        <v>300</v>
      </c>
      <c r="K56" s="55">
        <v>7.2</v>
      </c>
      <c r="L56" s="56">
        <v>38</v>
      </c>
      <c r="M56" s="54">
        <v>10.4</v>
      </c>
      <c r="N56" s="54">
        <v>300</v>
      </c>
      <c r="O56" s="57">
        <v>6.4</v>
      </c>
      <c r="P56" s="53">
        <v>39</v>
      </c>
      <c r="Q56" s="54">
        <v>10.4</v>
      </c>
      <c r="R56" s="55">
        <v>0</v>
      </c>
      <c r="S56" s="55">
        <v>6.8</v>
      </c>
      <c r="T56" s="57">
        <v>19.96</v>
      </c>
      <c r="U56" s="56">
        <v>38</v>
      </c>
      <c r="V56" s="54">
        <v>10.3</v>
      </c>
      <c r="W56" s="55">
        <v>0</v>
      </c>
      <c r="X56" s="55">
        <v>6.2</v>
      </c>
      <c r="Y56" s="57">
        <v>14.03</v>
      </c>
      <c r="Z56" s="53">
        <v>37</v>
      </c>
      <c r="AA56" s="54">
        <v>10.199999999999999</v>
      </c>
      <c r="AB56" s="55">
        <v>0</v>
      </c>
      <c r="AC56" s="55">
        <v>6.8</v>
      </c>
      <c r="AD56" s="57">
        <v>12.5</v>
      </c>
      <c r="AE56" s="56">
        <v>36</v>
      </c>
      <c r="AF56" s="54">
        <v>10.199999999999999</v>
      </c>
      <c r="AG56" s="55">
        <v>0</v>
      </c>
      <c r="AH56" s="55">
        <v>6.7</v>
      </c>
      <c r="AI56" s="57">
        <v>13.46</v>
      </c>
      <c r="AJ56" s="56">
        <v>36</v>
      </c>
      <c r="AK56" s="54">
        <v>10.199999999999999</v>
      </c>
      <c r="AL56" s="54">
        <v>0</v>
      </c>
      <c r="AM56" s="54">
        <v>6.4</v>
      </c>
      <c r="AN56" s="57">
        <v>15.84</v>
      </c>
      <c r="AO56" s="53">
        <v>36</v>
      </c>
      <c r="AP56" s="54">
        <v>10.1</v>
      </c>
      <c r="AQ56" s="54">
        <v>14.42</v>
      </c>
      <c r="AR56" s="54">
        <v>5.6</v>
      </c>
      <c r="AS56" s="54">
        <v>200</v>
      </c>
      <c r="AT56" s="56">
        <v>28</v>
      </c>
      <c r="AU56" s="57">
        <v>160</v>
      </c>
      <c r="AV56" s="56">
        <v>59.4482421875</v>
      </c>
      <c r="AW56" s="57">
        <v>380.77666803995766</v>
      </c>
      <c r="AX56" s="8"/>
      <c r="AZ56" s="1">
        <v>90</v>
      </c>
    </row>
    <row r="57" spans="3:52" ht="15" customHeight="1" x14ac:dyDescent="0.25">
      <c r="C57" s="42"/>
      <c r="D57" s="43">
        <f>D52</f>
        <v>45692</v>
      </c>
      <c r="E57" s="44">
        <f t="shared" si="5"/>
        <v>3.6666666666666687</v>
      </c>
      <c r="F57" s="45">
        <f t="shared" si="2"/>
        <v>45692.666666666766</v>
      </c>
      <c r="G57" s="52">
        <v>37</v>
      </c>
      <c r="H57" s="53">
        <v>39</v>
      </c>
      <c r="I57" s="54">
        <v>10.3</v>
      </c>
      <c r="J57" s="54">
        <v>300</v>
      </c>
      <c r="K57" s="55">
        <v>7.1</v>
      </c>
      <c r="L57" s="56">
        <v>40</v>
      </c>
      <c r="M57" s="54">
        <v>10.4</v>
      </c>
      <c r="N57" s="54">
        <v>300</v>
      </c>
      <c r="O57" s="57">
        <v>6</v>
      </c>
      <c r="P57" s="53">
        <v>37</v>
      </c>
      <c r="Q57" s="54">
        <v>10.5</v>
      </c>
      <c r="R57" s="55">
        <v>0</v>
      </c>
      <c r="S57" s="55">
        <v>6.3</v>
      </c>
      <c r="T57" s="57">
        <v>17.3</v>
      </c>
      <c r="U57" s="56">
        <v>39</v>
      </c>
      <c r="V57" s="54">
        <v>10.4</v>
      </c>
      <c r="W57" s="55">
        <v>0</v>
      </c>
      <c r="X57" s="55">
        <v>6.5</v>
      </c>
      <c r="Y57" s="57">
        <v>15.38</v>
      </c>
      <c r="Z57" s="53">
        <v>39</v>
      </c>
      <c r="AA57" s="54">
        <v>10.199999999999999</v>
      </c>
      <c r="AB57" s="55">
        <v>0</v>
      </c>
      <c r="AC57" s="55">
        <v>6.1</v>
      </c>
      <c r="AD57" s="57">
        <v>12.5</v>
      </c>
      <c r="AE57" s="56">
        <v>35</v>
      </c>
      <c r="AF57" s="54">
        <v>10.199999999999999</v>
      </c>
      <c r="AG57" s="55">
        <v>0</v>
      </c>
      <c r="AH57" s="55">
        <v>6.2</v>
      </c>
      <c r="AI57" s="57">
        <v>13.84</v>
      </c>
      <c r="AJ57" s="56">
        <v>37</v>
      </c>
      <c r="AK57" s="54">
        <v>10.199999999999999</v>
      </c>
      <c r="AL57" s="54">
        <v>0</v>
      </c>
      <c r="AM57" s="54">
        <v>6.1</v>
      </c>
      <c r="AN57" s="57">
        <v>14.23</v>
      </c>
      <c r="AO57" s="53">
        <v>36</v>
      </c>
      <c r="AP57" s="54">
        <v>10.1</v>
      </c>
      <c r="AQ57" s="54">
        <v>13.84</v>
      </c>
      <c r="AR57" s="54">
        <v>5.4</v>
      </c>
      <c r="AS57" s="54">
        <v>200</v>
      </c>
      <c r="AT57" s="56">
        <v>29</v>
      </c>
      <c r="AU57" s="57">
        <v>160</v>
      </c>
      <c r="AV57" s="56">
        <v>59.244792938232401</v>
      </c>
      <c r="AW57" s="57">
        <v>380.35807266235349</v>
      </c>
      <c r="AX57" s="8"/>
      <c r="AZ57" s="1">
        <v>90</v>
      </c>
    </row>
    <row r="58" spans="3:52" ht="15" customHeight="1" x14ac:dyDescent="0.25">
      <c r="C58" s="42"/>
      <c r="D58" s="43">
        <f>D52</f>
        <v>45692</v>
      </c>
      <c r="E58" s="44">
        <f t="shared" si="5"/>
        <v>3.7500000000000022</v>
      </c>
      <c r="F58" s="45">
        <f t="shared" si="2"/>
        <v>45692.750000000102</v>
      </c>
      <c r="G58" s="52">
        <v>0</v>
      </c>
      <c r="H58" s="53">
        <v>0</v>
      </c>
      <c r="I58" s="54">
        <v>0</v>
      </c>
      <c r="J58" s="54">
        <v>0</v>
      </c>
      <c r="K58" s="55">
        <v>0</v>
      </c>
      <c r="L58" s="56">
        <v>0</v>
      </c>
      <c r="M58" s="54">
        <v>0</v>
      </c>
      <c r="N58" s="54">
        <v>0</v>
      </c>
      <c r="O58" s="57">
        <v>0</v>
      </c>
      <c r="P58" s="53">
        <v>0</v>
      </c>
      <c r="Q58" s="54">
        <v>0</v>
      </c>
      <c r="R58" s="55">
        <v>0</v>
      </c>
      <c r="S58" s="55">
        <v>0</v>
      </c>
      <c r="T58" s="57">
        <v>0</v>
      </c>
      <c r="U58" s="56">
        <v>0</v>
      </c>
      <c r="V58" s="54">
        <v>0</v>
      </c>
      <c r="W58" s="55">
        <v>0</v>
      </c>
      <c r="X58" s="55">
        <v>0</v>
      </c>
      <c r="Y58" s="57">
        <v>0</v>
      </c>
      <c r="Z58" s="53">
        <v>0</v>
      </c>
      <c r="AA58" s="54">
        <v>0</v>
      </c>
      <c r="AB58" s="55">
        <v>0</v>
      </c>
      <c r="AC58" s="55">
        <v>0</v>
      </c>
      <c r="AD58" s="57">
        <v>0</v>
      </c>
      <c r="AE58" s="56">
        <v>0</v>
      </c>
      <c r="AF58" s="54">
        <v>0</v>
      </c>
      <c r="AG58" s="55">
        <v>0</v>
      </c>
      <c r="AH58" s="55">
        <v>0</v>
      </c>
      <c r="AI58" s="57">
        <v>0</v>
      </c>
      <c r="AJ58" s="56">
        <v>0</v>
      </c>
      <c r="AK58" s="54">
        <v>0</v>
      </c>
      <c r="AL58" s="54">
        <v>0</v>
      </c>
      <c r="AM58" s="54">
        <v>0</v>
      </c>
      <c r="AN58" s="57">
        <v>0</v>
      </c>
      <c r="AO58" s="53">
        <v>0</v>
      </c>
      <c r="AP58" s="54">
        <v>0</v>
      </c>
      <c r="AQ58" s="54">
        <v>0</v>
      </c>
      <c r="AR58" s="54">
        <v>0</v>
      </c>
      <c r="AS58" s="54">
        <v>0</v>
      </c>
      <c r="AT58" s="56">
        <v>0</v>
      </c>
      <c r="AU58" s="57">
        <v>0</v>
      </c>
      <c r="AV58" s="56">
        <v>66.634109497070298</v>
      </c>
      <c r="AW58" s="57">
        <v>265.6118582248688</v>
      </c>
      <c r="AX58" s="8"/>
      <c r="AZ58" s="1">
        <v>90</v>
      </c>
    </row>
    <row r="59" spans="3:52" ht="15" customHeight="1" x14ac:dyDescent="0.25">
      <c r="C59" s="42"/>
      <c r="D59" s="43">
        <f>D52</f>
        <v>45692</v>
      </c>
      <c r="E59" s="44">
        <f t="shared" si="5"/>
        <v>3.8333333333333357</v>
      </c>
      <c r="F59" s="45">
        <f t="shared" si="2"/>
        <v>45692.833333333438</v>
      </c>
      <c r="G59" s="52">
        <v>40</v>
      </c>
      <c r="H59" s="53">
        <v>41</v>
      </c>
      <c r="I59" s="54">
        <v>10.6</v>
      </c>
      <c r="J59" s="54">
        <v>300</v>
      </c>
      <c r="K59" s="55">
        <v>6.1</v>
      </c>
      <c r="L59" s="56">
        <v>42</v>
      </c>
      <c r="M59" s="54">
        <v>10.4</v>
      </c>
      <c r="N59" s="54">
        <v>250</v>
      </c>
      <c r="O59" s="57">
        <v>6.6</v>
      </c>
      <c r="P59" s="53">
        <v>42</v>
      </c>
      <c r="Q59" s="54">
        <v>10</v>
      </c>
      <c r="R59" s="55">
        <v>0</v>
      </c>
      <c r="S59" s="55">
        <v>6.4</v>
      </c>
      <c r="T59" s="57">
        <v>15.3</v>
      </c>
      <c r="U59" s="56">
        <v>39</v>
      </c>
      <c r="V59" s="54">
        <v>10.4</v>
      </c>
      <c r="W59" s="55">
        <v>0</v>
      </c>
      <c r="X59" s="55">
        <v>6.3</v>
      </c>
      <c r="Y59" s="57">
        <v>14.6</v>
      </c>
      <c r="Z59" s="53">
        <v>42</v>
      </c>
      <c r="AA59" s="54">
        <v>10.4</v>
      </c>
      <c r="AB59" s="55">
        <v>0</v>
      </c>
      <c r="AC59" s="55">
        <v>5.9</v>
      </c>
      <c r="AD59" s="57">
        <v>14.42</v>
      </c>
      <c r="AE59" s="56">
        <v>40</v>
      </c>
      <c r="AF59" s="54">
        <v>10.3</v>
      </c>
      <c r="AG59" s="55">
        <v>0</v>
      </c>
      <c r="AH59" s="55">
        <v>5.6</v>
      </c>
      <c r="AI59" s="57">
        <v>11.7</v>
      </c>
      <c r="AJ59" s="56">
        <v>39</v>
      </c>
      <c r="AK59" s="54">
        <v>10.199999999999999</v>
      </c>
      <c r="AL59" s="54">
        <v>0</v>
      </c>
      <c r="AM59" s="54">
        <v>5.5</v>
      </c>
      <c r="AN59" s="57">
        <v>14.42</v>
      </c>
      <c r="AO59" s="53">
        <v>35</v>
      </c>
      <c r="AP59" s="54">
        <v>10.1</v>
      </c>
      <c r="AQ59" s="54">
        <v>230</v>
      </c>
      <c r="AR59" s="54">
        <v>5.3</v>
      </c>
      <c r="AS59" s="54">
        <v>14.8</v>
      </c>
      <c r="AT59" s="56">
        <v>28</v>
      </c>
      <c r="AU59" s="57">
        <v>180</v>
      </c>
      <c r="AV59" s="56">
        <v>71.49658203125</v>
      </c>
      <c r="AW59" s="57">
        <v>2.947410281499228</v>
      </c>
      <c r="AX59" s="8"/>
      <c r="AZ59" s="1">
        <v>90</v>
      </c>
    </row>
    <row r="60" spans="3:52" ht="15" customHeight="1" x14ac:dyDescent="0.25">
      <c r="C60" s="42"/>
      <c r="D60" s="43">
        <f>D52</f>
        <v>45692</v>
      </c>
      <c r="E60" s="44">
        <f t="shared" si="5"/>
        <v>3.9166666666666692</v>
      </c>
      <c r="F60" s="45">
        <f t="shared" si="2"/>
        <v>45692.916666666773</v>
      </c>
      <c r="G60" s="52">
        <v>42</v>
      </c>
      <c r="H60" s="53">
        <v>40</v>
      </c>
      <c r="I60" s="54">
        <v>10.5</v>
      </c>
      <c r="J60" s="54">
        <v>250</v>
      </c>
      <c r="K60" s="55">
        <v>6.2</v>
      </c>
      <c r="L60" s="56">
        <v>38</v>
      </c>
      <c r="M60" s="54">
        <v>10.4</v>
      </c>
      <c r="N60" s="54">
        <v>300</v>
      </c>
      <c r="O60" s="57">
        <v>6.9</v>
      </c>
      <c r="P60" s="53">
        <v>41</v>
      </c>
      <c r="Q60" s="54">
        <v>10</v>
      </c>
      <c r="R60" s="55">
        <v>0</v>
      </c>
      <c r="S60" s="55">
        <v>5.7</v>
      </c>
      <c r="T60" s="57">
        <v>16.34</v>
      </c>
      <c r="U60" s="56">
        <v>40</v>
      </c>
      <c r="V60" s="54">
        <v>10.4</v>
      </c>
      <c r="W60" s="55">
        <v>0</v>
      </c>
      <c r="X60" s="55">
        <v>6.3</v>
      </c>
      <c r="Y60" s="57">
        <v>14.23</v>
      </c>
      <c r="Z60" s="53">
        <v>41</v>
      </c>
      <c r="AA60" s="54">
        <v>10.4</v>
      </c>
      <c r="AB60" s="55">
        <v>0</v>
      </c>
      <c r="AC60" s="55">
        <v>5.7</v>
      </c>
      <c r="AD60" s="57">
        <v>14.42</v>
      </c>
      <c r="AE60" s="56">
        <v>40</v>
      </c>
      <c r="AF60" s="54">
        <v>10.3</v>
      </c>
      <c r="AG60" s="55">
        <v>0</v>
      </c>
      <c r="AH60" s="55">
        <v>5.5</v>
      </c>
      <c r="AI60" s="57">
        <v>11.53</v>
      </c>
      <c r="AJ60" s="56">
        <v>39</v>
      </c>
      <c r="AK60" s="54">
        <v>10.199999999999999</v>
      </c>
      <c r="AL60" s="54">
        <v>0</v>
      </c>
      <c r="AM60" s="54">
        <v>5.3</v>
      </c>
      <c r="AN60" s="57">
        <v>14.61</v>
      </c>
      <c r="AO60" s="53">
        <v>37</v>
      </c>
      <c r="AP60" s="54">
        <v>10.199999999999999</v>
      </c>
      <c r="AQ60" s="54">
        <v>240</v>
      </c>
      <c r="AR60" s="54">
        <v>5.6</v>
      </c>
      <c r="AS60" s="54">
        <v>14.8</v>
      </c>
      <c r="AT60" s="56">
        <v>30</v>
      </c>
      <c r="AU60" s="57">
        <v>180</v>
      </c>
      <c r="AV60" s="56">
        <v>73.13232421875</v>
      </c>
      <c r="AW60" s="57">
        <v>0</v>
      </c>
      <c r="AX60" s="8"/>
      <c r="AZ60" s="1">
        <v>90</v>
      </c>
    </row>
    <row r="61" spans="3:52" ht="15" customHeight="1" x14ac:dyDescent="0.25">
      <c r="C61" s="42"/>
      <c r="D61" s="43">
        <f>D52</f>
        <v>45692</v>
      </c>
      <c r="E61" s="44">
        <f t="shared" si="5"/>
        <v>4.0000000000000027</v>
      </c>
      <c r="F61" s="45">
        <f t="shared" si="2"/>
        <v>45693.000000000109</v>
      </c>
      <c r="G61" s="52">
        <v>38</v>
      </c>
      <c r="H61" s="53">
        <v>38</v>
      </c>
      <c r="I61" s="54">
        <v>10.4</v>
      </c>
      <c r="J61" s="54">
        <v>250</v>
      </c>
      <c r="K61" s="55">
        <v>6.4</v>
      </c>
      <c r="L61" s="56">
        <v>38</v>
      </c>
      <c r="M61" s="54">
        <v>10.199999999999999</v>
      </c>
      <c r="N61" s="54">
        <v>300</v>
      </c>
      <c r="O61" s="57">
        <v>6.9</v>
      </c>
      <c r="P61" s="53">
        <v>40</v>
      </c>
      <c r="Q61" s="54">
        <v>10.9</v>
      </c>
      <c r="R61" s="55">
        <v>0</v>
      </c>
      <c r="S61" s="55">
        <v>6.5</v>
      </c>
      <c r="T61" s="57">
        <v>15.38</v>
      </c>
      <c r="U61" s="56">
        <v>39</v>
      </c>
      <c r="V61" s="54">
        <v>10.4</v>
      </c>
      <c r="W61" s="55">
        <v>0</v>
      </c>
      <c r="X61" s="55">
        <v>6.1</v>
      </c>
      <c r="Y61" s="57">
        <v>14.23</v>
      </c>
      <c r="Z61" s="53">
        <v>40</v>
      </c>
      <c r="AA61" s="54">
        <v>10.4</v>
      </c>
      <c r="AB61" s="55">
        <v>0</v>
      </c>
      <c r="AC61" s="55">
        <v>5.7</v>
      </c>
      <c r="AD61" s="57">
        <v>14.42</v>
      </c>
      <c r="AE61" s="56">
        <v>38</v>
      </c>
      <c r="AF61" s="54">
        <v>10.3</v>
      </c>
      <c r="AG61" s="55">
        <v>0</v>
      </c>
      <c r="AH61" s="55">
        <v>5.2</v>
      </c>
      <c r="AI61" s="57">
        <v>11.53</v>
      </c>
      <c r="AJ61" s="56">
        <v>38</v>
      </c>
      <c r="AK61" s="54">
        <v>10.199999999999999</v>
      </c>
      <c r="AL61" s="54">
        <v>0</v>
      </c>
      <c r="AM61" s="54">
        <v>5.3</v>
      </c>
      <c r="AN61" s="57">
        <v>14.42</v>
      </c>
      <c r="AO61" s="53">
        <v>38</v>
      </c>
      <c r="AP61" s="54">
        <v>10.1</v>
      </c>
      <c r="AQ61" s="54">
        <v>220</v>
      </c>
      <c r="AR61" s="54">
        <v>5.5</v>
      </c>
      <c r="AS61" s="54">
        <v>14.42</v>
      </c>
      <c r="AT61" s="56">
        <v>30</v>
      </c>
      <c r="AU61" s="57">
        <v>160</v>
      </c>
      <c r="AV61" s="56">
        <v>76.9775390625</v>
      </c>
      <c r="AW61" s="57">
        <v>2.8112943331400575</v>
      </c>
      <c r="AX61" s="8"/>
      <c r="AZ61" s="1">
        <v>90</v>
      </c>
    </row>
    <row r="62" spans="3:52" ht="15" customHeight="1" x14ac:dyDescent="0.25">
      <c r="C62" s="42"/>
      <c r="D62" s="43">
        <f>D52</f>
        <v>45692</v>
      </c>
      <c r="E62" s="44">
        <f t="shared" si="5"/>
        <v>4.0833333333333357</v>
      </c>
      <c r="F62" s="45">
        <f t="shared" si="2"/>
        <v>45693.083333333445</v>
      </c>
      <c r="G62" s="52">
        <v>40</v>
      </c>
      <c r="H62" s="53">
        <v>38</v>
      </c>
      <c r="I62" s="54">
        <v>10.1</v>
      </c>
      <c r="J62" s="54">
        <v>250</v>
      </c>
      <c r="K62" s="55">
        <v>6.3</v>
      </c>
      <c r="L62" s="56">
        <v>40</v>
      </c>
      <c r="M62" s="54">
        <v>10.4</v>
      </c>
      <c r="N62" s="54">
        <v>250</v>
      </c>
      <c r="O62" s="57">
        <v>6.4</v>
      </c>
      <c r="P62" s="53">
        <v>40</v>
      </c>
      <c r="Q62" s="54">
        <v>10.4</v>
      </c>
      <c r="R62" s="55">
        <v>0</v>
      </c>
      <c r="S62" s="55">
        <v>0</v>
      </c>
      <c r="T62" s="57">
        <v>16.34</v>
      </c>
      <c r="U62" s="56">
        <v>39</v>
      </c>
      <c r="V62" s="54">
        <v>10.4</v>
      </c>
      <c r="W62" s="55">
        <v>0</v>
      </c>
      <c r="X62" s="55">
        <v>6.5</v>
      </c>
      <c r="Y62" s="57">
        <v>15</v>
      </c>
      <c r="Z62" s="53">
        <v>40</v>
      </c>
      <c r="AA62" s="54">
        <v>10.4</v>
      </c>
      <c r="AB62" s="55">
        <v>0</v>
      </c>
      <c r="AC62" s="55">
        <v>6.3</v>
      </c>
      <c r="AD62" s="57">
        <v>14.42</v>
      </c>
      <c r="AE62" s="56">
        <v>39</v>
      </c>
      <c r="AF62" s="54">
        <v>10.4</v>
      </c>
      <c r="AG62" s="55">
        <v>0</v>
      </c>
      <c r="AH62" s="55">
        <v>5.8</v>
      </c>
      <c r="AI62" s="57">
        <v>11.7</v>
      </c>
      <c r="AJ62" s="56">
        <v>38</v>
      </c>
      <c r="AK62" s="54">
        <v>10.3</v>
      </c>
      <c r="AL62" s="54">
        <v>0</v>
      </c>
      <c r="AM62" s="54">
        <v>6.1</v>
      </c>
      <c r="AN62" s="57">
        <v>13.44</v>
      </c>
      <c r="AO62" s="53">
        <v>38</v>
      </c>
      <c r="AP62" s="54">
        <v>10.3</v>
      </c>
      <c r="AQ62" s="54">
        <v>230</v>
      </c>
      <c r="AR62" s="54">
        <v>5.8</v>
      </c>
      <c r="AS62" s="54">
        <v>14.8</v>
      </c>
      <c r="AT62" s="56">
        <v>32</v>
      </c>
      <c r="AU62" s="57">
        <v>170</v>
      </c>
      <c r="AV62" s="56">
        <v>80.973304748535199</v>
      </c>
      <c r="AW62" s="57">
        <v>3.5771122296651199</v>
      </c>
      <c r="AX62" s="8"/>
      <c r="AZ62" s="1">
        <v>90</v>
      </c>
    </row>
    <row r="63" spans="3:52" ht="15" customHeight="1" x14ac:dyDescent="0.25">
      <c r="C63" s="42"/>
      <c r="D63" s="69">
        <f>D52</f>
        <v>45692</v>
      </c>
      <c r="E63" s="70">
        <f t="shared" si="5"/>
        <v>4.1666666666666687</v>
      </c>
      <c r="F63" s="71">
        <f t="shared" si="2"/>
        <v>45693.166666666781</v>
      </c>
      <c r="G63" s="60">
        <v>38</v>
      </c>
      <c r="H63" s="61">
        <v>40</v>
      </c>
      <c r="I63" s="62">
        <v>10.3</v>
      </c>
      <c r="J63" s="62">
        <v>250</v>
      </c>
      <c r="K63" s="63">
        <v>6.4</v>
      </c>
      <c r="L63" s="64">
        <v>40</v>
      </c>
      <c r="M63" s="62">
        <v>10.3</v>
      </c>
      <c r="N63" s="62">
        <v>250</v>
      </c>
      <c r="O63" s="65">
        <v>6.8</v>
      </c>
      <c r="P63" s="61">
        <v>40</v>
      </c>
      <c r="Q63" s="62">
        <v>10.4</v>
      </c>
      <c r="R63" s="63">
        <v>0</v>
      </c>
      <c r="S63" s="63">
        <v>0</v>
      </c>
      <c r="T63" s="65">
        <v>16.34</v>
      </c>
      <c r="U63" s="64">
        <v>38</v>
      </c>
      <c r="V63" s="62">
        <v>10.4</v>
      </c>
      <c r="W63" s="63">
        <v>0</v>
      </c>
      <c r="X63" s="63">
        <v>6.4</v>
      </c>
      <c r="Y63" s="65">
        <v>15.38</v>
      </c>
      <c r="Z63" s="61">
        <v>40</v>
      </c>
      <c r="AA63" s="62">
        <v>10.4</v>
      </c>
      <c r="AB63" s="63">
        <v>0</v>
      </c>
      <c r="AC63" s="63">
        <v>6.5</v>
      </c>
      <c r="AD63" s="65">
        <v>14.42</v>
      </c>
      <c r="AE63" s="64">
        <v>38</v>
      </c>
      <c r="AF63" s="62">
        <v>10.3</v>
      </c>
      <c r="AG63" s="63">
        <v>0</v>
      </c>
      <c r="AH63" s="63">
        <v>6.5</v>
      </c>
      <c r="AI63" s="65">
        <v>11.15</v>
      </c>
      <c r="AJ63" s="64">
        <v>40</v>
      </c>
      <c r="AK63" s="62">
        <v>10.199999999999999</v>
      </c>
      <c r="AL63" s="62">
        <v>0</v>
      </c>
      <c r="AM63" s="62">
        <v>5.9</v>
      </c>
      <c r="AN63" s="65">
        <v>13.44</v>
      </c>
      <c r="AO63" s="61">
        <v>38</v>
      </c>
      <c r="AP63" s="62">
        <v>10.199999999999999</v>
      </c>
      <c r="AQ63" s="62">
        <v>250</v>
      </c>
      <c r="AR63" s="62">
        <v>0</v>
      </c>
      <c r="AS63" s="62">
        <v>14.42</v>
      </c>
      <c r="AT63" s="64">
        <v>31</v>
      </c>
      <c r="AU63" s="65">
        <v>190</v>
      </c>
      <c r="AV63" s="64">
        <v>82.181800842285199</v>
      </c>
      <c r="AW63" s="65">
        <v>0</v>
      </c>
      <c r="AX63" s="8"/>
      <c r="AZ63" s="1">
        <v>90</v>
      </c>
    </row>
    <row r="64" spans="3:52" ht="15" customHeight="1" x14ac:dyDescent="0.25">
      <c r="C64" s="42">
        <f>C52+1</f>
        <v>5</v>
      </c>
      <c r="D64" s="66">
        <f>DATE([2]Dash!$F$3,VLOOKUP([2]Dash!$E$3,[2]Abb!$C$3:$D$14,2,FALSE),C64)</f>
        <v>45693</v>
      </c>
      <c r="E64" s="67">
        <f>E63+2/24</f>
        <v>4.2500000000000018</v>
      </c>
      <c r="F64" s="68">
        <f t="shared" si="2"/>
        <v>45693.250000000116</v>
      </c>
      <c r="G64" s="46">
        <v>36</v>
      </c>
      <c r="H64" s="47">
        <v>40</v>
      </c>
      <c r="I64" s="48">
        <v>10</v>
      </c>
      <c r="J64" s="48">
        <v>250</v>
      </c>
      <c r="K64" s="49">
        <v>7.2</v>
      </c>
      <c r="L64" s="50">
        <v>40</v>
      </c>
      <c r="M64" s="48">
        <v>10.4</v>
      </c>
      <c r="N64" s="48">
        <v>250</v>
      </c>
      <c r="O64" s="51">
        <v>7.1</v>
      </c>
      <c r="P64" s="47">
        <v>10.4</v>
      </c>
      <c r="Q64" s="48">
        <v>7.2</v>
      </c>
      <c r="R64" s="49">
        <v>0</v>
      </c>
      <c r="S64" s="49">
        <v>7.2</v>
      </c>
      <c r="T64" s="51">
        <v>16.3</v>
      </c>
      <c r="U64" s="50">
        <v>38</v>
      </c>
      <c r="V64" s="48">
        <v>10.4</v>
      </c>
      <c r="W64" s="49">
        <v>0</v>
      </c>
      <c r="X64" s="49">
        <v>6.4</v>
      </c>
      <c r="Y64" s="51">
        <v>10.3</v>
      </c>
      <c r="Z64" s="47">
        <v>40</v>
      </c>
      <c r="AA64" s="48">
        <v>10.4</v>
      </c>
      <c r="AB64" s="49">
        <v>0</v>
      </c>
      <c r="AC64" s="49">
        <v>6.3</v>
      </c>
      <c r="AD64" s="51">
        <v>14.4</v>
      </c>
      <c r="AE64" s="50">
        <v>38</v>
      </c>
      <c r="AF64" s="48">
        <v>10.3</v>
      </c>
      <c r="AG64" s="49">
        <v>0</v>
      </c>
      <c r="AH64" s="49">
        <v>7.1</v>
      </c>
      <c r="AI64" s="51">
        <v>11.7</v>
      </c>
      <c r="AJ64" s="50">
        <v>39</v>
      </c>
      <c r="AK64" s="48">
        <v>10.199999999999999</v>
      </c>
      <c r="AL64" s="48">
        <v>0</v>
      </c>
      <c r="AM64" s="48">
        <v>6.11</v>
      </c>
      <c r="AN64" s="51">
        <v>13.4</v>
      </c>
      <c r="AO64" s="47">
        <v>38</v>
      </c>
      <c r="AP64" s="48">
        <v>10.199999999999999</v>
      </c>
      <c r="AQ64" s="48">
        <v>240</v>
      </c>
      <c r="AR64" s="48">
        <v>6.9</v>
      </c>
      <c r="AS64" s="48">
        <v>14.8</v>
      </c>
      <c r="AT64" s="50">
        <v>30</v>
      </c>
      <c r="AU64" s="51">
        <v>180</v>
      </c>
      <c r="AV64" s="50">
        <v>84.354652404785199</v>
      </c>
      <c r="AW64" s="51">
        <v>1.5794993877410894</v>
      </c>
      <c r="AX64" s="8"/>
      <c r="AZ64" s="1">
        <v>90</v>
      </c>
    </row>
    <row r="65" spans="3:52" ht="15" customHeight="1" x14ac:dyDescent="0.25">
      <c r="C65" s="42"/>
      <c r="D65" s="43">
        <f>D64</f>
        <v>45693</v>
      </c>
      <c r="E65" s="44">
        <f>E64+2/24</f>
        <v>4.3333333333333348</v>
      </c>
      <c r="F65" s="45">
        <f t="shared" si="2"/>
        <v>45693.333333333452</v>
      </c>
      <c r="G65" s="52">
        <v>34</v>
      </c>
      <c r="H65" s="53">
        <v>41</v>
      </c>
      <c r="I65" s="54">
        <v>10.7</v>
      </c>
      <c r="J65" s="54">
        <v>300</v>
      </c>
      <c r="K65" s="55">
        <v>5.7</v>
      </c>
      <c r="L65" s="56">
        <v>41</v>
      </c>
      <c r="M65" s="54">
        <v>10.4</v>
      </c>
      <c r="N65" s="54">
        <v>250</v>
      </c>
      <c r="O65" s="57">
        <v>5.8</v>
      </c>
      <c r="P65" s="53">
        <v>41</v>
      </c>
      <c r="Q65" s="54">
        <v>10.5</v>
      </c>
      <c r="R65" s="55">
        <v>0</v>
      </c>
      <c r="S65" s="55">
        <v>5.8</v>
      </c>
      <c r="T65" s="57">
        <v>14.42</v>
      </c>
      <c r="U65" s="56">
        <v>42</v>
      </c>
      <c r="V65" s="54">
        <v>10.4</v>
      </c>
      <c r="W65" s="55">
        <v>0</v>
      </c>
      <c r="X65" s="55">
        <v>5.6</v>
      </c>
      <c r="Y65" s="57">
        <v>15.38</v>
      </c>
      <c r="Z65" s="53">
        <v>42</v>
      </c>
      <c r="AA65" s="54">
        <v>10.5</v>
      </c>
      <c r="AB65" s="55">
        <v>0</v>
      </c>
      <c r="AC65" s="55">
        <v>5.4</v>
      </c>
      <c r="AD65" s="57">
        <v>14.42</v>
      </c>
      <c r="AE65" s="56">
        <v>41</v>
      </c>
      <c r="AF65" s="54">
        <v>10.1</v>
      </c>
      <c r="AG65" s="55">
        <v>0</v>
      </c>
      <c r="AH65" s="55">
        <v>5.2</v>
      </c>
      <c r="AI65" s="57">
        <v>12.5</v>
      </c>
      <c r="AJ65" s="56">
        <v>36</v>
      </c>
      <c r="AK65" s="54">
        <v>10.4</v>
      </c>
      <c r="AL65" s="54">
        <v>0</v>
      </c>
      <c r="AM65" s="54">
        <v>4.9000000000000004</v>
      </c>
      <c r="AN65" s="57">
        <v>14.42</v>
      </c>
      <c r="AO65" s="53">
        <v>40</v>
      </c>
      <c r="AP65" s="54">
        <v>10.4</v>
      </c>
      <c r="AQ65" s="54">
        <v>260</v>
      </c>
      <c r="AR65" s="54">
        <v>4.9000000000000004</v>
      </c>
      <c r="AS65" s="54">
        <v>14.42</v>
      </c>
      <c r="AT65" s="56">
        <v>28</v>
      </c>
      <c r="AU65" s="57">
        <v>140</v>
      </c>
      <c r="AV65" s="56">
        <v>86.934402465820298</v>
      </c>
      <c r="AW65" s="57">
        <v>5.5592930475870759</v>
      </c>
      <c r="AX65" s="8"/>
      <c r="AZ65" s="1">
        <v>90</v>
      </c>
    </row>
    <row r="66" spans="3:52" ht="15" customHeight="1" x14ac:dyDescent="0.25">
      <c r="C66" s="42"/>
      <c r="D66" s="43">
        <f>D64</f>
        <v>45693</v>
      </c>
      <c r="E66" s="44">
        <f t="shared" ref="E66:E75" si="6">E65+2/24</f>
        <v>4.4166666666666679</v>
      </c>
      <c r="F66" s="45">
        <f t="shared" si="2"/>
        <v>45693.416666666788</v>
      </c>
      <c r="G66" s="52">
        <v>37</v>
      </c>
      <c r="H66" s="53">
        <v>42</v>
      </c>
      <c r="I66" s="54">
        <v>10.5</v>
      </c>
      <c r="J66" s="54">
        <v>400</v>
      </c>
      <c r="K66" s="55">
        <v>4.8</v>
      </c>
      <c r="L66" s="56">
        <v>41</v>
      </c>
      <c r="M66" s="54">
        <v>10.8</v>
      </c>
      <c r="N66" s="54">
        <v>600</v>
      </c>
      <c r="O66" s="57">
        <v>5.9</v>
      </c>
      <c r="P66" s="53">
        <v>40</v>
      </c>
      <c r="Q66" s="54">
        <v>10.6</v>
      </c>
      <c r="R66" s="55">
        <v>0</v>
      </c>
      <c r="S66" s="55">
        <v>5.7</v>
      </c>
      <c r="T66" s="57">
        <v>15.19</v>
      </c>
      <c r="U66" s="56">
        <v>39</v>
      </c>
      <c r="V66" s="54">
        <v>10.4</v>
      </c>
      <c r="W66" s="55">
        <v>0</v>
      </c>
      <c r="X66" s="55">
        <v>5.5</v>
      </c>
      <c r="Y66" s="57">
        <v>14.42</v>
      </c>
      <c r="Z66" s="53">
        <v>38</v>
      </c>
      <c r="AA66" s="54">
        <v>10.5</v>
      </c>
      <c r="AB66" s="55">
        <v>0</v>
      </c>
      <c r="AC66" s="55">
        <v>5.5</v>
      </c>
      <c r="AD66" s="57">
        <v>14.42</v>
      </c>
      <c r="AE66" s="56">
        <v>38</v>
      </c>
      <c r="AF66" s="54">
        <v>10.199999999999999</v>
      </c>
      <c r="AG66" s="55">
        <v>0</v>
      </c>
      <c r="AH66" s="55">
        <v>5.0999999999999996</v>
      </c>
      <c r="AI66" s="57">
        <v>13.46</v>
      </c>
      <c r="AJ66" s="56">
        <v>38</v>
      </c>
      <c r="AK66" s="54">
        <v>10.4</v>
      </c>
      <c r="AL66" s="54">
        <v>0</v>
      </c>
      <c r="AM66" s="54">
        <v>4.8</v>
      </c>
      <c r="AN66" s="57">
        <v>14.23</v>
      </c>
      <c r="AO66" s="53">
        <v>38</v>
      </c>
      <c r="AP66" s="54">
        <v>10.4</v>
      </c>
      <c r="AQ66" s="54">
        <v>310</v>
      </c>
      <c r="AR66" s="54">
        <v>4.7</v>
      </c>
      <c r="AS66" s="54">
        <v>14.42</v>
      </c>
      <c r="AT66" s="56">
        <v>27</v>
      </c>
      <c r="AU66" s="57">
        <v>190</v>
      </c>
      <c r="AV66" s="56">
        <v>87.14599609375</v>
      </c>
      <c r="AW66" s="57">
        <v>0</v>
      </c>
      <c r="AX66" s="8"/>
      <c r="AZ66" s="1">
        <v>90</v>
      </c>
    </row>
    <row r="67" spans="3:52" ht="15" customHeight="1" x14ac:dyDescent="0.25">
      <c r="C67" s="42"/>
      <c r="D67" s="43">
        <f>D64</f>
        <v>45693</v>
      </c>
      <c r="E67" s="44">
        <f t="shared" si="6"/>
        <v>4.5000000000000009</v>
      </c>
      <c r="F67" s="45">
        <f t="shared" si="2"/>
        <v>45693.500000000124</v>
      </c>
      <c r="G67" s="52">
        <v>35</v>
      </c>
      <c r="H67" s="53">
        <v>40</v>
      </c>
      <c r="I67" s="54">
        <v>10.6</v>
      </c>
      <c r="J67" s="54">
        <v>400</v>
      </c>
      <c r="K67" s="55">
        <v>4.7</v>
      </c>
      <c r="L67" s="56">
        <v>39</v>
      </c>
      <c r="M67" s="54">
        <v>10.7</v>
      </c>
      <c r="N67" s="54">
        <v>550</v>
      </c>
      <c r="O67" s="57">
        <v>5.2</v>
      </c>
      <c r="P67" s="53">
        <v>39</v>
      </c>
      <c r="Q67" s="54">
        <v>10.6</v>
      </c>
      <c r="R67" s="55">
        <v>0</v>
      </c>
      <c r="S67" s="55">
        <v>5.0999999999999996</v>
      </c>
      <c r="T67" s="57">
        <v>14.23</v>
      </c>
      <c r="U67" s="56">
        <v>38</v>
      </c>
      <c r="V67" s="54">
        <v>10.6</v>
      </c>
      <c r="W67" s="55">
        <v>0</v>
      </c>
      <c r="X67" s="55">
        <v>5.3</v>
      </c>
      <c r="Y67" s="57">
        <v>14.23</v>
      </c>
      <c r="Z67" s="53">
        <v>38</v>
      </c>
      <c r="AA67" s="54">
        <v>10.5</v>
      </c>
      <c r="AB67" s="55">
        <v>0</v>
      </c>
      <c r="AC67" s="55">
        <v>5.2</v>
      </c>
      <c r="AD67" s="57">
        <v>13.46</v>
      </c>
      <c r="AE67" s="56">
        <v>38</v>
      </c>
      <c r="AF67" s="54">
        <v>10.199999999999999</v>
      </c>
      <c r="AG67" s="55">
        <v>0</v>
      </c>
      <c r="AH67" s="55">
        <v>5.5</v>
      </c>
      <c r="AI67" s="57">
        <v>12.5</v>
      </c>
      <c r="AJ67" s="56">
        <v>37</v>
      </c>
      <c r="AK67" s="54">
        <v>10.5</v>
      </c>
      <c r="AL67" s="54">
        <v>0</v>
      </c>
      <c r="AM67" s="54">
        <v>5.6</v>
      </c>
      <c r="AN67" s="57">
        <v>13.84</v>
      </c>
      <c r="AO67" s="53">
        <v>37</v>
      </c>
      <c r="AP67" s="54">
        <v>10.5</v>
      </c>
      <c r="AQ67" s="54">
        <v>300</v>
      </c>
      <c r="AR67" s="54">
        <v>4.9000000000000004</v>
      </c>
      <c r="AS67" s="54">
        <v>14.23</v>
      </c>
      <c r="AT67" s="56">
        <v>25</v>
      </c>
      <c r="AU67" s="57">
        <v>190</v>
      </c>
      <c r="AV67" s="56">
        <v>85.550941467285199</v>
      </c>
      <c r="AW67" s="57">
        <v>0</v>
      </c>
      <c r="AX67" s="8"/>
      <c r="AZ67" s="1">
        <v>90</v>
      </c>
    </row>
    <row r="68" spans="3:52" ht="15" customHeight="1" x14ac:dyDescent="0.25">
      <c r="C68" s="42"/>
      <c r="D68" s="43">
        <f>D64</f>
        <v>45693</v>
      </c>
      <c r="E68" s="44">
        <f t="shared" si="6"/>
        <v>4.5833333333333339</v>
      </c>
      <c r="F68" s="45">
        <f t="shared" si="2"/>
        <v>45693.583333333459</v>
      </c>
      <c r="G68" s="52">
        <v>38</v>
      </c>
      <c r="H68" s="53">
        <v>40</v>
      </c>
      <c r="I68" s="54">
        <v>10.3</v>
      </c>
      <c r="J68" s="54">
        <v>250</v>
      </c>
      <c r="K68" s="55">
        <v>5.9</v>
      </c>
      <c r="L68" s="56">
        <v>40</v>
      </c>
      <c r="M68" s="54">
        <v>10.4</v>
      </c>
      <c r="N68" s="54">
        <v>300</v>
      </c>
      <c r="O68" s="57">
        <v>5.8</v>
      </c>
      <c r="P68" s="53">
        <v>39</v>
      </c>
      <c r="Q68" s="54">
        <v>10.5</v>
      </c>
      <c r="R68" s="55">
        <v>0</v>
      </c>
      <c r="S68" s="55">
        <v>5.7</v>
      </c>
      <c r="T68" s="57">
        <v>0.59652777777777777</v>
      </c>
      <c r="U68" s="56">
        <v>38</v>
      </c>
      <c r="V68" s="54">
        <v>10.5</v>
      </c>
      <c r="W68" s="55">
        <v>0</v>
      </c>
      <c r="X68" s="55">
        <v>5.6</v>
      </c>
      <c r="Y68" s="57">
        <v>15.38</v>
      </c>
      <c r="Z68" s="53">
        <v>39</v>
      </c>
      <c r="AA68" s="54">
        <v>10.4</v>
      </c>
      <c r="AB68" s="55">
        <v>0</v>
      </c>
      <c r="AC68" s="55">
        <v>5</v>
      </c>
      <c r="AD68" s="57">
        <v>14.23</v>
      </c>
      <c r="AE68" s="56">
        <v>39</v>
      </c>
      <c r="AF68" s="54">
        <v>10.3</v>
      </c>
      <c r="AG68" s="55">
        <v>0</v>
      </c>
      <c r="AH68" s="55">
        <v>5.0999999999999996</v>
      </c>
      <c r="AI68" s="57">
        <v>12.5</v>
      </c>
      <c r="AJ68" s="56">
        <v>38</v>
      </c>
      <c r="AK68" s="54">
        <v>10.4</v>
      </c>
      <c r="AL68" s="54">
        <v>0</v>
      </c>
      <c r="AM68" s="54">
        <v>5.5</v>
      </c>
      <c r="AN68" s="57">
        <v>14.42</v>
      </c>
      <c r="AO68" s="53">
        <v>38</v>
      </c>
      <c r="AP68" s="54">
        <v>10.4</v>
      </c>
      <c r="AQ68" s="54">
        <v>190</v>
      </c>
      <c r="AR68" s="54">
        <v>5.5</v>
      </c>
      <c r="AS68" s="54">
        <v>13.46</v>
      </c>
      <c r="AT68" s="56">
        <v>28</v>
      </c>
      <c r="AU68" s="57">
        <v>140</v>
      </c>
      <c r="AV68" s="56">
        <v>85.184730529785199</v>
      </c>
      <c r="AW68" s="57">
        <v>0</v>
      </c>
      <c r="AX68" s="8"/>
      <c r="AZ68" s="1">
        <v>90</v>
      </c>
    </row>
    <row r="69" spans="3:52" ht="15" customHeight="1" x14ac:dyDescent="0.25">
      <c r="C69" s="42"/>
      <c r="D69" s="43">
        <f>D64</f>
        <v>45693</v>
      </c>
      <c r="E69" s="44">
        <f t="shared" si="6"/>
        <v>4.666666666666667</v>
      </c>
      <c r="F69" s="45">
        <f t="shared" si="2"/>
        <v>45693.666666666795</v>
      </c>
      <c r="G69" s="52">
        <v>35</v>
      </c>
      <c r="H69" s="53">
        <v>39</v>
      </c>
      <c r="I69" s="54">
        <v>10.5</v>
      </c>
      <c r="J69" s="54">
        <v>250</v>
      </c>
      <c r="K69" s="55">
        <v>5.7</v>
      </c>
      <c r="L69" s="56">
        <v>39</v>
      </c>
      <c r="M69" s="54">
        <v>10.5</v>
      </c>
      <c r="N69" s="54">
        <v>300</v>
      </c>
      <c r="O69" s="57">
        <v>5.6</v>
      </c>
      <c r="P69" s="53">
        <v>38</v>
      </c>
      <c r="Q69" s="54">
        <v>10.4</v>
      </c>
      <c r="R69" s="55">
        <v>0</v>
      </c>
      <c r="S69" s="55">
        <v>5.4</v>
      </c>
      <c r="T69" s="57">
        <v>0.65138888888888891</v>
      </c>
      <c r="U69" s="56">
        <v>37</v>
      </c>
      <c r="V69" s="54">
        <v>10.4</v>
      </c>
      <c r="W69" s="55">
        <v>0</v>
      </c>
      <c r="X69" s="55">
        <v>5.3</v>
      </c>
      <c r="Y69" s="57">
        <v>15.19</v>
      </c>
      <c r="Z69" s="53">
        <v>38</v>
      </c>
      <c r="AA69" s="54">
        <v>10.4</v>
      </c>
      <c r="AB69" s="55">
        <v>0</v>
      </c>
      <c r="AC69" s="55">
        <v>5.0999999999999996</v>
      </c>
      <c r="AD69" s="57">
        <v>14.23</v>
      </c>
      <c r="AE69" s="56">
        <v>37</v>
      </c>
      <c r="AF69" s="54">
        <v>10.5</v>
      </c>
      <c r="AG69" s="55">
        <v>0</v>
      </c>
      <c r="AH69" s="55">
        <v>5.2</v>
      </c>
      <c r="AI69" s="57">
        <v>11.53</v>
      </c>
      <c r="AJ69" s="56">
        <v>37</v>
      </c>
      <c r="AK69" s="54">
        <v>10.5</v>
      </c>
      <c r="AL69" s="54">
        <v>0</v>
      </c>
      <c r="AM69" s="54">
        <v>5</v>
      </c>
      <c r="AN69" s="57">
        <v>14.23</v>
      </c>
      <c r="AO69" s="53">
        <v>37</v>
      </c>
      <c r="AP69" s="54">
        <v>10.5</v>
      </c>
      <c r="AQ69" s="54">
        <v>180</v>
      </c>
      <c r="AR69" s="54">
        <v>5.2</v>
      </c>
      <c r="AS69" s="54">
        <v>14.42</v>
      </c>
      <c r="AT69" s="56">
        <v>25</v>
      </c>
      <c r="AU69" s="57">
        <v>140</v>
      </c>
      <c r="AV69" s="56">
        <v>84.85107421875</v>
      </c>
      <c r="AW69" s="57">
        <v>0</v>
      </c>
      <c r="AX69" s="8"/>
      <c r="AZ69" s="1">
        <v>90</v>
      </c>
    </row>
    <row r="70" spans="3:52" ht="15" customHeight="1" x14ac:dyDescent="0.25">
      <c r="C70" s="42"/>
      <c r="D70" s="43">
        <f>D64</f>
        <v>45693</v>
      </c>
      <c r="E70" s="44">
        <f t="shared" si="6"/>
        <v>4.75</v>
      </c>
      <c r="F70" s="45">
        <f t="shared" si="2"/>
        <v>45693.750000000131</v>
      </c>
      <c r="G70" s="52">
        <v>40</v>
      </c>
      <c r="H70" s="53">
        <v>43</v>
      </c>
      <c r="I70" s="54">
        <v>9.9</v>
      </c>
      <c r="J70" s="54">
        <v>300</v>
      </c>
      <c r="K70" s="55">
        <v>5.9</v>
      </c>
      <c r="L70" s="56">
        <v>41</v>
      </c>
      <c r="M70" s="54">
        <v>10.32</v>
      </c>
      <c r="N70" s="54">
        <v>350</v>
      </c>
      <c r="O70" s="57">
        <v>5.8</v>
      </c>
      <c r="P70" s="53">
        <v>41</v>
      </c>
      <c r="Q70" s="54">
        <v>10.4</v>
      </c>
      <c r="R70" s="55">
        <v>0</v>
      </c>
      <c r="S70" s="55">
        <v>5.5</v>
      </c>
      <c r="T70" s="57">
        <v>16.34</v>
      </c>
      <c r="U70" s="56">
        <v>40</v>
      </c>
      <c r="V70" s="54">
        <v>10.199999999999999</v>
      </c>
      <c r="W70" s="55">
        <v>0</v>
      </c>
      <c r="X70" s="55">
        <v>5.3</v>
      </c>
      <c r="Y70" s="57">
        <v>15.38</v>
      </c>
      <c r="Z70" s="53">
        <v>43</v>
      </c>
      <c r="AA70" s="54">
        <v>10.199999999999999</v>
      </c>
      <c r="AB70" s="55">
        <v>0</v>
      </c>
      <c r="AC70" s="55">
        <v>5.2</v>
      </c>
      <c r="AD70" s="57">
        <v>14.42</v>
      </c>
      <c r="AE70" s="56">
        <v>40</v>
      </c>
      <c r="AF70" s="54">
        <v>10.3</v>
      </c>
      <c r="AG70" s="55">
        <v>0</v>
      </c>
      <c r="AH70" s="55">
        <v>5.0999999999999996</v>
      </c>
      <c r="AI70" s="57">
        <v>11.53</v>
      </c>
      <c r="AJ70" s="56">
        <v>40</v>
      </c>
      <c r="AK70" s="54">
        <v>10.1</v>
      </c>
      <c r="AL70" s="54">
        <v>0</v>
      </c>
      <c r="AM70" s="54">
        <v>5.0999999999999996</v>
      </c>
      <c r="AN70" s="57">
        <v>14.42</v>
      </c>
      <c r="AO70" s="53">
        <v>35</v>
      </c>
      <c r="AP70" s="54">
        <v>10.199999999999999</v>
      </c>
      <c r="AQ70" s="54">
        <v>160</v>
      </c>
      <c r="AR70" s="54">
        <v>5.0999999999999996</v>
      </c>
      <c r="AS70" s="54">
        <v>14.42</v>
      </c>
      <c r="AT70" s="56">
        <v>24</v>
      </c>
      <c r="AU70" s="57">
        <v>130</v>
      </c>
      <c r="AV70" s="56">
        <v>57.120769500732401</v>
      </c>
      <c r="AW70" s="57">
        <v>261.17525051434836</v>
      </c>
      <c r="AX70" s="8"/>
      <c r="AZ70" s="1">
        <v>90</v>
      </c>
    </row>
    <row r="71" spans="3:52" ht="15" customHeight="1" x14ac:dyDescent="0.25">
      <c r="C71" s="42"/>
      <c r="D71" s="43">
        <f>D64</f>
        <v>45693</v>
      </c>
      <c r="E71" s="44">
        <f t="shared" si="6"/>
        <v>4.833333333333333</v>
      </c>
      <c r="F71" s="45">
        <f t="shared" si="2"/>
        <v>45693.833333333467</v>
      </c>
      <c r="G71" s="52">
        <v>44</v>
      </c>
      <c r="H71" s="53">
        <v>38</v>
      </c>
      <c r="I71" s="54">
        <v>9.6999999999999993</v>
      </c>
      <c r="J71" s="54">
        <v>300</v>
      </c>
      <c r="K71" s="55">
        <v>6.1</v>
      </c>
      <c r="L71" s="56">
        <v>39</v>
      </c>
      <c r="M71" s="54">
        <v>10.1</v>
      </c>
      <c r="N71" s="54">
        <v>350</v>
      </c>
      <c r="O71" s="57">
        <v>6.7</v>
      </c>
      <c r="P71" s="53">
        <v>36</v>
      </c>
      <c r="Q71" s="54">
        <v>10.3</v>
      </c>
      <c r="R71" s="55">
        <v>0</v>
      </c>
      <c r="S71" s="55">
        <v>6.4</v>
      </c>
      <c r="T71" s="57">
        <v>15.57</v>
      </c>
      <c r="U71" s="56">
        <v>36</v>
      </c>
      <c r="V71" s="54">
        <v>10.3</v>
      </c>
      <c r="W71" s="55">
        <v>0</v>
      </c>
      <c r="X71" s="55">
        <v>6.2</v>
      </c>
      <c r="Y71" s="57">
        <v>14.42</v>
      </c>
      <c r="Z71" s="53">
        <v>36</v>
      </c>
      <c r="AA71" s="54">
        <v>10.3</v>
      </c>
      <c r="AB71" s="55">
        <v>0</v>
      </c>
      <c r="AC71" s="55">
        <v>6</v>
      </c>
      <c r="AD71" s="57">
        <v>14.23</v>
      </c>
      <c r="AE71" s="56">
        <v>35</v>
      </c>
      <c r="AF71" s="54">
        <v>10.3</v>
      </c>
      <c r="AG71" s="55">
        <v>0</v>
      </c>
      <c r="AH71" s="55">
        <v>5.9</v>
      </c>
      <c r="AI71" s="57">
        <v>10.57</v>
      </c>
      <c r="AJ71" s="56">
        <v>37</v>
      </c>
      <c r="AK71" s="54">
        <v>10.199999999999999</v>
      </c>
      <c r="AL71" s="54">
        <v>0</v>
      </c>
      <c r="AM71" s="54">
        <v>6.1</v>
      </c>
      <c r="AN71" s="57">
        <v>14.42</v>
      </c>
      <c r="AO71" s="53">
        <v>38</v>
      </c>
      <c r="AP71" s="54">
        <v>10.199999999999999</v>
      </c>
      <c r="AQ71" s="54">
        <v>210</v>
      </c>
      <c r="AR71" s="54">
        <v>5.7</v>
      </c>
      <c r="AS71" s="54">
        <v>15.38</v>
      </c>
      <c r="AT71" s="56">
        <v>30</v>
      </c>
      <c r="AU71" s="57">
        <v>190</v>
      </c>
      <c r="AV71" s="56">
        <v>57.8369140625</v>
      </c>
      <c r="AW71" s="57">
        <v>359.27300338745118</v>
      </c>
      <c r="AX71" s="8"/>
      <c r="AZ71" s="1">
        <v>90</v>
      </c>
    </row>
    <row r="72" spans="3:52" ht="15" customHeight="1" x14ac:dyDescent="0.25">
      <c r="C72" s="42"/>
      <c r="D72" s="43">
        <f>D64</f>
        <v>45693</v>
      </c>
      <c r="E72" s="44">
        <f t="shared" si="6"/>
        <v>4.9166666666666661</v>
      </c>
      <c r="F72" s="45">
        <f t="shared" si="2"/>
        <v>45693.916666666802</v>
      </c>
      <c r="G72" s="52">
        <v>40</v>
      </c>
      <c r="H72" s="53">
        <v>37</v>
      </c>
      <c r="I72" s="54">
        <v>9.8000000000000007</v>
      </c>
      <c r="J72" s="54">
        <v>300</v>
      </c>
      <c r="K72" s="55">
        <v>6.3</v>
      </c>
      <c r="L72" s="56">
        <v>36</v>
      </c>
      <c r="M72" s="54">
        <v>10.1</v>
      </c>
      <c r="N72" s="54">
        <v>300</v>
      </c>
      <c r="O72" s="57">
        <v>6.5</v>
      </c>
      <c r="P72" s="53">
        <v>37</v>
      </c>
      <c r="Q72" s="54">
        <v>10.3</v>
      </c>
      <c r="R72" s="55">
        <v>0</v>
      </c>
      <c r="S72" s="55">
        <v>6.4</v>
      </c>
      <c r="T72" s="57">
        <v>16.34</v>
      </c>
      <c r="U72" s="56">
        <v>36</v>
      </c>
      <c r="V72" s="54">
        <v>10.3</v>
      </c>
      <c r="W72" s="55">
        <v>0</v>
      </c>
      <c r="X72" s="55">
        <v>6.4</v>
      </c>
      <c r="Y72" s="57">
        <v>15.19</v>
      </c>
      <c r="Z72" s="53">
        <v>36</v>
      </c>
      <c r="AA72" s="54">
        <v>10.3</v>
      </c>
      <c r="AB72" s="55">
        <v>0</v>
      </c>
      <c r="AC72" s="55">
        <v>6.7</v>
      </c>
      <c r="AD72" s="57">
        <v>14.42</v>
      </c>
      <c r="AE72" s="56">
        <v>35</v>
      </c>
      <c r="AF72" s="54">
        <v>10.3</v>
      </c>
      <c r="AG72" s="55">
        <v>0</v>
      </c>
      <c r="AH72" s="55">
        <v>5.9</v>
      </c>
      <c r="AI72" s="57">
        <v>11.53</v>
      </c>
      <c r="AJ72" s="56">
        <v>36</v>
      </c>
      <c r="AK72" s="54">
        <v>10.3</v>
      </c>
      <c r="AL72" s="54">
        <v>0</v>
      </c>
      <c r="AM72" s="54">
        <v>6</v>
      </c>
      <c r="AN72" s="57">
        <v>14.42</v>
      </c>
      <c r="AO72" s="53">
        <v>37</v>
      </c>
      <c r="AP72" s="54">
        <v>10.3</v>
      </c>
      <c r="AQ72" s="54">
        <v>220</v>
      </c>
      <c r="AR72" s="54">
        <v>5.4</v>
      </c>
      <c r="AS72" s="54">
        <v>15.19</v>
      </c>
      <c r="AT72" s="56">
        <v>29</v>
      </c>
      <c r="AU72" s="57">
        <v>200</v>
      </c>
      <c r="AV72" s="56">
        <v>58.540851593017599</v>
      </c>
      <c r="AW72" s="57">
        <v>357.17242927551268</v>
      </c>
      <c r="AX72" s="8"/>
      <c r="AZ72" s="1">
        <v>90</v>
      </c>
    </row>
    <row r="73" spans="3:52" ht="15" customHeight="1" x14ac:dyDescent="0.25">
      <c r="C73" s="42"/>
      <c r="D73" s="43">
        <f>D64</f>
        <v>45693</v>
      </c>
      <c r="E73" s="44">
        <f t="shared" si="6"/>
        <v>4.9999999999999991</v>
      </c>
      <c r="F73" s="45">
        <f t="shared" si="2"/>
        <v>45694.000000000138</v>
      </c>
      <c r="G73" s="52">
        <v>41</v>
      </c>
      <c r="H73" s="53">
        <v>40</v>
      </c>
      <c r="I73" s="54">
        <v>9.9</v>
      </c>
      <c r="J73" s="54">
        <v>300</v>
      </c>
      <c r="K73" s="55">
        <v>6.5</v>
      </c>
      <c r="L73" s="56">
        <v>38</v>
      </c>
      <c r="M73" s="54">
        <v>10.1</v>
      </c>
      <c r="N73" s="54">
        <v>250</v>
      </c>
      <c r="O73" s="57">
        <v>6.8</v>
      </c>
      <c r="P73" s="53">
        <v>37</v>
      </c>
      <c r="Q73" s="54">
        <v>10.199999999999999</v>
      </c>
      <c r="R73" s="55">
        <v>0</v>
      </c>
      <c r="S73" s="55">
        <v>6.7</v>
      </c>
      <c r="T73" s="57">
        <v>16.53</v>
      </c>
      <c r="U73" s="56">
        <v>37</v>
      </c>
      <c r="V73" s="54">
        <v>10.3</v>
      </c>
      <c r="W73" s="55">
        <v>0</v>
      </c>
      <c r="X73" s="55">
        <v>6</v>
      </c>
      <c r="Y73" s="57">
        <v>15.19</v>
      </c>
      <c r="Z73" s="53">
        <v>36</v>
      </c>
      <c r="AA73" s="54">
        <v>10.3</v>
      </c>
      <c r="AB73" s="55">
        <v>0</v>
      </c>
      <c r="AC73" s="55">
        <v>6.4</v>
      </c>
      <c r="AD73" s="57">
        <v>14.42</v>
      </c>
      <c r="AE73" s="56">
        <v>36</v>
      </c>
      <c r="AF73" s="54">
        <v>10.199999999999999</v>
      </c>
      <c r="AG73" s="55">
        <v>0</v>
      </c>
      <c r="AH73" s="55">
        <v>6.3</v>
      </c>
      <c r="AI73" s="57">
        <v>11.34</v>
      </c>
      <c r="AJ73" s="56">
        <v>37</v>
      </c>
      <c r="AK73" s="54">
        <v>10.3</v>
      </c>
      <c r="AL73" s="54">
        <v>0</v>
      </c>
      <c r="AM73" s="54">
        <v>6.1</v>
      </c>
      <c r="AN73" s="57">
        <v>14.42</v>
      </c>
      <c r="AO73" s="53">
        <v>38</v>
      </c>
      <c r="AP73" s="54">
        <v>10.4</v>
      </c>
      <c r="AQ73" s="54">
        <v>240</v>
      </c>
      <c r="AR73" s="54">
        <v>5.5</v>
      </c>
      <c r="AS73" s="54">
        <v>15.76</v>
      </c>
      <c r="AT73" s="56">
        <v>30</v>
      </c>
      <c r="AU73" s="57">
        <v>210</v>
      </c>
      <c r="AV73" s="56">
        <v>60.298664093017599</v>
      </c>
      <c r="AW73" s="57">
        <v>351.88151009877521</v>
      </c>
      <c r="AX73" s="8"/>
      <c r="AZ73" s="1">
        <v>90</v>
      </c>
    </row>
    <row r="74" spans="3:52" ht="15" customHeight="1" x14ac:dyDescent="0.25">
      <c r="C74" s="42"/>
      <c r="D74" s="43">
        <f>D64</f>
        <v>45693</v>
      </c>
      <c r="E74" s="44">
        <f t="shared" si="6"/>
        <v>5.0833333333333321</v>
      </c>
      <c r="F74" s="45">
        <f t="shared" si="2"/>
        <v>45694.083333333474</v>
      </c>
      <c r="G74" s="52">
        <v>41</v>
      </c>
      <c r="H74" s="53">
        <v>40</v>
      </c>
      <c r="I74" s="54">
        <v>10</v>
      </c>
      <c r="J74" s="54">
        <v>250</v>
      </c>
      <c r="K74" s="55">
        <v>6</v>
      </c>
      <c r="L74" s="56">
        <v>39</v>
      </c>
      <c r="M74" s="54">
        <v>10.1</v>
      </c>
      <c r="N74" s="54">
        <v>250</v>
      </c>
      <c r="O74" s="57">
        <v>6.5</v>
      </c>
      <c r="P74" s="53">
        <v>38</v>
      </c>
      <c r="Q74" s="54">
        <v>10.199999999999999</v>
      </c>
      <c r="R74" s="55">
        <v>0</v>
      </c>
      <c r="S74" s="55">
        <v>6.2</v>
      </c>
      <c r="T74" s="57">
        <v>16.53</v>
      </c>
      <c r="U74" s="56">
        <v>37</v>
      </c>
      <c r="V74" s="54">
        <v>10.3</v>
      </c>
      <c r="W74" s="55">
        <v>0</v>
      </c>
      <c r="X74" s="55">
        <v>6.1</v>
      </c>
      <c r="Y74" s="57">
        <v>14.8</v>
      </c>
      <c r="Z74" s="53">
        <v>37</v>
      </c>
      <c r="AA74" s="54">
        <v>10.3</v>
      </c>
      <c r="AB74" s="55">
        <v>0</v>
      </c>
      <c r="AC74" s="55">
        <v>5.9</v>
      </c>
      <c r="AD74" s="57">
        <v>14.42</v>
      </c>
      <c r="AE74" s="56">
        <v>36</v>
      </c>
      <c r="AF74" s="54">
        <v>10.199999999999999</v>
      </c>
      <c r="AG74" s="55">
        <v>0</v>
      </c>
      <c r="AH74" s="55">
        <v>5.7</v>
      </c>
      <c r="AI74" s="57">
        <v>11.15</v>
      </c>
      <c r="AJ74" s="56">
        <v>38</v>
      </c>
      <c r="AK74" s="54">
        <v>10.3</v>
      </c>
      <c r="AL74" s="54">
        <v>0</v>
      </c>
      <c r="AM74" s="54">
        <v>5.8</v>
      </c>
      <c r="AN74" s="57">
        <v>14.23</v>
      </c>
      <c r="AO74" s="53">
        <v>38</v>
      </c>
      <c r="AP74" s="54">
        <v>10.4</v>
      </c>
      <c r="AQ74" s="54">
        <v>240</v>
      </c>
      <c r="AR74" s="54">
        <v>5.3</v>
      </c>
      <c r="AS74" s="54">
        <v>15.76</v>
      </c>
      <c r="AT74" s="56">
        <v>30</v>
      </c>
      <c r="AU74" s="57">
        <v>210</v>
      </c>
      <c r="AV74" s="56">
        <v>61.9140625</v>
      </c>
      <c r="AW74" s="57">
        <v>343.50634187062582</v>
      </c>
      <c r="AX74" s="8"/>
      <c r="AZ74" s="1">
        <v>90</v>
      </c>
    </row>
    <row r="75" spans="3:52" ht="15" customHeight="1" x14ac:dyDescent="0.25">
      <c r="C75" s="42"/>
      <c r="D75" s="69">
        <f>D64</f>
        <v>45693</v>
      </c>
      <c r="E75" s="70">
        <f t="shared" si="6"/>
        <v>5.1666666666666652</v>
      </c>
      <c r="F75" s="71">
        <f t="shared" si="2"/>
        <v>45694.16666666681</v>
      </c>
      <c r="G75" s="60">
        <v>41</v>
      </c>
      <c r="H75" s="61">
        <v>40</v>
      </c>
      <c r="I75" s="62">
        <v>10</v>
      </c>
      <c r="J75" s="62">
        <v>300</v>
      </c>
      <c r="K75" s="63">
        <v>6.5</v>
      </c>
      <c r="L75" s="64">
        <v>39</v>
      </c>
      <c r="M75" s="62">
        <v>10</v>
      </c>
      <c r="N75" s="62">
        <v>300</v>
      </c>
      <c r="O75" s="65">
        <v>6.4</v>
      </c>
      <c r="P75" s="61">
        <v>36</v>
      </c>
      <c r="Q75" s="62">
        <v>10</v>
      </c>
      <c r="R75" s="63">
        <v>0</v>
      </c>
      <c r="S75" s="63">
        <v>6.2</v>
      </c>
      <c r="T75" s="65">
        <v>16.34</v>
      </c>
      <c r="U75" s="64">
        <v>35</v>
      </c>
      <c r="V75" s="62">
        <v>10.3</v>
      </c>
      <c r="W75" s="63">
        <v>0</v>
      </c>
      <c r="X75" s="63">
        <v>6.8</v>
      </c>
      <c r="Y75" s="65">
        <v>14.47</v>
      </c>
      <c r="Z75" s="61">
        <v>36</v>
      </c>
      <c r="AA75" s="62">
        <v>10.3</v>
      </c>
      <c r="AB75" s="63">
        <v>0</v>
      </c>
      <c r="AC75" s="63">
        <v>6.2</v>
      </c>
      <c r="AD75" s="65">
        <v>14.42</v>
      </c>
      <c r="AE75" s="64">
        <v>35</v>
      </c>
      <c r="AF75" s="62">
        <v>10.199999999999999</v>
      </c>
      <c r="AG75" s="63">
        <v>0</v>
      </c>
      <c r="AH75" s="63">
        <v>5.4</v>
      </c>
      <c r="AI75" s="65">
        <v>10.57</v>
      </c>
      <c r="AJ75" s="64">
        <v>36</v>
      </c>
      <c r="AK75" s="62">
        <v>10.199999999999999</v>
      </c>
      <c r="AL75" s="62">
        <v>0</v>
      </c>
      <c r="AM75" s="62">
        <v>6.2</v>
      </c>
      <c r="AN75" s="65">
        <v>14.42</v>
      </c>
      <c r="AO75" s="61">
        <v>37</v>
      </c>
      <c r="AP75" s="62">
        <v>10.199999999999999</v>
      </c>
      <c r="AQ75" s="62">
        <v>240</v>
      </c>
      <c r="AR75" s="62">
        <v>5.3</v>
      </c>
      <c r="AS75" s="62">
        <v>14.01</v>
      </c>
      <c r="AT75" s="64">
        <v>30</v>
      </c>
      <c r="AU75" s="65">
        <v>240</v>
      </c>
      <c r="AV75" s="64">
        <v>62.90283203125</v>
      </c>
      <c r="AW75" s="65">
        <v>338.97581469217937</v>
      </c>
      <c r="AX75" s="8"/>
      <c r="AZ75" s="1">
        <v>90</v>
      </c>
    </row>
    <row r="76" spans="3:52" ht="15" customHeight="1" x14ac:dyDescent="0.25">
      <c r="C76" s="42">
        <f>C64+1</f>
        <v>6</v>
      </c>
      <c r="D76" s="66">
        <f>DATE([2]Dash!$F$3,VLOOKUP([2]Dash!$E$3,[2]Abb!$C$3:$D$14,2,FALSE),C76)</f>
        <v>45694</v>
      </c>
      <c r="E76" s="67">
        <f>E75+2/24</f>
        <v>5.2499999999999982</v>
      </c>
      <c r="F76" s="68">
        <f t="shared" si="2"/>
        <v>45694.250000000146</v>
      </c>
      <c r="G76" s="46">
        <v>40</v>
      </c>
      <c r="H76" s="47">
        <v>40</v>
      </c>
      <c r="I76" s="48">
        <v>10</v>
      </c>
      <c r="J76" s="48">
        <v>350</v>
      </c>
      <c r="K76" s="49">
        <v>6.2</v>
      </c>
      <c r="L76" s="50">
        <v>39</v>
      </c>
      <c r="M76" s="48">
        <v>10</v>
      </c>
      <c r="N76" s="48">
        <v>300</v>
      </c>
      <c r="O76" s="51">
        <v>6.1</v>
      </c>
      <c r="P76" s="47">
        <v>36</v>
      </c>
      <c r="Q76" s="48">
        <v>10</v>
      </c>
      <c r="R76" s="48">
        <v>0</v>
      </c>
      <c r="S76" s="49">
        <v>6.5</v>
      </c>
      <c r="T76" s="51">
        <v>16.34</v>
      </c>
      <c r="U76" s="50">
        <v>36</v>
      </c>
      <c r="V76" s="48">
        <v>10</v>
      </c>
      <c r="W76" s="49">
        <v>0</v>
      </c>
      <c r="X76" s="49">
        <v>6.2</v>
      </c>
      <c r="Y76" s="51">
        <v>14.42</v>
      </c>
      <c r="Z76" s="47">
        <v>36</v>
      </c>
      <c r="AA76" s="48">
        <v>10.1</v>
      </c>
      <c r="AB76" s="49">
        <v>0</v>
      </c>
      <c r="AC76" s="49">
        <v>6.2</v>
      </c>
      <c r="AD76" s="51">
        <v>14.42</v>
      </c>
      <c r="AE76" s="50">
        <v>36</v>
      </c>
      <c r="AF76" s="48">
        <v>10.1</v>
      </c>
      <c r="AG76" s="49">
        <v>0</v>
      </c>
      <c r="AH76" s="49">
        <v>5.2</v>
      </c>
      <c r="AI76" s="51">
        <v>10.57</v>
      </c>
      <c r="AJ76" s="50">
        <v>36</v>
      </c>
      <c r="AK76" s="48">
        <v>10.199999999999999</v>
      </c>
      <c r="AL76" s="48">
        <v>0</v>
      </c>
      <c r="AM76" s="48">
        <v>6.7</v>
      </c>
      <c r="AN76" s="51">
        <v>14.23</v>
      </c>
      <c r="AO76" s="47">
        <v>37</v>
      </c>
      <c r="AP76" s="48">
        <v>10.199999999999999</v>
      </c>
      <c r="AQ76" s="48">
        <v>240</v>
      </c>
      <c r="AR76" s="48">
        <v>5.5</v>
      </c>
      <c r="AS76" s="48">
        <v>14.61</v>
      </c>
      <c r="AT76" s="50">
        <v>30</v>
      </c>
      <c r="AU76" s="51">
        <v>220</v>
      </c>
      <c r="AV76" s="50">
        <v>64.225265502929702</v>
      </c>
      <c r="AW76" s="51">
        <v>333.80654427210487</v>
      </c>
      <c r="AX76" s="8"/>
      <c r="AZ76" s="1">
        <v>90</v>
      </c>
    </row>
    <row r="77" spans="3:52" ht="15" customHeight="1" x14ac:dyDescent="0.25">
      <c r="C77" s="42"/>
      <c r="D77" s="43">
        <f>D76</f>
        <v>45694</v>
      </c>
      <c r="E77" s="44">
        <f>E76+2/24</f>
        <v>5.3333333333333313</v>
      </c>
      <c r="F77" s="45">
        <f t="shared" si="2"/>
        <v>45694.333333333481</v>
      </c>
      <c r="G77" s="52">
        <v>41</v>
      </c>
      <c r="H77" s="53">
        <v>45</v>
      </c>
      <c r="I77" s="54">
        <v>10</v>
      </c>
      <c r="J77" s="54">
        <v>300</v>
      </c>
      <c r="K77" s="55">
        <v>7.2</v>
      </c>
      <c r="L77" s="56">
        <v>42</v>
      </c>
      <c r="M77" s="54">
        <v>10</v>
      </c>
      <c r="N77" s="54">
        <v>300</v>
      </c>
      <c r="O77" s="57">
        <v>8.1999999999999993</v>
      </c>
      <c r="P77" s="53">
        <v>39</v>
      </c>
      <c r="Q77" s="54">
        <v>10</v>
      </c>
      <c r="R77" s="54">
        <v>0</v>
      </c>
      <c r="S77" s="55">
        <v>7.8</v>
      </c>
      <c r="T77" s="57">
        <v>17.3</v>
      </c>
      <c r="U77" s="56">
        <v>38</v>
      </c>
      <c r="V77" s="54">
        <v>10.199999999999999</v>
      </c>
      <c r="W77" s="55">
        <v>0</v>
      </c>
      <c r="X77" s="55">
        <v>7.1</v>
      </c>
      <c r="Y77" s="57">
        <v>15.3</v>
      </c>
      <c r="Z77" s="53">
        <v>38</v>
      </c>
      <c r="AA77" s="54">
        <v>10.199999999999999</v>
      </c>
      <c r="AB77" s="55">
        <v>0</v>
      </c>
      <c r="AC77" s="55">
        <v>6.8</v>
      </c>
      <c r="AD77" s="57">
        <v>16.3</v>
      </c>
      <c r="AE77" s="56">
        <v>39</v>
      </c>
      <c r="AF77" s="54">
        <v>10.199999999999999</v>
      </c>
      <c r="AG77" s="55">
        <v>0</v>
      </c>
      <c r="AH77" s="55">
        <v>6.4</v>
      </c>
      <c r="AI77" s="57">
        <v>12.5</v>
      </c>
      <c r="AJ77" s="56">
        <v>38</v>
      </c>
      <c r="AK77" s="54">
        <v>10.3</v>
      </c>
      <c r="AL77" s="54">
        <v>0</v>
      </c>
      <c r="AM77" s="54">
        <v>6.8</v>
      </c>
      <c r="AN77" s="57">
        <v>15.3</v>
      </c>
      <c r="AO77" s="53">
        <v>38</v>
      </c>
      <c r="AP77" s="54">
        <v>10.199999999999999</v>
      </c>
      <c r="AQ77" s="54">
        <v>290</v>
      </c>
      <c r="AR77" s="54">
        <v>6.5</v>
      </c>
      <c r="AS77" s="54">
        <v>16.3</v>
      </c>
      <c r="AT77" s="56">
        <v>28</v>
      </c>
      <c r="AU77" s="57">
        <v>190</v>
      </c>
      <c r="AV77" s="56">
        <v>65.177413940429702</v>
      </c>
      <c r="AW77" s="57">
        <v>329.99481585820519</v>
      </c>
      <c r="AX77" s="8"/>
      <c r="AZ77" s="1">
        <v>90</v>
      </c>
    </row>
    <row r="78" spans="3:52" ht="15" customHeight="1" x14ac:dyDescent="0.25">
      <c r="C78" s="42"/>
      <c r="D78" s="43">
        <f>D76</f>
        <v>45694</v>
      </c>
      <c r="E78" s="44">
        <f t="shared" ref="E78:E87" si="7">E77+2/24</f>
        <v>5.4166666666666643</v>
      </c>
      <c r="F78" s="45">
        <f t="shared" si="2"/>
        <v>45694.416666666817</v>
      </c>
      <c r="G78" s="52">
        <v>39</v>
      </c>
      <c r="H78" s="53">
        <v>41</v>
      </c>
      <c r="I78" s="54">
        <v>10</v>
      </c>
      <c r="J78" s="54">
        <v>300</v>
      </c>
      <c r="K78" s="55">
        <v>7.6</v>
      </c>
      <c r="L78" s="56">
        <v>39</v>
      </c>
      <c r="M78" s="54">
        <v>9.9</v>
      </c>
      <c r="N78" s="54">
        <v>300</v>
      </c>
      <c r="O78" s="57">
        <v>9.1</v>
      </c>
      <c r="P78" s="53">
        <v>39</v>
      </c>
      <c r="Q78" s="54">
        <v>10</v>
      </c>
      <c r="R78" s="54">
        <v>0</v>
      </c>
      <c r="S78" s="55">
        <v>7.5</v>
      </c>
      <c r="T78" s="57">
        <v>17.3</v>
      </c>
      <c r="U78" s="56">
        <v>37</v>
      </c>
      <c r="V78" s="54">
        <v>10</v>
      </c>
      <c r="W78" s="55">
        <v>0</v>
      </c>
      <c r="X78" s="55">
        <v>7.5</v>
      </c>
      <c r="Y78" s="57">
        <v>15.3</v>
      </c>
      <c r="Z78" s="53">
        <v>40</v>
      </c>
      <c r="AA78" s="54">
        <v>10.1</v>
      </c>
      <c r="AB78" s="55">
        <v>0</v>
      </c>
      <c r="AC78" s="55">
        <v>6.3</v>
      </c>
      <c r="AD78" s="57">
        <v>16.3</v>
      </c>
      <c r="AE78" s="56">
        <v>38</v>
      </c>
      <c r="AF78" s="54">
        <v>10</v>
      </c>
      <c r="AG78" s="55">
        <v>0</v>
      </c>
      <c r="AH78" s="55">
        <v>6.9</v>
      </c>
      <c r="AI78" s="57">
        <v>11.5</v>
      </c>
      <c r="AJ78" s="56">
        <v>38</v>
      </c>
      <c r="AK78" s="54">
        <v>10.1</v>
      </c>
      <c r="AL78" s="54">
        <v>0</v>
      </c>
      <c r="AM78" s="54">
        <v>6.3</v>
      </c>
      <c r="AN78" s="57">
        <v>15.3</v>
      </c>
      <c r="AO78" s="53">
        <v>39</v>
      </c>
      <c r="AP78" s="54">
        <v>10.199999999999999</v>
      </c>
      <c r="AQ78" s="54">
        <v>280</v>
      </c>
      <c r="AR78" s="54">
        <v>6.7</v>
      </c>
      <c r="AS78" s="54">
        <v>16.3</v>
      </c>
      <c r="AT78" s="56">
        <v>27</v>
      </c>
      <c r="AU78" s="57">
        <v>170</v>
      </c>
      <c r="AV78" s="56">
        <v>67.020668029785199</v>
      </c>
      <c r="AW78" s="57">
        <v>320.14793127377828</v>
      </c>
      <c r="AX78" s="8"/>
      <c r="AZ78" s="1">
        <v>90</v>
      </c>
    </row>
    <row r="79" spans="3:52" ht="15" customHeight="1" x14ac:dyDescent="0.25">
      <c r="C79" s="42"/>
      <c r="D79" s="43">
        <f>D76</f>
        <v>45694</v>
      </c>
      <c r="E79" s="44">
        <f t="shared" si="7"/>
        <v>5.4999999999999973</v>
      </c>
      <c r="F79" s="45">
        <f t="shared" si="2"/>
        <v>45694.500000000153</v>
      </c>
      <c r="G79" s="52">
        <v>40</v>
      </c>
      <c r="H79" s="53">
        <v>41</v>
      </c>
      <c r="I79" s="54">
        <v>9.9</v>
      </c>
      <c r="J79" s="54">
        <v>300</v>
      </c>
      <c r="K79" s="55">
        <v>7.4</v>
      </c>
      <c r="L79" s="56">
        <v>39</v>
      </c>
      <c r="M79" s="54">
        <v>9.8000000000000007</v>
      </c>
      <c r="N79" s="54">
        <v>300</v>
      </c>
      <c r="O79" s="57">
        <v>8.9</v>
      </c>
      <c r="P79" s="53">
        <v>38</v>
      </c>
      <c r="Q79" s="54">
        <v>9.9</v>
      </c>
      <c r="R79" s="54">
        <v>0</v>
      </c>
      <c r="S79" s="55">
        <v>7.2</v>
      </c>
      <c r="T79" s="57">
        <v>17.100000000000001</v>
      </c>
      <c r="U79" s="56">
        <v>38</v>
      </c>
      <c r="V79" s="54">
        <v>10</v>
      </c>
      <c r="W79" s="55">
        <v>0</v>
      </c>
      <c r="X79" s="55">
        <v>7.2</v>
      </c>
      <c r="Y79" s="57">
        <v>15</v>
      </c>
      <c r="Z79" s="53">
        <v>39</v>
      </c>
      <c r="AA79" s="54">
        <v>10</v>
      </c>
      <c r="AB79" s="55">
        <v>0</v>
      </c>
      <c r="AC79" s="55">
        <v>6.4</v>
      </c>
      <c r="AD79" s="57">
        <v>15.38</v>
      </c>
      <c r="AE79" s="56">
        <v>38</v>
      </c>
      <c r="AF79" s="54">
        <v>10</v>
      </c>
      <c r="AG79" s="55">
        <v>0</v>
      </c>
      <c r="AH79" s="55">
        <v>6.7</v>
      </c>
      <c r="AI79" s="57">
        <v>12.5</v>
      </c>
      <c r="AJ79" s="56">
        <v>37</v>
      </c>
      <c r="AK79" s="54">
        <v>10</v>
      </c>
      <c r="AL79" s="54">
        <v>0</v>
      </c>
      <c r="AM79" s="54">
        <v>6.4</v>
      </c>
      <c r="AN79" s="57">
        <v>15.1</v>
      </c>
      <c r="AO79" s="53">
        <v>36</v>
      </c>
      <c r="AP79" s="54">
        <v>10.1</v>
      </c>
      <c r="AQ79" s="54">
        <v>250</v>
      </c>
      <c r="AR79" s="54">
        <v>6.2</v>
      </c>
      <c r="AS79" s="54">
        <v>15.7</v>
      </c>
      <c r="AT79" s="56">
        <v>25</v>
      </c>
      <c r="AU79" s="57">
        <v>170</v>
      </c>
      <c r="AV79" s="56">
        <v>65.771484375</v>
      </c>
      <c r="AW79" s="57">
        <v>326.12304786046349</v>
      </c>
      <c r="AX79" s="8"/>
      <c r="AZ79" s="1">
        <v>90</v>
      </c>
    </row>
    <row r="80" spans="3:52" ht="15" customHeight="1" x14ac:dyDescent="0.25">
      <c r="C80" s="42"/>
      <c r="D80" s="43">
        <f>D76</f>
        <v>45694</v>
      </c>
      <c r="E80" s="44">
        <f t="shared" si="7"/>
        <v>5.5833333333333304</v>
      </c>
      <c r="F80" s="45">
        <f t="shared" si="2"/>
        <v>45694.583333333489</v>
      </c>
      <c r="G80" s="52">
        <v>41</v>
      </c>
      <c r="H80" s="53">
        <v>44</v>
      </c>
      <c r="I80" s="54">
        <v>10.6</v>
      </c>
      <c r="J80" s="54">
        <v>300</v>
      </c>
      <c r="K80" s="55">
        <v>7.3</v>
      </c>
      <c r="L80" s="56">
        <v>40</v>
      </c>
      <c r="M80" s="54">
        <v>9.9</v>
      </c>
      <c r="N80" s="54">
        <v>300</v>
      </c>
      <c r="O80" s="57">
        <v>8.4</v>
      </c>
      <c r="P80" s="53">
        <v>38</v>
      </c>
      <c r="Q80" s="54">
        <v>9.8000000000000007</v>
      </c>
      <c r="R80" s="54">
        <v>0</v>
      </c>
      <c r="S80" s="55">
        <v>7.1</v>
      </c>
      <c r="T80" s="57">
        <v>14.42</v>
      </c>
      <c r="U80" s="56">
        <v>37</v>
      </c>
      <c r="V80" s="54">
        <v>9.8000000000000007</v>
      </c>
      <c r="W80" s="55">
        <v>0</v>
      </c>
      <c r="X80" s="55">
        <v>7.1</v>
      </c>
      <c r="Y80" s="57">
        <v>15.3</v>
      </c>
      <c r="Z80" s="53">
        <v>40</v>
      </c>
      <c r="AA80" s="54">
        <v>9.9</v>
      </c>
      <c r="AB80" s="55">
        <v>0</v>
      </c>
      <c r="AC80" s="55">
        <v>6.2</v>
      </c>
      <c r="AD80" s="57">
        <v>15.3</v>
      </c>
      <c r="AE80" s="56">
        <v>37</v>
      </c>
      <c r="AF80" s="54">
        <v>9.9</v>
      </c>
      <c r="AG80" s="55">
        <v>0</v>
      </c>
      <c r="AH80" s="55">
        <v>5.9</v>
      </c>
      <c r="AI80" s="57">
        <v>12.5</v>
      </c>
      <c r="AJ80" s="56">
        <v>34</v>
      </c>
      <c r="AK80" s="54">
        <v>10</v>
      </c>
      <c r="AL80" s="54">
        <v>0</v>
      </c>
      <c r="AM80" s="54">
        <v>6.1</v>
      </c>
      <c r="AN80" s="57">
        <v>15</v>
      </c>
      <c r="AO80" s="53">
        <v>37</v>
      </c>
      <c r="AP80" s="54">
        <v>10</v>
      </c>
      <c r="AQ80" s="54">
        <v>180</v>
      </c>
      <c r="AR80" s="54">
        <v>6.1</v>
      </c>
      <c r="AS80" s="54">
        <v>15.3</v>
      </c>
      <c r="AT80" s="56">
        <v>26</v>
      </c>
      <c r="AU80" s="57">
        <v>140</v>
      </c>
      <c r="AV80" s="56">
        <v>65.445968627929702</v>
      </c>
      <c r="AW80" s="57">
        <v>324.42756633758546</v>
      </c>
      <c r="AX80" s="8"/>
      <c r="AZ80" s="1">
        <v>90</v>
      </c>
    </row>
    <row r="81" spans="3:52" ht="15" customHeight="1" x14ac:dyDescent="0.25">
      <c r="C81" s="42"/>
      <c r="D81" s="43">
        <f>D76</f>
        <v>45694</v>
      </c>
      <c r="E81" s="44">
        <f t="shared" si="7"/>
        <v>5.6666666666666634</v>
      </c>
      <c r="F81" s="45">
        <f t="shared" si="2"/>
        <v>45694.666666666824</v>
      </c>
      <c r="G81" s="52">
        <v>39</v>
      </c>
      <c r="H81" s="53">
        <v>44</v>
      </c>
      <c r="I81" s="54">
        <v>10.8</v>
      </c>
      <c r="J81" s="54">
        <v>300</v>
      </c>
      <c r="K81" s="55">
        <v>6.9</v>
      </c>
      <c r="L81" s="56">
        <v>40</v>
      </c>
      <c r="M81" s="54">
        <v>10.1</v>
      </c>
      <c r="N81" s="54">
        <v>250</v>
      </c>
      <c r="O81" s="57">
        <v>7.8</v>
      </c>
      <c r="P81" s="53">
        <v>39</v>
      </c>
      <c r="Q81" s="54">
        <v>10</v>
      </c>
      <c r="R81" s="54">
        <v>0</v>
      </c>
      <c r="S81" s="55">
        <v>7</v>
      </c>
      <c r="T81" s="57">
        <v>12.5</v>
      </c>
      <c r="U81" s="56">
        <v>39</v>
      </c>
      <c r="V81" s="54">
        <v>10</v>
      </c>
      <c r="W81" s="55">
        <v>0</v>
      </c>
      <c r="X81" s="55">
        <v>6.8</v>
      </c>
      <c r="Y81" s="57">
        <v>15.3</v>
      </c>
      <c r="Z81" s="53">
        <v>39</v>
      </c>
      <c r="AA81" s="54">
        <v>10</v>
      </c>
      <c r="AB81" s="55">
        <v>0</v>
      </c>
      <c r="AC81" s="55">
        <v>6.1</v>
      </c>
      <c r="AD81" s="57">
        <v>16.3</v>
      </c>
      <c r="AE81" s="56">
        <v>38</v>
      </c>
      <c r="AF81" s="54">
        <v>10</v>
      </c>
      <c r="AG81" s="55">
        <v>0</v>
      </c>
      <c r="AH81" s="55">
        <v>5.7</v>
      </c>
      <c r="AI81" s="57">
        <v>11.3</v>
      </c>
      <c r="AJ81" s="56">
        <v>38</v>
      </c>
      <c r="AK81" s="54">
        <v>10.199999999999999</v>
      </c>
      <c r="AL81" s="54">
        <v>0</v>
      </c>
      <c r="AM81" s="54">
        <v>5.6</v>
      </c>
      <c r="AN81" s="57">
        <v>15.3</v>
      </c>
      <c r="AO81" s="53">
        <v>39</v>
      </c>
      <c r="AP81" s="54">
        <v>10.199999999999999</v>
      </c>
      <c r="AQ81" s="54">
        <v>190</v>
      </c>
      <c r="AR81" s="54">
        <v>5.9</v>
      </c>
      <c r="AS81" s="54">
        <v>15.4</v>
      </c>
      <c r="AT81" s="56">
        <v>27</v>
      </c>
      <c r="AU81" s="57">
        <v>190</v>
      </c>
      <c r="AV81" s="56">
        <v>66.2841796875</v>
      </c>
      <c r="AW81" s="57">
        <v>318.38107646306355</v>
      </c>
      <c r="AX81" s="8"/>
      <c r="AZ81" s="1">
        <v>90</v>
      </c>
    </row>
    <row r="82" spans="3:52" ht="15" customHeight="1" x14ac:dyDescent="0.25">
      <c r="C82" s="42"/>
      <c r="D82" s="43">
        <f>D76</f>
        <v>45694</v>
      </c>
      <c r="E82" s="44">
        <f t="shared" si="7"/>
        <v>5.7499999999999964</v>
      </c>
      <c r="F82" s="45">
        <f t="shared" ref="F82:F145" si="8">F81+(E82-E81)</f>
        <v>45694.75000000016</v>
      </c>
      <c r="G82" s="52">
        <v>38</v>
      </c>
      <c r="H82" s="53">
        <v>42</v>
      </c>
      <c r="I82" s="54">
        <v>10.8</v>
      </c>
      <c r="J82" s="54">
        <v>350</v>
      </c>
      <c r="K82" s="55">
        <v>6.8</v>
      </c>
      <c r="L82" s="56">
        <v>43</v>
      </c>
      <c r="M82" s="54">
        <v>10.1</v>
      </c>
      <c r="N82" s="54">
        <v>300</v>
      </c>
      <c r="O82" s="57">
        <v>7.2</v>
      </c>
      <c r="P82" s="53">
        <v>39</v>
      </c>
      <c r="Q82" s="54">
        <v>10</v>
      </c>
      <c r="R82" s="54">
        <v>0</v>
      </c>
      <c r="S82" s="55">
        <v>7.1</v>
      </c>
      <c r="T82" s="57">
        <v>4.8</v>
      </c>
      <c r="U82" s="56">
        <v>38</v>
      </c>
      <c r="V82" s="54">
        <v>10</v>
      </c>
      <c r="W82" s="55">
        <v>0</v>
      </c>
      <c r="X82" s="55">
        <v>6.7</v>
      </c>
      <c r="Y82" s="57">
        <v>15.38</v>
      </c>
      <c r="Z82" s="53">
        <v>38</v>
      </c>
      <c r="AA82" s="54">
        <v>10</v>
      </c>
      <c r="AB82" s="55">
        <v>0</v>
      </c>
      <c r="AC82" s="55">
        <v>5.9</v>
      </c>
      <c r="AD82" s="57">
        <v>15.38</v>
      </c>
      <c r="AE82" s="56">
        <v>38</v>
      </c>
      <c r="AF82" s="54">
        <v>10</v>
      </c>
      <c r="AG82" s="55">
        <v>0</v>
      </c>
      <c r="AH82" s="55">
        <v>5.9</v>
      </c>
      <c r="AI82" s="57">
        <v>11.3</v>
      </c>
      <c r="AJ82" s="56">
        <v>38</v>
      </c>
      <c r="AK82" s="54">
        <v>10.1</v>
      </c>
      <c r="AL82" s="54">
        <v>0</v>
      </c>
      <c r="AM82" s="54">
        <v>5.5</v>
      </c>
      <c r="AN82" s="57">
        <v>15.3</v>
      </c>
      <c r="AO82" s="53">
        <v>37</v>
      </c>
      <c r="AP82" s="54">
        <v>10.1</v>
      </c>
      <c r="AQ82" s="54">
        <v>250</v>
      </c>
      <c r="AR82" s="54">
        <v>6</v>
      </c>
      <c r="AS82" s="54">
        <v>15.3</v>
      </c>
      <c r="AT82" s="56">
        <v>28</v>
      </c>
      <c r="AU82" s="57">
        <v>200</v>
      </c>
      <c r="AV82" s="56">
        <v>65.938308715820298</v>
      </c>
      <c r="AW82" s="57">
        <v>324.49930086135862</v>
      </c>
      <c r="AX82" s="8"/>
      <c r="AZ82" s="1">
        <v>90</v>
      </c>
    </row>
    <row r="83" spans="3:52" ht="15" customHeight="1" x14ac:dyDescent="0.25">
      <c r="C83" s="42"/>
      <c r="D83" s="43">
        <f>D76</f>
        <v>45694</v>
      </c>
      <c r="E83" s="44">
        <f t="shared" si="7"/>
        <v>5.8333333333333295</v>
      </c>
      <c r="F83" s="45">
        <f t="shared" si="8"/>
        <v>45694.833333333496</v>
      </c>
      <c r="G83" s="52">
        <v>40</v>
      </c>
      <c r="H83" s="53">
        <v>40</v>
      </c>
      <c r="I83" s="54">
        <v>10.8</v>
      </c>
      <c r="J83" s="54">
        <v>250</v>
      </c>
      <c r="K83" s="55">
        <v>6.9</v>
      </c>
      <c r="L83" s="56">
        <v>40</v>
      </c>
      <c r="M83" s="54">
        <v>10.4</v>
      </c>
      <c r="N83" s="54">
        <v>250</v>
      </c>
      <c r="O83" s="57">
        <v>6.4</v>
      </c>
      <c r="P83" s="53">
        <v>38</v>
      </c>
      <c r="Q83" s="54">
        <v>10.1</v>
      </c>
      <c r="R83" s="54">
        <v>0</v>
      </c>
      <c r="S83" s="55">
        <v>6.7</v>
      </c>
      <c r="T83" s="57">
        <v>7.69</v>
      </c>
      <c r="U83" s="56">
        <v>38</v>
      </c>
      <c r="V83" s="54">
        <v>10</v>
      </c>
      <c r="W83" s="55">
        <v>0</v>
      </c>
      <c r="X83" s="55">
        <v>6.2</v>
      </c>
      <c r="Y83" s="57">
        <v>15.38</v>
      </c>
      <c r="Z83" s="53">
        <v>38</v>
      </c>
      <c r="AA83" s="54">
        <v>10</v>
      </c>
      <c r="AB83" s="55">
        <v>0</v>
      </c>
      <c r="AC83" s="55">
        <v>6</v>
      </c>
      <c r="AD83" s="57">
        <v>15.38</v>
      </c>
      <c r="AE83" s="56">
        <v>39</v>
      </c>
      <c r="AF83" s="54">
        <v>10</v>
      </c>
      <c r="AG83" s="55">
        <v>0</v>
      </c>
      <c r="AH83" s="55">
        <v>5.7</v>
      </c>
      <c r="AI83" s="57">
        <v>11.53</v>
      </c>
      <c r="AJ83" s="56">
        <v>38</v>
      </c>
      <c r="AK83" s="54">
        <v>10</v>
      </c>
      <c r="AL83" s="54">
        <v>0</v>
      </c>
      <c r="AM83" s="54">
        <v>5.9</v>
      </c>
      <c r="AN83" s="57">
        <v>14.42</v>
      </c>
      <c r="AO83" s="53">
        <v>36</v>
      </c>
      <c r="AP83" s="54">
        <v>10.1</v>
      </c>
      <c r="AQ83" s="54">
        <v>250</v>
      </c>
      <c r="AR83" s="54">
        <v>6.1</v>
      </c>
      <c r="AS83" s="54">
        <v>15.96</v>
      </c>
      <c r="AT83" s="56">
        <v>30</v>
      </c>
      <c r="AU83" s="57">
        <v>190</v>
      </c>
      <c r="AV83" s="56">
        <v>65.95458984375</v>
      </c>
      <c r="AW83" s="57">
        <v>325.32503886222838</v>
      </c>
      <c r="AX83" s="8"/>
      <c r="AZ83" s="1">
        <v>90</v>
      </c>
    </row>
    <row r="84" spans="3:52" ht="15" customHeight="1" x14ac:dyDescent="0.25">
      <c r="C84" s="42"/>
      <c r="D84" s="43">
        <f>D76</f>
        <v>45694</v>
      </c>
      <c r="E84" s="44">
        <f t="shared" si="7"/>
        <v>5.9166666666666625</v>
      </c>
      <c r="F84" s="45">
        <f t="shared" si="8"/>
        <v>45694.916666666832</v>
      </c>
      <c r="G84" s="52">
        <v>45</v>
      </c>
      <c r="H84" s="53">
        <v>42</v>
      </c>
      <c r="I84" s="54">
        <v>10.5</v>
      </c>
      <c r="J84" s="54">
        <v>300</v>
      </c>
      <c r="K84" s="55">
        <v>6.5</v>
      </c>
      <c r="L84" s="56">
        <v>42</v>
      </c>
      <c r="M84" s="54">
        <v>10.3</v>
      </c>
      <c r="N84" s="54">
        <v>250</v>
      </c>
      <c r="O84" s="57">
        <v>6.7</v>
      </c>
      <c r="P84" s="53">
        <v>40</v>
      </c>
      <c r="Q84" s="54">
        <v>10.1</v>
      </c>
      <c r="R84" s="54">
        <v>0</v>
      </c>
      <c r="S84" s="55">
        <v>6.4</v>
      </c>
      <c r="T84" s="57">
        <v>12.6</v>
      </c>
      <c r="U84" s="56">
        <v>39</v>
      </c>
      <c r="V84" s="54">
        <v>10.1</v>
      </c>
      <c r="W84" s="55">
        <v>0</v>
      </c>
      <c r="X84" s="55">
        <v>6.1</v>
      </c>
      <c r="Y84" s="57">
        <v>10.57</v>
      </c>
      <c r="Z84" s="53">
        <v>39</v>
      </c>
      <c r="AA84" s="54">
        <v>10</v>
      </c>
      <c r="AB84" s="55">
        <v>0</v>
      </c>
      <c r="AC84" s="55">
        <v>5.9</v>
      </c>
      <c r="AD84" s="57">
        <v>15</v>
      </c>
      <c r="AE84" s="56">
        <v>39</v>
      </c>
      <c r="AF84" s="54">
        <v>10</v>
      </c>
      <c r="AG84" s="55">
        <v>0</v>
      </c>
      <c r="AH84" s="55">
        <v>5.4</v>
      </c>
      <c r="AI84" s="57">
        <v>11.53</v>
      </c>
      <c r="AJ84" s="56">
        <v>38</v>
      </c>
      <c r="AK84" s="54">
        <v>10</v>
      </c>
      <c r="AL84" s="54">
        <v>0</v>
      </c>
      <c r="AM84" s="54">
        <v>5.7</v>
      </c>
      <c r="AN84" s="57">
        <v>14.42</v>
      </c>
      <c r="AO84" s="53">
        <v>36</v>
      </c>
      <c r="AP84" s="54">
        <v>10</v>
      </c>
      <c r="AQ84" s="54">
        <v>250</v>
      </c>
      <c r="AR84" s="54">
        <v>5.7</v>
      </c>
      <c r="AS84" s="54">
        <v>16.34</v>
      </c>
      <c r="AT84" s="56">
        <v>31</v>
      </c>
      <c r="AU84" s="57">
        <v>190</v>
      </c>
      <c r="AV84" s="56">
        <v>64.558914184570298</v>
      </c>
      <c r="AW84" s="57">
        <v>327.18412391344708</v>
      </c>
      <c r="AX84" s="8"/>
      <c r="AZ84" s="1">
        <v>90</v>
      </c>
    </row>
    <row r="85" spans="3:52" ht="15" customHeight="1" x14ac:dyDescent="0.25">
      <c r="C85" s="42"/>
      <c r="D85" s="43">
        <f>D76</f>
        <v>45694</v>
      </c>
      <c r="E85" s="44">
        <f t="shared" si="7"/>
        <v>5.9999999999999956</v>
      </c>
      <c r="F85" s="45">
        <f t="shared" si="8"/>
        <v>45695.000000000167</v>
      </c>
      <c r="G85" s="52">
        <v>47</v>
      </c>
      <c r="H85" s="53">
        <v>44</v>
      </c>
      <c r="I85" s="54">
        <v>10.9</v>
      </c>
      <c r="J85" s="54">
        <v>300</v>
      </c>
      <c r="K85" s="55">
        <v>6.1</v>
      </c>
      <c r="L85" s="56">
        <v>42</v>
      </c>
      <c r="M85" s="54">
        <v>10.4</v>
      </c>
      <c r="N85" s="54">
        <v>250</v>
      </c>
      <c r="O85" s="57">
        <v>6.4</v>
      </c>
      <c r="P85" s="53">
        <v>40</v>
      </c>
      <c r="Q85" s="54">
        <v>10.199999999999999</v>
      </c>
      <c r="R85" s="54">
        <v>0</v>
      </c>
      <c r="S85" s="55">
        <v>6.2</v>
      </c>
      <c r="T85" s="57">
        <v>13.46</v>
      </c>
      <c r="U85" s="56">
        <v>38</v>
      </c>
      <c r="V85" s="54">
        <v>10.1</v>
      </c>
      <c r="W85" s="55">
        <v>0</v>
      </c>
      <c r="X85" s="55">
        <v>5.9</v>
      </c>
      <c r="Y85" s="57">
        <v>7.69</v>
      </c>
      <c r="Z85" s="53">
        <v>38</v>
      </c>
      <c r="AA85" s="54">
        <v>10</v>
      </c>
      <c r="AB85" s="55">
        <v>0</v>
      </c>
      <c r="AC85" s="55">
        <v>5.7</v>
      </c>
      <c r="AD85" s="57">
        <v>15.38</v>
      </c>
      <c r="AE85" s="56">
        <v>38</v>
      </c>
      <c r="AF85" s="54">
        <v>10</v>
      </c>
      <c r="AG85" s="55">
        <v>0</v>
      </c>
      <c r="AH85" s="55">
        <v>5.4</v>
      </c>
      <c r="AI85" s="57">
        <v>10.59</v>
      </c>
      <c r="AJ85" s="56">
        <v>39</v>
      </c>
      <c r="AK85" s="54">
        <v>10</v>
      </c>
      <c r="AL85" s="54">
        <v>0</v>
      </c>
      <c r="AM85" s="54">
        <v>5.7</v>
      </c>
      <c r="AN85" s="57">
        <v>14.42</v>
      </c>
      <c r="AO85" s="53">
        <v>36</v>
      </c>
      <c r="AP85" s="54">
        <v>10</v>
      </c>
      <c r="AQ85" s="54">
        <v>250</v>
      </c>
      <c r="AR85" s="54">
        <v>5.4</v>
      </c>
      <c r="AS85" s="54">
        <v>16.34</v>
      </c>
      <c r="AT85" s="56">
        <v>31</v>
      </c>
      <c r="AU85" s="57">
        <v>190</v>
      </c>
      <c r="AV85" s="56">
        <v>65.80810546875</v>
      </c>
      <c r="AW85" s="57">
        <v>330.66514727274574</v>
      </c>
      <c r="AX85" s="8"/>
      <c r="AZ85" s="1">
        <v>90</v>
      </c>
    </row>
    <row r="86" spans="3:52" ht="15" customHeight="1" x14ac:dyDescent="0.25">
      <c r="C86" s="42"/>
      <c r="D86" s="43">
        <f>D76</f>
        <v>45694</v>
      </c>
      <c r="E86" s="44">
        <f t="shared" si="7"/>
        <v>6.0833333333333286</v>
      </c>
      <c r="F86" s="45">
        <f t="shared" si="8"/>
        <v>45695.083333333503</v>
      </c>
      <c r="G86" s="52">
        <v>45</v>
      </c>
      <c r="H86" s="53">
        <v>43</v>
      </c>
      <c r="I86" s="54">
        <v>10.9</v>
      </c>
      <c r="J86" s="54">
        <v>300</v>
      </c>
      <c r="K86" s="55">
        <v>6</v>
      </c>
      <c r="L86" s="56">
        <v>42</v>
      </c>
      <c r="M86" s="54">
        <v>10.4</v>
      </c>
      <c r="N86" s="54">
        <v>250</v>
      </c>
      <c r="O86" s="57">
        <v>6.5</v>
      </c>
      <c r="P86" s="53">
        <v>40</v>
      </c>
      <c r="Q86" s="54">
        <v>10.199999999999999</v>
      </c>
      <c r="R86" s="54">
        <v>0</v>
      </c>
      <c r="S86" s="55">
        <v>6.1</v>
      </c>
      <c r="T86" s="57">
        <v>14.22</v>
      </c>
      <c r="U86" s="56">
        <v>39</v>
      </c>
      <c r="V86" s="54">
        <v>10.1</v>
      </c>
      <c r="W86" s="55">
        <v>0</v>
      </c>
      <c r="X86" s="55">
        <v>5.7</v>
      </c>
      <c r="Y86" s="57">
        <v>11.53</v>
      </c>
      <c r="Z86" s="53">
        <v>39</v>
      </c>
      <c r="AA86" s="54">
        <v>10</v>
      </c>
      <c r="AB86" s="55">
        <v>0</v>
      </c>
      <c r="AC86" s="55">
        <v>5.4</v>
      </c>
      <c r="AD86" s="57">
        <v>10.76</v>
      </c>
      <c r="AE86" s="56">
        <v>38</v>
      </c>
      <c r="AF86" s="54">
        <v>10</v>
      </c>
      <c r="AG86" s="55">
        <v>0</v>
      </c>
      <c r="AH86" s="55">
        <v>5.2</v>
      </c>
      <c r="AI86" s="57">
        <v>10.96</v>
      </c>
      <c r="AJ86" s="56">
        <v>38</v>
      </c>
      <c r="AK86" s="54">
        <v>10</v>
      </c>
      <c r="AL86" s="54">
        <v>0</v>
      </c>
      <c r="AM86" s="54">
        <v>5.2</v>
      </c>
      <c r="AN86" s="57">
        <v>14.23</v>
      </c>
      <c r="AO86" s="53">
        <v>37</v>
      </c>
      <c r="AP86" s="54">
        <v>10</v>
      </c>
      <c r="AQ86" s="54">
        <v>240</v>
      </c>
      <c r="AR86" s="54">
        <v>5.3</v>
      </c>
      <c r="AS86" s="54">
        <v>16.149999999999999</v>
      </c>
      <c r="AT86" s="56">
        <v>30</v>
      </c>
      <c r="AU86" s="57">
        <v>180</v>
      </c>
      <c r="AV86" s="56">
        <v>66.170242309570298</v>
      </c>
      <c r="AW86" s="57">
        <v>327.41210950215657</v>
      </c>
      <c r="AX86" s="8"/>
      <c r="AZ86" s="1">
        <v>90</v>
      </c>
    </row>
    <row r="87" spans="3:52" ht="15" customHeight="1" x14ac:dyDescent="0.25">
      <c r="C87" s="42"/>
      <c r="D87" s="69">
        <f>D76</f>
        <v>45694</v>
      </c>
      <c r="E87" s="70">
        <f t="shared" si="7"/>
        <v>6.1666666666666616</v>
      </c>
      <c r="F87" s="71">
        <f t="shared" si="8"/>
        <v>45695.166666666839</v>
      </c>
      <c r="G87" s="60">
        <v>41</v>
      </c>
      <c r="H87" s="61">
        <v>42</v>
      </c>
      <c r="I87" s="62">
        <v>10.039999999999999</v>
      </c>
      <c r="J87" s="62">
        <v>250</v>
      </c>
      <c r="K87" s="63">
        <v>5.7</v>
      </c>
      <c r="L87" s="64">
        <v>40</v>
      </c>
      <c r="M87" s="62">
        <v>10.3</v>
      </c>
      <c r="N87" s="62">
        <v>300</v>
      </c>
      <c r="O87" s="65">
        <v>6.2</v>
      </c>
      <c r="P87" s="61">
        <v>38</v>
      </c>
      <c r="Q87" s="54">
        <v>10.4</v>
      </c>
      <c r="R87" s="62">
        <v>0</v>
      </c>
      <c r="S87" s="63">
        <v>6</v>
      </c>
      <c r="T87" s="57">
        <v>17.690000000000001</v>
      </c>
      <c r="U87" s="64">
        <v>39</v>
      </c>
      <c r="V87" s="54">
        <v>10.199999999999999</v>
      </c>
      <c r="W87" s="63">
        <v>0</v>
      </c>
      <c r="X87" s="63">
        <v>6.2</v>
      </c>
      <c r="Y87" s="65">
        <v>10.57</v>
      </c>
      <c r="Z87" s="61">
        <v>39</v>
      </c>
      <c r="AA87" s="62">
        <v>10.1</v>
      </c>
      <c r="AB87" s="63">
        <v>0</v>
      </c>
      <c r="AC87" s="63">
        <v>5.7</v>
      </c>
      <c r="AD87" s="65">
        <v>9.61</v>
      </c>
      <c r="AE87" s="64">
        <v>38</v>
      </c>
      <c r="AF87" s="62">
        <v>10.1</v>
      </c>
      <c r="AG87" s="63">
        <v>0</v>
      </c>
      <c r="AH87" s="63">
        <v>5.7</v>
      </c>
      <c r="AI87" s="65">
        <v>11.53</v>
      </c>
      <c r="AJ87" s="64">
        <v>39</v>
      </c>
      <c r="AK87" s="62">
        <v>10.1</v>
      </c>
      <c r="AL87" s="62">
        <v>0</v>
      </c>
      <c r="AM87" s="62">
        <v>5.4</v>
      </c>
      <c r="AN87" s="65">
        <v>14.23</v>
      </c>
      <c r="AO87" s="61">
        <v>38</v>
      </c>
      <c r="AP87" s="62">
        <v>10</v>
      </c>
      <c r="AQ87" s="62">
        <v>250</v>
      </c>
      <c r="AR87" s="62">
        <v>5.2</v>
      </c>
      <c r="AS87" s="62">
        <v>15.38</v>
      </c>
      <c r="AT87" s="64">
        <v>32</v>
      </c>
      <c r="AU87" s="65">
        <v>200</v>
      </c>
      <c r="AV87" s="64">
        <v>64.518234252929702</v>
      </c>
      <c r="AW87" s="65">
        <v>329.62962967554728</v>
      </c>
      <c r="AX87" s="8"/>
      <c r="AZ87" s="1">
        <v>90</v>
      </c>
    </row>
    <row r="88" spans="3:52" ht="15" customHeight="1" x14ac:dyDescent="0.25">
      <c r="C88" s="42">
        <f>C76+1</f>
        <v>7</v>
      </c>
      <c r="D88" s="66">
        <f>DATE([2]Dash!$F$3,VLOOKUP([2]Dash!$E$3,[2]Abb!$C$3:$D$14,2,FALSE),C88)</f>
        <v>45695</v>
      </c>
      <c r="E88" s="67">
        <f>E87+2/24</f>
        <v>6.2499999999999947</v>
      </c>
      <c r="F88" s="68">
        <f t="shared" si="8"/>
        <v>45695.250000000175</v>
      </c>
      <c r="G88" s="46">
        <v>42</v>
      </c>
      <c r="H88" s="47">
        <v>42</v>
      </c>
      <c r="I88" s="48">
        <v>10.8</v>
      </c>
      <c r="J88" s="48">
        <v>250</v>
      </c>
      <c r="K88" s="49">
        <v>5.9</v>
      </c>
      <c r="L88" s="50">
        <v>42</v>
      </c>
      <c r="M88" s="48">
        <v>10.3</v>
      </c>
      <c r="N88" s="48">
        <v>300</v>
      </c>
      <c r="O88" s="51">
        <v>5.9</v>
      </c>
      <c r="P88" s="47">
        <v>39</v>
      </c>
      <c r="Q88" s="48">
        <v>10.4</v>
      </c>
      <c r="R88" s="49">
        <v>0</v>
      </c>
      <c r="S88" s="49">
        <v>5.6</v>
      </c>
      <c r="T88" s="51">
        <v>17.88</v>
      </c>
      <c r="U88" s="50">
        <v>38</v>
      </c>
      <c r="V88" s="48">
        <v>10.199999999999999</v>
      </c>
      <c r="W88" s="49">
        <v>0</v>
      </c>
      <c r="X88" s="49">
        <v>5.7</v>
      </c>
      <c r="Y88" s="51">
        <v>13.46</v>
      </c>
      <c r="Z88" s="47">
        <v>38</v>
      </c>
      <c r="AA88" s="48">
        <v>10.199999999999999</v>
      </c>
      <c r="AB88" s="49">
        <v>0</v>
      </c>
      <c r="AC88" s="49">
        <v>5.4</v>
      </c>
      <c r="AD88" s="51">
        <v>6.73</v>
      </c>
      <c r="AE88" s="50">
        <v>37</v>
      </c>
      <c r="AF88" s="48">
        <v>10.1</v>
      </c>
      <c r="AG88" s="49">
        <v>0</v>
      </c>
      <c r="AH88" s="49">
        <v>5.9</v>
      </c>
      <c r="AI88" s="51">
        <v>11.53</v>
      </c>
      <c r="AJ88" s="50">
        <v>37</v>
      </c>
      <c r="AK88" s="48">
        <v>10.1</v>
      </c>
      <c r="AL88" s="48">
        <v>0</v>
      </c>
      <c r="AM88" s="48">
        <v>6.2</v>
      </c>
      <c r="AN88" s="51">
        <v>14.42</v>
      </c>
      <c r="AO88" s="47">
        <v>38</v>
      </c>
      <c r="AP88" s="48">
        <v>10</v>
      </c>
      <c r="AQ88" s="48">
        <v>250</v>
      </c>
      <c r="AR88" s="48">
        <v>6.4</v>
      </c>
      <c r="AS88" s="48">
        <v>16.34</v>
      </c>
      <c r="AT88" s="50">
        <v>31</v>
      </c>
      <c r="AU88" s="51">
        <v>190</v>
      </c>
      <c r="AV88" s="50">
        <v>67.29736328125</v>
      </c>
      <c r="AW88" s="51">
        <v>324.37343316078187</v>
      </c>
      <c r="AX88" s="8"/>
      <c r="AZ88" s="1">
        <v>90</v>
      </c>
    </row>
    <row r="89" spans="3:52" ht="15" customHeight="1" x14ac:dyDescent="0.25">
      <c r="C89" s="42"/>
      <c r="D89" s="43">
        <f>D88</f>
        <v>45695</v>
      </c>
      <c r="E89" s="44">
        <f>E88+2/24</f>
        <v>6.3333333333333277</v>
      </c>
      <c r="F89" s="45">
        <f t="shared" si="8"/>
        <v>45695.33333333351</v>
      </c>
      <c r="G89" s="52">
        <v>41</v>
      </c>
      <c r="H89" s="53">
        <v>42</v>
      </c>
      <c r="I89" s="54">
        <v>10.8</v>
      </c>
      <c r="J89" s="54">
        <v>250</v>
      </c>
      <c r="K89" s="55">
        <v>7.2</v>
      </c>
      <c r="L89" s="56">
        <v>42</v>
      </c>
      <c r="M89" s="54">
        <v>10.5</v>
      </c>
      <c r="N89" s="54">
        <v>250</v>
      </c>
      <c r="O89" s="57">
        <v>9.1</v>
      </c>
      <c r="P89" s="53">
        <v>42</v>
      </c>
      <c r="Q89" s="54">
        <v>10.4</v>
      </c>
      <c r="R89" s="55">
        <v>0</v>
      </c>
      <c r="S89" s="55">
        <v>6.3</v>
      </c>
      <c r="T89" s="57">
        <v>17.3</v>
      </c>
      <c r="U89" s="56">
        <v>41</v>
      </c>
      <c r="V89" s="54">
        <v>6.3</v>
      </c>
      <c r="W89" s="55">
        <v>0</v>
      </c>
      <c r="X89" s="55">
        <v>5.8</v>
      </c>
      <c r="Y89" s="57">
        <v>12.5</v>
      </c>
      <c r="Z89" s="53">
        <v>41</v>
      </c>
      <c r="AA89" s="54">
        <v>10.199999999999999</v>
      </c>
      <c r="AB89" s="55">
        <v>0</v>
      </c>
      <c r="AC89" s="55">
        <v>6.5</v>
      </c>
      <c r="AD89" s="57">
        <v>8.6</v>
      </c>
      <c r="AE89" s="56">
        <v>37</v>
      </c>
      <c r="AF89" s="54">
        <v>10.1</v>
      </c>
      <c r="AG89" s="55">
        <v>0</v>
      </c>
      <c r="AH89" s="55">
        <v>6.3</v>
      </c>
      <c r="AI89" s="57">
        <v>11.5</v>
      </c>
      <c r="AJ89" s="56">
        <v>36</v>
      </c>
      <c r="AK89" s="54">
        <v>10.199999999999999</v>
      </c>
      <c r="AL89" s="54">
        <v>0</v>
      </c>
      <c r="AM89" s="54">
        <v>6.9</v>
      </c>
      <c r="AN89" s="57">
        <v>17.3</v>
      </c>
      <c r="AO89" s="53">
        <v>38</v>
      </c>
      <c r="AP89" s="54">
        <v>10</v>
      </c>
      <c r="AQ89" s="54">
        <v>220</v>
      </c>
      <c r="AR89" s="54">
        <v>6.3</v>
      </c>
      <c r="AS89" s="54">
        <v>17.3</v>
      </c>
      <c r="AT89" s="56">
        <v>23</v>
      </c>
      <c r="AU89" s="57">
        <v>160</v>
      </c>
      <c r="AV89" s="56">
        <v>67.435707092285199</v>
      </c>
      <c r="AW89" s="57">
        <v>325.46658018194137</v>
      </c>
      <c r="AX89" s="8"/>
      <c r="AZ89" s="1">
        <v>90</v>
      </c>
    </row>
    <row r="90" spans="3:52" ht="15" customHeight="1" x14ac:dyDescent="0.25">
      <c r="C90" s="42"/>
      <c r="D90" s="43">
        <f>D88</f>
        <v>45695</v>
      </c>
      <c r="E90" s="44">
        <f t="shared" ref="E90:E99" si="9">E89+2/24</f>
        <v>6.4166666666666607</v>
      </c>
      <c r="F90" s="45">
        <f t="shared" si="8"/>
        <v>45695.416666666846</v>
      </c>
      <c r="G90" s="52">
        <v>38</v>
      </c>
      <c r="H90" s="53">
        <v>42</v>
      </c>
      <c r="I90" s="54">
        <v>10.6</v>
      </c>
      <c r="J90" s="54">
        <v>250</v>
      </c>
      <c r="K90" s="55">
        <v>7.5</v>
      </c>
      <c r="L90" s="56">
        <v>44</v>
      </c>
      <c r="M90" s="54">
        <v>10.4</v>
      </c>
      <c r="N90" s="54">
        <v>250</v>
      </c>
      <c r="O90" s="57">
        <v>8.8000000000000007</v>
      </c>
      <c r="P90" s="53">
        <v>42</v>
      </c>
      <c r="Q90" s="54">
        <v>10.4</v>
      </c>
      <c r="R90" s="55">
        <v>0</v>
      </c>
      <c r="S90" s="55">
        <v>6.4</v>
      </c>
      <c r="T90" s="57">
        <v>17.3</v>
      </c>
      <c r="U90" s="56">
        <v>44</v>
      </c>
      <c r="V90" s="54">
        <v>6.4</v>
      </c>
      <c r="W90" s="55">
        <v>0</v>
      </c>
      <c r="X90" s="55">
        <v>6.1</v>
      </c>
      <c r="Y90" s="57">
        <v>12.5</v>
      </c>
      <c r="Z90" s="53">
        <v>41</v>
      </c>
      <c r="AA90" s="54">
        <v>10.199999999999999</v>
      </c>
      <c r="AB90" s="55">
        <v>0</v>
      </c>
      <c r="AC90" s="55">
        <v>6.3</v>
      </c>
      <c r="AD90" s="57">
        <v>8.6</v>
      </c>
      <c r="AE90" s="56">
        <v>38</v>
      </c>
      <c r="AF90" s="54">
        <v>10.199999999999999</v>
      </c>
      <c r="AG90" s="55">
        <v>0</v>
      </c>
      <c r="AH90" s="55">
        <v>5.9</v>
      </c>
      <c r="AI90" s="57">
        <v>11.5</v>
      </c>
      <c r="AJ90" s="56">
        <v>40</v>
      </c>
      <c r="AK90" s="54">
        <v>10</v>
      </c>
      <c r="AL90" s="54">
        <v>0</v>
      </c>
      <c r="AM90" s="54">
        <v>6.1</v>
      </c>
      <c r="AN90" s="57">
        <v>17.3</v>
      </c>
      <c r="AO90" s="53">
        <v>38</v>
      </c>
      <c r="AP90" s="54">
        <v>10</v>
      </c>
      <c r="AQ90" s="54">
        <v>240</v>
      </c>
      <c r="AR90" s="54">
        <v>6.8</v>
      </c>
      <c r="AS90" s="54">
        <v>17.3</v>
      </c>
      <c r="AT90" s="56">
        <v>30</v>
      </c>
      <c r="AU90" s="57">
        <v>180</v>
      </c>
      <c r="AV90" s="56">
        <v>65.836593627929702</v>
      </c>
      <c r="AW90" s="57">
        <v>324.504123433431</v>
      </c>
      <c r="AX90" s="8"/>
      <c r="AZ90" s="1">
        <v>90</v>
      </c>
    </row>
    <row r="91" spans="3:52" ht="15" customHeight="1" x14ac:dyDescent="0.25">
      <c r="C91" s="42"/>
      <c r="D91" s="43">
        <f>D88</f>
        <v>45695</v>
      </c>
      <c r="E91" s="44">
        <f t="shared" si="9"/>
        <v>6.4999999999999938</v>
      </c>
      <c r="F91" s="45">
        <f t="shared" si="8"/>
        <v>45695.500000000182</v>
      </c>
      <c r="G91" s="52">
        <v>41</v>
      </c>
      <c r="H91" s="53">
        <v>42</v>
      </c>
      <c r="I91" s="54">
        <v>10.199999999999999</v>
      </c>
      <c r="J91" s="54">
        <v>250</v>
      </c>
      <c r="K91" s="55">
        <v>7.3</v>
      </c>
      <c r="L91" s="56">
        <v>42</v>
      </c>
      <c r="M91" s="54">
        <v>10.4</v>
      </c>
      <c r="N91" s="54">
        <v>250</v>
      </c>
      <c r="O91" s="57">
        <v>8.5</v>
      </c>
      <c r="P91" s="53">
        <v>42</v>
      </c>
      <c r="Q91" s="54">
        <v>10.4</v>
      </c>
      <c r="R91" s="55">
        <v>0</v>
      </c>
      <c r="S91" s="55">
        <v>6.1</v>
      </c>
      <c r="T91" s="57">
        <v>17.8</v>
      </c>
      <c r="U91" s="56">
        <v>42</v>
      </c>
      <c r="V91" s="54">
        <v>6.1</v>
      </c>
      <c r="W91" s="55">
        <v>0</v>
      </c>
      <c r="X91" s="55">
        <v>6.3</v>
      </c>
      <c r="Y91" s="57">
        <v>16.3</v>
      </c>
      <c r="Z91" s="53">
        <v>41</v>
      </c>
      <c r="AA91" s="54">
        <v>10.199999999999999</v>
      </c>
      <c r="AB91" s="55">
        <v>0</v>
      </c>
      <c r="AC91" s="55">
        <v>6.7</v>
      </c>
      <c r="AD91" s="57">
        <v>5.7</v>
      </c>
      <c r="AE91" s="56">
        <v>39</v>
      </c>
      <c r="AF91" s="54">
        <v>10.199999999999999</v>
      </c>
      <c r="AG91" s="55">
        <v>0</v>
      </c>
      <c r="AH91" s="55">
        <v>6.1</v>
      </c>
      <c r="AI91" s="57">
        <v>11.5</v>
      </c>
      <c r="AJ91" s="56">
        <v>39</v>
      </c>
      <c r="AK91" s="54">
        <v>10</v>
      </c>
      <c r="AL91" s="54">
        <v>0</v>
      </c>
      <c r="AM91" s="54">
        <v>6.4</v>
      </c>
      <c r="AN91" s="57">
        <v>16.7</v>
      </c>
      <c r="AO91" s="53">
        <v>37</v>
      </c>
      <c r="AP91" s="54">
        <v>10</v>
      </c>
      <c r="AQ91" s="54">
        <v>230</v>
      </c>
      <c r="AR91" s="54">
        <v>6.5</v>
      </c>
      <c r="AS91" s="54">
        <v>16.899999999999999</v>
      </c>
      <c r="AT91" s="56">
        <v>28</v>
      </c>
      <c r="AU91" s="57">
        <v>170</v>
      </c>
      <c r="AV91" s="56">
        <v>67.850746154785199</v>
      </c>
      <c r="AW91" s="57">
        <v>320.69191281000775</v>
      </c>
      <c r="AX91" s="8"/>
      <c r="AZ91" s="1">
        <v>90</v>
      </c>
    </row>
    <row r="92" spans="3:52" ht="15" customHeight="1" x14ac:dyDescent="0.25">
      <c r="C92" s="42"/>
      <c r="D92" s="43">
        <f>D88</f>
        <v>45695</v>
      </c>
      <c r="E92" s="44">
        <f t="shared" si="9"/>
        <v>6.5833333333333268</v>
      </c>
      <c r="F92" s="45">
        <f t="shared" si="8"/>
        <v>45695.583333333518</v>
      </c>
      <c r="G92" s="52">
        <v>38</v>
      </c>
      <c r="H92" s="53">
        <v>43</v>
      </c>
      <c r="I92" s="54">
        <v>10.8</v>
      </c>
      <c r="J92" s="54">
        <v>300</v>
      </c>
      <c r="K92" s="55">
        <v>7.4</v>
      </c>
      <c r="L92" s="56">
        <v>41</v>
      </c>
      <c r="M92" s="54">
        <v>10.5</v>
      </c>
      <c r="N92" s="54">
        <v>250</v>
      </c>
      <c r="O92" s="57">
        <v>9.1</v>
      </c>
      <c r="P92" s="53">
        <v>43</v>
      </c>
      <c r="Q92" s="54">
        <v>10.5</v>
      </c>
      <c r="R92" s="55">
        <v>0</v>
      </c>
      <c r="S92" s="55">
        <v>6.3</v>
      </c>
      <c r="T92" s="57">
        <v>17.600000000000001</v>
      </c>
      <c r="U92" s="56">
        <v>42</v>
      </c>
      <c r="V92" s="54">
        <v>6.3</v>
      </c>
      <c r="W92" s="55">
        <v>0</v>
      </c>
      <c r="X92" s="55">
        <v>5.9</v>
      </c>
      <c r="Y92" s="57">
        <v>16.100000000000001</v>
      </c>
      <c r="Z92" s="53">
        <v>41</v>
      </c>
      <c r="AA92" s="54">
        <v>10.199999999999999</v>
      </c>
      <c r="AB92" s="55">
        <v>0</v>
      </c>
      <c r="AC92" s="55">
        <v>5.8</v>
      </c>
      <c r="AD92" s="57">
        <v>12.5</v>
      </c>
      <c r="AE92" s="56">
        <v>37</v>
      </c>
      <c r="AF92" s="54">
        <v>10.199999999999999</v>
      </c>
      <c r="AG92" s="55">
        <v>0</v>
      </c>
      <c r="AH92" s="55">
        <v>5.7</v>
      </c>
      <c r="AI92" s="57">
        <v>6.7</v>
      </c>
      <c r="AJ92" s="56">
        <v>37</v>
      </c>
      <c r="AK92" s="54">
        <v>10.1</v>
      </c>
      <c r="AL92" s="54">
        <v>0</v>
      </c>
      <c r="AM92" s="54">
        <v>5.8</v>
      </c>
      <c r="AN92" s="57">
        <v>16.3</v>
      </c>
      <c r="AO92" s="53">
        <v>35</v>
      </c>
      <c r="AP92" s="54">
        <v>10</v>
      </c>
      <c r="AQ92" s="54">
        <v>250</v>
      </c>
      <c r="AR92" s="54">
        <v>6.9</v>
      </c>
      <c r="AS92" s="54">
        <v>18.2</v>
      </c>
      <c r="AT92" s="56">
        <v>30</v>
      </c>
      <c r="AU92" s="57">
        <v>190</v>
      </c>
      <c r="AV92" s="56">
        <v>67.049148559570298</v>
      </c>
      <c r="AW92" s="57">
        <v>322.14494142532351</v>
      </c>
      <c r="AX92" s="8"/>
      <c r="AZ92" s="1">
        <v>90</v>
      </c>
    </row>
    <row r="93" spans="3:52" ht="15" customHeight="1" x14ac:dyDescent="0.25">
      <c r="C93" s="42"/>
      <c r="D93" s="43">
        <f>D88</f>
        <v>45695</v>
      </c>
      <c r="E93" s="44">
        <f t="shared" si="9"/>
        <v>6.6666666666666599</v>
      </c>
      <c r="F93" s="45">
        <f t="shared" si="8"/>
        <v>45695.666666666853</v>
      </c>
      <c r="G93" s="52">
        <v>35</v>
      </c>
      <c r="H93" s="53">
        <v>39</v>
      </c>
      <c r="I93" s="54">
        <v>10.3</v>
      </c>
      <c r="J93" s="54">
        <v>250</v>
      </c>
      <c r="K93" s="55">
        <v>8.1</v>
      </c>
      <c r="L93" s="56">
        <v>42</v>
      </c>
      <c r="M93" s="54">
        <v>10.5</v>
      </c>
      <c r="N93" s="54">
        <v>250</v>
      </c>
      <c r="O93" s="57">
        <v>9.5</v>
      </c>
      <c r="P93" s="53">
        <v>41</v>
      </c>
      <c r="Q93" s="54">
        <v>10.4</v>
      </c>
      <c r="R93" s="55">
        <v>0</v>
      </c>
      <c r="S93" s="55">
        <v>6.7</v>
      </c>
      <c r="T93" s="57">
        <v>18.2</v>
      </c>
      <c r="U93" s="56">
        <v>42</v>
      </c>
      <c r="V93" s="54">
        <v>6.7</v>
      </c>
      <c r="W93" s="55">
        <v>0</v>
      </c>
      <c r="X93" s="55">
        <v>6.7</v>
      </c>
      <c r="Y93" s="57">
        <v>15.3</v>
      </c>
      <c r="Z93" s="53">
        <v>40</v>
      </c>
      <c r="AA93" s="54">
        <v>10.199999999999999</v>
      </c>
      <c r="AB93" s="55">
        <v>0</v>
      </c>
      <c r="AC93" s="55">
        <v>6.1</v>
      </c>
      <c r="AD93" s="57">
        <v>11.5</v>
      </c>
      <c r="AE93" s="56">
        <v>38</v>
      </c>
      <c r="AF93" s="54">
        <v>10.199999999999999</v>
      </c>
      <c r="AG93" s="55">
        <v>0</v>
      </c>
      <c r="AH93" s="55">
        <v>6.3</v>
      </c>
      <c r="AI93" s="57">
        <v>15.3</v>
      </c>
      <c r="AJ93" s="56">
        <v>38</v>
      </c>
      <c r="AK93" s="54">
        <v>10.199999999999999</v>
      </c>
      <c r="AL93" s="54">
        <v>0</v>
      </c>
      <c r="AM93" s="54">
        <v>6.3</v>
      </c>
      <c r="AN93" s="57">
        <v>8.6</v>
      </c>
      <c r="AO93" s="53">
        <v>36</v>
      </c>
      <c r="AP93" s="54">
        <v>10.1</v>
      </c>
      <c r="AQ93" s="54">
        <v>220</v>
      </c>
      <c r="AR93" s="54">
        <v>5.9</v>
      </c>
      <c r="AS93" s="54">
        <v>16.899999999999999</v>
      </c>
      <c r="AT93" s="56">
        <v>26</v>
      </c>
      <c r="AU93" s="57">
        <v>170</v>
      </c>
      <c r="AV93" s="56">
        <v>65.974929809570298</v>
      </c>
      <c r="AW93" s="57">
        <v>320.4464455763499</v>
      </c>
      <c r="AX93" s="8"/>
      <c r="AZ93" s="1">
        <v>90</v>
      </c>
    </row>
    <row r="94" spans="3:52" ht="15" customHeight="1" x14ac:dyDescent="0.25">
      <c r="C94" s="42"/>
      <c r="D94" s="43">
        <f>D88</f>
        <v>45695</v>
      </c>
      <c r="E94" s="44">
        <f t="shared" si="9"/>
        <v>6.7499999999999929</v>
      </c>
      <c r="F94" s="45">
        <f t="shared" si="8"/>
        <v>45695.750000000189</v>
      </c>
      <c r="G94" s="52">
        <v>36</v>
      </c>
      <c r="H94" s="53">
        <v>40</v>
      </c>
      <c r="I94" s="54">
        <v>10.5</v>
      </c>
      <c r="J94" s="54">
        <v>250</v>
      </c>
      <c r="K94" s="55">
        <v>9.1</v>
      </c>
      <c r="L94" s="56">
        <v>39</v>
      </c>
      <c r="M94" s="54">
        <v>10.1</v>
      </c>
      <c r="N94" s="54">
        <v>250</v>
      </c>
      <c r="O94" s="57">
        <v>9.1</v>
      </c>
      <c r="P94" s="53">
        <v>40</v>
      </c>
      <c r="Q94" s="54">
        <v>10.5</v>
      </c>
      <c r="R94" s="55">
        <v>0</v>
      </c>
      <c r="S94" s="55">
        <v>6.8</v>
      </c>
      <c r="T94" s="57">
        <v>18.2</v>
      </c>
      <c r="U94" s="56">
        <v>42</v>
      </c>
      <c r="V94" s="54">
        <v>10.3</v>
      </c>
      <c r="W94" s="55">
        <v>0</v>
      </c>
      <c r="X94" s="55">
        <v>6.3</v>
      </c>
      <c r="Y94" s="57">
        <v>16.3</v>
      </c>
      <c r="Z94" s="53">
        <v>39</v>
      </c>
      <c r="AA94" s="54">
        <v>16.3</v>
      </c>
      <c r="AB94" s="55">
        <v>0</v>
      </c>
      <c r="AC94" s="55">
        <v>5.8</v>
      </c>
      <c r="AD94" s="57">
        <v>13.4</v>
      </c>
      <c r="AE94" s="56">
        <v>41</v>
      </c>
      <c r="AF94" s="54">
        <v>10.199999999999999</v>
      </c>
      <c r="AG94" s="55">
        <v>0</v>
      </c>
      <c r="AH94" s="55">
        <v>6.5</v>
      </c>
      <c r="AI94" s="57">
        <v>13.4</v>
      </c>
      <c r="AJ94" s="56">
        <v>41</v>
      </c>
      <c r="AK94" s="54">
        <v>10.199999999999999</v>
      </c>
      <c r="AL94" s="54">
        <v>0</v>
      </c>
      <c r="AM94" s="54">
        <v>6.7</v>
      </c>
      <c r="AN94" s="57">
        <v>12.5</v>
      </c>
      <c r="AO94" s="53">
        <v>38</v>
      </c>
      <c r="AP94" s="54">
        <v>10</v>
      </c>
      <c r="AQ94" s="54">
        <v>220</v>
      </c>
      <c r="AR94" s="54">
        <v>5.5</v>
      </c>
      <c r="AS94" s="54">
        <v>11.5</v>
      </c>
      <c r="AT94" s="56">
        <v>26</v>
      </c>
      <c r="AU94" s="57">
        <v>170</v>
      </c>
      <c r="AV94" s="56">
        <v>66.044105529785199</v>
      </c>
      <c r="AW94" s="57">
        <v>322.1602524757385</v>
      </c>
      <c r="AX94" s="8"/>
      <c r="AZ94" s="1">
        <v>90</v>
      </c>
    </row>
    <row r="95" spans="3:52" ht="15" customHeight="1" x14ac:dyDescent="0.25">
      <c r="C95" s="42"/>
      <c r="D95" s="43">
        <f>D88</f>
        <v>45695</v>
      </c>
      <c r="E95" s="44">
        <f t="shared" si="9"/>
        <v>6.8333333333333259</v>
      </c>
      <c r="F95" s="45">
        <f t="shared" si="8"/>
        <v>45695.833333333525</v>
      </c>
      <c r="G95" s="52">
        <v>38</v>
      </c>
      <c r="H95" s="53">
        <v>40</v>
      </c>
      <c r="I95" s="54">
        <v>10</v>
      </c>
      <c r="J95" s="54">
        <v>200</v>
      </c>
      <c r="K95" s="55">
        <v>6.3</v>
      </c>
      <c r="L95" s="56">
        <v>41</v>
      </c>
      <c r="M95" s="54">
        <v>10.3</v>
      </c>
      <c r="N95" s="54">
        <v>200</v>
      </c>
      <c r="O95" s="57">
        <v>6.4</v>
      </c>
      <c r="P95" s="53">
        <v>40</v>
      </c>
      <c r="Q95" s="54">
        <v>10.4</v>
      </c>
      <c r="R95" s="55">
        <v>0</v>
      </c>
      <c r="S95" s="55">
        <v>5.8</v>
      </c>
      <c r="T95" s="57">
        <v>16.34</v>
      </c>
      <c r="U95" s="56">
        <v>38</v>
      </c>
      <c r="V95" s="54">
        <v>10.4</v>
      </c>
      <c r="W95" s="55">
        <v>0</v>
      </c>
      <c r="X95" s="55">
        <v>5.6</v>
      </c>
      <c r="Y95" s="57">
        <v>15.38</v>
      </c>
      <c r="Z95" s="53">
        <v>39</v>
      </c>
      <c r="AA95" s="54">
        <v>10.4</v>
      </c>
      <c r="AB95" s="55">
        <v>0</v>
      </c>
      <c r="AC95" s="55">
        <v>5.2</v>
      </c>
      <c r="AD95" s="57">
        <v>12.5</v>
      </c>
      <c r="AE95" s="56">
        <v>39</v>
      </c>
      <c r="AF95" s="54">
        <v>10.3</v>
      </c>
      <c r="AG95" s="55">
        <v>0</v>
      </c>
      <c r="AH95" s="55">
        <v>5.4</v>
      </c>
      <c r="AI95" s="57">
        <v>13.46</v>
      </c>
      <c r="AJ95" s="56">
        <v>37</v>
      </c>
      <c r="AK95" s="54">
        <v>10.199999999999999</v>
      </c>
      <c r="AL95" s="54">
        <v>0</v>
      </c>
      <c r="AM95" s="54">
        <v>5.3</v>
      </c>
      <c r="AN95" s="57">
        <v>14.42</v>
      </c>
      <c r="AO95" s="53">
        <v>38</v>
      </c>
      <c r="AP95" s="54">
        <v>10.199999999999999</v>
      </c>
      <c r="AQ95" s="54">
        <v>200</v>
      </c>
      <c r="AR95" s="54">
        <v>5.6</v>
      </c>
      <c r="AS95" s="54">
        <v>10.57</v>
      </c>
      <c r="AT95" s="56">
        <v>29</v>
      </c>
      <c r="AU95" s="57">
        <v>130</v>
      </c>
      <c r="AV95" s="56">
        <v>66.304519653320298</v>
      </c>
      <c r="AW95" s="57">
        <v>321.78132200241089</v>
      </c>
      <c r="AX95" s="8"/>
      <c r="AZ95" s="1">
        <v>90</v>
      </c>
    </row>
    <row r="96" spans="3:52" ht="15" customHeight="1" x14ac:dyDescent="0.25">
      <c r="C96" s="42"/>
      <c r="D96" s="43">
        <f>D88</f>
        <v>45695</v>
      </c>
      <c r="E96" s="44">
        <f t="shared" si="9"/>
        <v>6.916666666666659</v>
      </c>
      <c r="F96" s="45">
        <f t="shared" si="8"/>
        <v>45695.916666666861</v>
      </c>
      <c r="G96" s="52">
        <v>35</v>
      </c>
      <c r="H96" s="53">
        <v>38</v>
      </c>
      <c r="I96" s="54">
        <v>9.9</v>
      </c>
      <c r="J96" s="54">
        <v>200</v>
      </c>
      <c r="K96" s="55">
        <v>6.4</v>
      </c>
      <c r="L96" s="56">
        <v>39</v>
      </c>
      <c r="M96" s="54">
        <v>10.199999999999999</v>
      </c>
      <c r="N96" s="54">
        <v>200</v>
      </c>
      <c r="O96" s="57">
        <v>6.3</v>
      </c>
      <c r="P96" s="53">
        <v>39</v>
      </c>
      <c r="Q96" s="54">
        <v>10.4</v>
      </c>
      <c r="R96" s="55">
        <v>0</v>
      </c>
      <c r="S96" s="55">
        <v>5.6</v>
      </c>
      <c r="T96" s="57">
        <v>17.11</v>
      </c>
      <c r="U96" s="56">
        <v>38</v>
      </c>
      <c r="V96" s="54">
        <v>10.4</v>
      </c>
      <c r="W96" s="55">
        <v>0</v>
      </c>
      <c r="X96" s="55">
        <v>5.7</v>
      </c>
      <c r="Y96" s="57">
        <v>15.76</v>
      </c>
      <c r="Z96" s="53">
        <v>38</v>
      </c>
      <c r="AA96" s="54">
        <v>10.4</v>
      </c>
      <c r="AB96" s="55">
        <v>0</v>
      </c>
      <c r="AC96" s="55">
        <v>5.3</v>
      </c>
      <c r="AD96" s="57">
        <v>12.5</v>
      </c>
      <c r="AE96" s="56">
        <v>38</v>
      </c>
      <c r="AF96" s="54">
        <v>10.4</v>
      </c>
      <c r="AG96" s="55">
        <v>0</v>
      </c>
      <c r="AH96" s="55">
        <v>5.3</v>
      </c>
      <c r="AI96" s="57">
        <v>13.46</v>
      </c>
      <c r="AJ96" s="56">
        <v>37</v>
      </c>
      <c r="AK96" s="54">
        <v>10.199999999999999</v>
      </c>
      <c r="AL96" s="54">
        <v>0</v>
      </c>
      <c r="AM96" s="54">
        <v>5.2</v>
      </c>
      <c r="AN96" s="57">
        <v>14.23</v>
      </c>
      <c r="AO96" s="53">
        <v>37</v>
      </c>
      <c r="AP96" s="54">
        <v>10.199999999999999</v>
      </c>
      <c r="AQ96" s="54">
        <v>180</v>
      </c>
      <c r="AR96" s="54">
        <v>5.7</v>
      </c>
      <c r="AS96" s="54">
        <v>10.57</v>
      </c>
      <c r="AT96" s="56">
        <v>27</v>
      </c>
      <c r="AU96" s="57">
        <v>130</v>
      </c>
      <c r="AV96" s="56">
        <v>66.092933654785199</v>
      </c>
      <c r="AW96" s="57">
        <v>317.38413936297098</v>
      </c>
      <c r="AX96" s="8"/>
      <c r="AZ96" s="1">
        <v>90</v>
      </c>
    </row>
    <row r="97" spans="3:52" ht="15" customHeight="1" x14ac:dyDescent="0.25">
      <c r="C97" s="42"/>
      <c r="D97" s="43">
        <f>D88</f>
        <v>45695</v>
      </c>
      <c r="E97" s="44">
        <f t="shared" si="9"/>
        <v>6.999999999999992</v>
      </c>
      <c r="F97" s="45">
        <f t="shared" si="8"/>
        <v>45696.000000000196</v>
      </c>
      <c r="G97" s="52" t="s">
        <v>38</v>
      </c>
      <c r="H97" s="53">
        <v>38</v>
      </c>
      <c r="I97" s="54">
        <v>9.9</v>
      </c>
      <c r="J97" s="54">
        <v>200</v>
      </c>
      <c r="K97" s="55">
        <v>6.2</v>
      </c>
      <c r="L97" s="56">
        <v>38</v>
      </c>
      <c r="M97" s="54">
        <v>10.199999999999999</v>
      </c>
      <c r="N97" s="54">
        <v>250</v>
      </c>
      <c r="O97" s="57">
        <v>6.4</v>
      </c>
      <c r="P97" s="53">
        <v>39</v>
      </c>
      <c r="Q97" s="54">
        <v>10.3</v>
      </c>
      <c r="R97" s="55">
        <v>0</v>
      </c>
      <c r="S97" s="55">
        <v>5.4</v>
      </c>
      <c r="T97" s="57">
        <v>16.34</v>
      </c>
      <c r="U97" s="56">
        <v>38</v>
      </c>
      <c r="V97" s="54">
        <v>10.4</v>
      </c>
      <c r="W97" s="55">
        <v>0</v>
      </c>
      <c r="X97" s="55">
        <v>5.5</v>
      </c>
      <c r="Y97" s="57">
        <v>15.19</v>
      </c>
      <c r="Z97" s="53">
        <v>38</v>
      </c>
      <c r="AA97" s="54">
        <v>10.3</v>
      </c>
      <c r="AB97" s="55">
        <v>0</v>
      </c>
      <c r="AC97" s="55">
        <v>5.4</v>
      </c>
      <c r="AD97" s="57">
        <v>12.3</v>
      </c>
      <c r="AE97" s="56">
        <v>37</v>
      </c>
      <c r="AF97" s="54">
        <v>10.4</v>
      </c>
      <c r="AG97" s="55">
        <v>0</v>
      </c>
      <c r="AH97" s="55">
        <v>5.2</v>
      </c>
      <c r="AI97" s="57">
        <v>13.84</v>
      </c>
      <c r="AJ97" s="56">
        <v>37</v>
      </c>
      <c r="AK97" s="54">
        <v>10.1</v>
      </c>
      <c r="AL97" s="54">
        <v>0</v>
      </c>
      <c r="AM97" s="54">
        <v>5.5</v>
      </c>
      <c r="AN97" s="57">
        <v>14.42</v>
      </c>
      <c r="AO97" s="53">
        <v>38</v>
      </c>
      <c r="AP97" s="54">
        <v>10.199999999999999</v>
      </c>
      <c r="AQ97" s="54">
        <v>180</v>
      </c>
      <c r="AR97" s="54">
        <v>5.5</v>
      </c>
      <c r="AS97" s="54">
        <v>10.37</v>
      </c>
      <c r="AT97" s="56">
        <v>28</v>
      </c>
      <c r="AU97" s="57">
        <v>120</v>
      </c>
      <c r="AV97" s="56">
        <v>65.93017578125</v>
      </c>
      <c r="AW97" s="57">
        <v>325.3263649622599</v>
      </c>
      <c r="AX97" s="8"/>
      <c r="AZ97" s="1">
        <v>90</v>
      </c>
    </row>
    <row r="98" spans="3:52" ht="15" customHeight="1" x14ac:dyDescent="0.25">
      <c r="C98" s="42"/>
      <c r="D98" s="43">
        <f>D88</f>
        <v>45695</v>
      </c>
      <c r="E98" s="44">
        <f t="shared" si="9"/>
        <v>7.083333333333325</v>
      </c>
      <c r="F98" s="45">
        <f t="shared" si="8"/>
        <v>45696.083333333532</v>
      </c>
      <c r="G98" s="52">
        <v>37</v>
      </c>
      <c r="H98" s="53">
        <v>37</v>
      </c>
      <c r="I98" s="54">
        <v>9.9</v>
      </c>
      <c r="J98" s="54">
        <v>200</v>
      </c>
      <c r="K98" s="55">
        <v>6.1</v>
      </c>
      <c r="L98" s="56">
        <v>38</v>
      </c>
      <c r="M98" s="54">
        <v>10.199999999999999</v>
      </c>
      <c r="N98" s="54">
        <v>200</v>
      </c>
      <c r="O98" s="57">
        <v>6.2</v>
      </c>
      <c r="P98" s="53">
        <v>38</v>
      </c>
      <c r="Q98" s="54">
        <v>10.199999999999999</v>
      </c>
      <c r="R98" s="55">
        <v>0</v>
      </c>
      <c r="S98" s="55">
        <v>5.5</v>
      </c>
      <c r="T98" s="57">
        <v>16.149999999999999</v>
      </c>
      <c r="U98" s="56">
        <v>37</v>
      </c>
      <c r="V98" s="54">
        <v>10.3</v>
      </c>
      <c r="W98" s="55">
        <v>0</v>
      </c>
      <c r="X98" s="55">
        <v>5.6</v>
      </c>
      <c r="Y98" s="57">
        <v>15.38</v>
      </c>
      <c r="Z98" s="53">
        <v>37</v>
      </c>
      <c r="AA98" s="54">
        <v>10.3</v>
      </c>
      <c r="AB98" s="55">
        <v>0</v>
      </c>
      <c r="AC98" s="55">
        <v>5.6</v>
      </c>
      <c r="AD98" s="57">
        <v>12.5</v>
      </c>
      <c r="AE98" s="56">
        <v>36</v>
      </c>
      <c r="AF98" s="54">
        <v>10.3</v>
      </c>
      <c r="AG98" s="55">
        <v>0</v>
      </c>
      <c r="AH98" s="55">
        <v>5.0999999999999996</v>
      </c>
      <c r="AI98" s="57">
        <v>13.26</v>
      </c>
      <c r="AJ98" s="56">
        <v>36</v>
      </c>
      <c r="AK98" s="54">
        <v>10.1</v>
      </c>
      <c r="AL98" s="54">
        <v>0</v>
      </c>
      <c r="AM98" s="54">
        <v>5.4</v>
      </c>
      <c r="AN98" s="57">
        <v>13.84</v>
      </c>
      <c r="AO98" s="53">
        <v>37</v>
      </c>
      <c r="AP98" s="54">
        <v>10.1</v>
      </c>
      <c r="AQ98" s="54">
        <v>170</v>
      </c>
      <c r="AR98" s="54">
        <v>5.3</v>
      </c>
      <c r="AS98" s="54">
        <v>9.61</v>
      </c>
      <c r="AT98" s="56">
        <v>25</v>
      </c>
      <c r="AU98" s="57">
        <v>120</v>
      </c>
      <c r="AV98" s="56">
        <v>66.495765686035199</v>
      </c>
      <c r="AW98" s="57">
        <v>325.00241161982217</v>
      </c>
      <c r="AX98" s="8"/>
      <c r="AZ98" s="1">
        <v>90</v>
      </c>
    </row>
    <row r="99" spans="3:52" ht="15" customHeight="1" x14ac:dyDescent="0.25">
      <c r="C99" s="42"/>
      <c r="D99" s="69">
        <f>D88</f>
        <v>45695</v>
      </c>
      <c r="E99" s="70">
        <f t="shared" si="9"/>
        <v>7.1666666666666581</v>
      </c>
      <c r="F99" s="71">
        <f t="shared" si="8"/>
        <v>45696.166666666868</v>
      </c>
      <c r="G99" s="60">
        <v>39</v>
      </c>
      <c r="H99" s="61">
        <v>38</v>
      </c>
      <c r="I99" s="62">
        <v>10</v>
      </c>
      <c r="J99" s="62">
        <v>250</v>
      </c>
      <c r="K99" s="63">
        <v>6.3</v>
      </c>
      <c r="L99" s="64">
        <v>39</v>
      </c>
      <c r="M99" s="62">
        <v>10.199999999999999</v>
      </c>
      <c r="N99" s="62">
        <v>250</v>
      </c>
      <c r="O99" s="65">
        <v>6.4</v>
      </c>
      <c r="P99" s="61">
        <v>39</v>
      </c>
      <c r="Q99" s="62">
        <v>10.3</v>
      </c>
      <c r="R99" s="63">
        <v>0</v>
      </c>
      <c r="S99" s="63">
        <v>5.0999999999999996</v>
      </c>
      <c r="T99" s="65">
        <v>15.38</v>
      </c>
      <c r="U99" s="64">
        <v>38</v>
      </c>
      <c r="V99" s="62">
        <v>10.3</v>
      </c>
      <c r="W99" s="63">
        <v>0</v>
      </c>
      <c r="X99" s="63">
        <v>5.2</v>
      </c>
      <c r="Y99" s="65">
        <v>14.61</v>
      </c>
      <c r="Z99" s="61">
        <v>37</v>
      </c>
      <c r="AA99" s="62">
        <v>10.3</v>
      </c>
      <c r="AB99" s="63">
        <v>0</v>
      </c>
      <c r="AC99" s="63">
        <v>5</v>
      </c>
      <c r="AD99" s="65">
        <v>12.5</v>
      </c>
      <c r="AE99" s="64">
        <v>37</v>
      </c>
      <c r="AF99" s="62">
        <v>10.4</v>
      </c>
      <c r="AG99" s="63">
        <v>0</v>
      </c>
      <c r="AH99" s="63">
        <v>5</v>
      </c>
      <c r="AI99" s="65">
        <v>14.23</v>
      </c>
      <c r="AJ99" s="64">
        <v>38</v>
      </c>
      <c r="AK99" s="62">
        <v>10.199999999999999</v>
      </c>
      <c r="AL99" s="62">
        <v>0</v>
      </c>
      <c r="AM99" s="62">
        <v>5.2</v>
      </c>
      <c r="AN99" s="65">
        <v>14.42</v>
      </c>
      <c r="AO99" s="61">
        <v>37</v>
      </c>
      <c r="AP99" s="62">
        <v>10.3</v>
      </c>
      <c r="AQ99" s="62">
        <v>190</v>
      </c>
      <c r="AR99" s="62">
        <v>5.3</v>
      </c>
      <c r="AS99" s="62">
        <v>10.57</v>
      </c>
      <c r="AT99" s="64">
        <v>27</v>
      </c>
      <c r="AU99" s="65">
        <v>140</v>
      </c>
      <c r="AV99" s="64">
        <v>66.40625</v>
      </c>
      <c r="AW99" s="65">
        <v>322.37473508516945</v>
      </c>
      <c r="AX99" s="8"/>
      <c r="AZ99" s="1">
        <v>90</v>
      </c>
    </row>
    <row r="100" spans="3:52" ht="15" customHeight="1" x14ac:dyDescent="0.25">
      <c r="C100" s="42">
        <f>C88+1</f>
        <v>8</v>
      </c>
      <c r="D100" s="66">
        <f>DATE([2]Dash!$F$3,VLOOKUP([2]Dash!$E$3,[2]Abb!$C$3:$D$14,2,FALSE),C100)</f>
        <v>45696</v>
      </c>
      <c r="E100" s="67">
        <f>E99+2/24</f>
        <v>7.2499999999999911</v>
      </c>
      <c r="F100" s="68">
        <f t="shared" si="8"/>
        <v>45696.250000000204</v>
      </c>
      <c r="G100" s="46" t="s">
        <v>38</v>
      </c>
      <c r="H100" s="47">
        <v>38</v>
      </c>
      <c r="I100" s="48">
        <v>10.199999999999999</v>
      </c>
      <c r="J100" s="48">
        <v>200</v>
      </c>
      <c r="K100" s="49">
        <v>6.2</v>
      </c>
      <c r="L100" s="50">
        <v>37</v>
      </c>
      <c r="M100" s="48">
        <v>10.199999999999999</v>
      </c>
      <c r="N100" s="48">
        <v>250</v>
      </c>
      <c r="O100" s="51">
        <v>6.1</v>
      </c>
      <c r="P100" s="47">
        <v>37</v>
      </c>
      <c r="Q100" s="48">
        <v>10.3</v>
      </c>
      <c r="R100" s="49">
        <v>0</v>
      </c>
      <c r="S100" s="49">
        <v>5.7</v>
      </c>
      <c r="T100" s="51">
        <v>17.3</v>
      </c>
      <c r="U100" s="50">
        <v>37</v>
      </c>
      <c r="V100" s="48">
        <v>10.3</v>
      </c>
      <c r="W100" s="49">
        <v>0</v>
      </c>
      <c r="X100" s="49">
        <v>5.2</v>
      </c>
      <c r="Y100" s="51">
        <v>15.19</v>
      </c>
      <c r="Z100" s="47">
        <v>36</v>
      </c>
      <c r="AA100" s="48">
        <v>10.3</v>
      </c>
      <c r="AB100" s="49">
        <v>0</v>
      </c>
      <c r="AC100" s="49">
        <v>5.2</v>
      </c>
      <c r="AD100" s="51">
        <v>12.5</v>
      </c>
      <c r="AE100" s="50">
        <v>36</v>
      </c>
      <c r="AF100" s="48">
        <v>10.3</v>
      </c>
      <c r="AG100" s="49">
        <v>0</v>
      </c>
      <c r="AH100" s="49">
        <v>5.0999999999999996</v>
      </c>
      <c r="AI100" s="51">
        <v>13.46</v>
      </c>
      <c r="AJ100" s="50">
        <v>37</v>
      </c>
      <c r="AK100" s="48">
        <v>10.199999999999999</v>
      </c>
      <c r="AL100" s="48">
        <v>0</v>
      </c>
      <c r="AM100" s="48">
        <v>5.3</v>
      </c>
      <c r="AN100" s="51">
        <v>14.25</v>
      </c>
      <c r="AO100" s="47">
        <v>37</v>
      </c>
      <c r="AP100" s="48">
        <v>10.199999999999999</v>
      </c>
      <c r="AQ100" s="48">
        <v>180</v>
      </c>
      <c r="AR100" s="48">
        <v>5.2</v>
      </c>
      <c r="AS100" s="48">
        <v>10.57</v>
      </c>
      <c r="AT100" s="50">
        <v>24</v>
      </c>
      <c r="AU100" s="51">
        <v>140</v>
      </c>
      <c r="AV100" s="50">
        <v>67.3828125</v>
      </c>
      <c r="AW100" s="51">
        <v>214.96575957934061</v>
      </c>
      <c r="AX100" s="8"/>
      <c r="AZ100" s="1">
        <v>90</v>
      </c>
    </row>
    <row r="101" spans="3:52" ht="15" customHeight="1" x14ac:dyDescent="0.25">
      <c r="C101" s="42"/>
      <c r="D101" s="43">
        <f>D100</f>
        <v>45696</v>
      </c>
      <c r="E101" s="44">
        <f>E100+2/24</f>
        <v>7.3333333333333242</v>
      </c>
      <c r="F101" s="45">
        <f t="shared" si="8"/>
        <v>45696.333333333539</v>
      </c>
      <c r="G101" s="52">
        <v>41</v>
      </c>
      <c r="H101" s="53">
        <v>39</v>
      </c>
      <c r="I101" s="54">
        <v>10.4</v>
      </c>
      <c r="J101" s="54">
        <v>200</v>
      </c>
      <c r="K101" s="55">
        <v>8.3000000000000007</v>
      </c>
      <c r="L101" s="56">
        <v>39</v>
      </c>
      <c r="M101" s="54">
        <v>10.199999999999999</v>
      </c>
      <c r="N101" s="54">
        <v>200</v>
      </c>
      <c r="O101" s="57">
        <v>8.5</v>
      </c>
      <c r="P101" s="53">
        <v>39</v>
      </c>
      <c r="Q101" s="54">
        <v>10.199999999999999</v>
      </c>
      <c r="R101" s="55">
        <v>0</v>
      </c>
      <c r="S101" s="55">
        <v>6.5</v>
      </c>
      <c r="T101" s="57">
        <v>16.3</v>
      </c>
      <c r="U101" s="56">
        <v>39</v>
      </c>
      <c r="V101" s="54">
        <v>10.3</v>
      </c>
      <c r="W101" s="55">
        <v>0</v>
      </c>
      <c r="X101" s="55">
        <v>7.5</v>
      </c>
      <c r="Y101" s="57">
        <v>15.3</v>
      </c>
      <c r="Z101" s="53">
        <v>38</v>
      </c>
      <c r="AA101" s="54">
        <v>10.3</v>
      </c>
      <c r="AB101" s="55">
        <v>0</v>
      </c>
      <c r="AC101" s="55">
        <v>7.5</v>
      </c>
      <c r="AD101" s="57">
        <v>12.5</v>
      </c>
      <c r="AE101" s="56">
        <v>38</v>
      </c>
      <c r="AF101" s="54">
        <v>10.3</v>
      </c>
      <c r="AG101" s="55">
        <v>0</v>
      </c>
      <c r="AH101" s="55">
        <v>6.9</v>
      </c>
      <c r="AI101" s="57">
        <v>13.4</v>
      </c>
      <c r="AJ101" s="56">
        <v>38</v>
      </c>
      <c r="AK101" s="54">
        <v>10.3</v>
      </c>
      <c r="AL101" s="54">
        <v>0</v>
      </c>
      <c r="AM101" s="54">
        <v>7.1</v>
      </c>
      <c r="AN101" s="57">
        <v>14.4</v>
      </c>
      <c r="AO101" s="53">
        <v>38</v>
      </c>
      <c r="AP101" s="54">
        <v>10</v>
      </c>
      <c r="AQ101" s="54">
        <v>0</v>
      </c>
      <c r="AR101" s="54">
        <v>7.2</v>
      </c>
      <c r="AS101" s="54">
        <v>10.5</v>
      </c>
      <c r="AT101" s="56">
        <v>21</v>
      </c>
      <c r="AU101" s="57">
        <v>110</v>
      </c>
      <c r="AV101" s="56">
        <v>66.776527404785199</v>
      </c>
      <c r="AW101" s="57">
        <v>330.103684425354</v>
      </c>
      <c r="AX101" s="8"/>
      <c r="AZ101" s="1">
        <v>90</v>
      </c>
    </row>
    <row r="102" spans="3:52" ht="15" customHeight="1" x14ac:dyDescent="0.25">
      <c r="C102" s="42"/>
      <c r="D102" s="43">
        <f>D100</f>
        <v>45696</v>
      </c>
      <c r="E102" s="44">
        <f t="shared" ref="E102:E111" si="10">E101+2/24</f>
        <v>7.4166666666666572</v>
      </c>
      <c r="F102" s="45">
        <f t="shared" si="8"/>
        <v>45696.416666666875</v>
      </c>
      <c r="G102" s="52">
        <v>38</v>
      </c>
      <c r="H102" s="53">
        <v>38</v>
      </c>
      <c r="I102" s="54">
        <v>10.3</v>
      </c>
      <c r="J102" s="54">
        <v>200</v>
      </c>
      <c r="K102" s="55">
        <v>8.1999999999999993</v>
      </c>
      <c r="L102" s="56">
        <v>40</v>
      </c>
      <c r="M102" s="54">
        <v>10.199999999999999</v>
      </c>
      <c r="N102" s="54">
        <v>200</v>
      </c>
      <c r="O102" s="57">
        <v>8.4</v>
      </c>
      <c r="P102" s="53">
        <v>38</v>
      </c>
      <c r="Q102" s="54">
        <v>10.199999999999999</v>
      </c>
      <c r="R102" s="55">
        <v>0</v>
      </c>
      <c r="S102" s="55">
        <v>6.2</v>
      </c>
      <c r="T102" s="57">
        <v>17.3</v>
      </c>
      <c r="U102" s="56">
        <v>39</v>
      </c>
      <c r="V102" s="54">
        <v>10.199999999999999</v>
      </c>
      <c r="W102" s="55">
        <v>0</v>
      </c>
      <c r="X102" s="55">
        <v>7.5</v>
      </c>
      <c r="Y102" s="57">
        <v>16.3</v>
      </c>
      <c r="Z102" s="53">
        <v>39</v>
      </c>
      <c r="AA102" s="54">
        <v>10.199999999999999</v>
      </c>
      <c r="AB102" s="55">
        <v>0</v>
      </c>
      <c r="AC102" s="55">
        <v>7.5</v>
      </c>
      <c r="AD102" s="57">
        <v>13.4</v>
      </c>
      <c r="AE102" s="56">
        <v>35</v>
      </c>
      <c r="AF102" s="54">
        <v>10.199999999999999</v>
      </c>
      <c r="AG102" s="55">
        <v>0</v>
      </c>
      <c r="AH102" s="55">
        <v>6.7</v>
      </c>
      <c r="AI102" s="57">
        <v>12.5</v>
      </c>
      <c r="AJ102" s="56">
        <v>39</v>
      </c>
      <c r="AK102" s="54">
        <v>10.3</v>
      </c>
      <c r="AL102" s="54">
        <v>0</v>
      </c>
      <c r="AM102" s="54">
        <v>7.1</v>
      </c>
      <c r="AN102" s="57">
        <v>15.3</v>
      </c>
      <c r="AO102" s="53">
        <v>37</v>
      </c>
      <c r="AP102" s="54">
        <v>10.199999999999999</v>
      </c>
      <c r="AQ102" s="54">
        <v>0</v>
      </c>
      <c r="AR102" s="54">
        <v>7.1</v>
      </c>
      <c r="AS102" s="54">
        <v>13.4</v>
      </c>
      <c r="AT102" s="56">
        <v>27</v>
      </c>
      <c r="AU102" s="57">
        <v>130</v>
      </c>
      <c r="AV102" s="56">
        <v>67.37060546875</v>
      </c>
      <c r="AW102" s="57">
        <v>329.06840723355612</v>
      </c>
      <c r="AX102" s="8"/>
      <c r="AZ102" s="1">
        <v>90</v>
      </c>
    </row>
    <row r="103" spans="3:52" ht="15" customHeight="1" x14ac:dyDescent="0.25">
      <c r="C103" s="42"/>
      <c r="D103" s="43">
        <f>D100</f>
        <v>45696</v>
      </c>
      <c r="E103" s="44">
        <f t="shared" si="10"/>
        <v>7.4999999999999902</v>
      </c>
      <c r="F103" s="45">
        <f t="shared" si="8"/>
        <v>45696.500000000211</v>
      </c>
      <c r="G103" s="52">
        <v>39</v>
      </c>
      <c r="H103" s="53">
        <v>40</v>
      </c>
      <c r="I103" s="54">
        <v>11.5</v>
      </c>
      <c r="J103" s="54">
        <v>200</v>
      </c>
      <c r="K103" s="55">
        <v>8.1999999999999993</v>
      </c>
      <c r="L103" s="56">
        <v>41</v>
      </c>
      <c r="M103" s="54">
        <v>10.5</v>
      </c>
      <c r="N103" s="54">
        <v>200</v>
      </c>
      <c r="O103" s="57">
        <v>8.6</v>
      </c>
      <c r="P103" s="53">
        <v>38</v>
      </c>
      <c r="Q103" s="54">
        <v>10.1</v>
      </c>
      <c r="R103" s="55">
        <v>0</v>
      </c>
      <c r="S103" s="55">
        <v>6</v>
      </c>
      <c r="T103" s="57">
        <v>17.3</v>
      </c>
      <c r="U103" s="56">
        <v>39</v>
      </c>
      <c r="V103" s="54">
        <v>10.3</v>
      </c>
      <c r="W103" s="55">
        <v>0</v>
      </c>
      <c r="X103" s="55">
        <v>7.2</v>
      </c>
      <c r="Y103" s="57">
        <v>16.34</v>
      </c>
      <c r="Z103" s="53">
        <v>40</v>
      </c>
      <c r="AA103" s="54">
        <v>10.3</v>
      </c>
      <c r="AB103" s="55">
        <v>0</v>
      </c>
      <c r="AC103" s="55">
        <v>7.2</v>
      </c>
      <c r="AD103" s="57">
        <v>13.45</v>
      </c>
      <c r="AE103" s="56">
        <v>40</v>
      </c>
      <c r="AF103" s="54">
        <v>10.3</v>
      </c>
      <c r="AG103" s="55">
        <v>0</v>
      </c>
      <c r="AH103" s="55">
        <v>6.3</v>
      </c>
      <c r="AI103" s="57">
        <v>13.46</v>
      </c>
      <c r="AJ103" s="56">
        <v>40</v>
      </c>
      <c r="AK103" s="54">
        <v>10.3</v>
      </c>
      <c r="AL103" s="54">
        <v>0</v>
      </c>
      <c r="AM103" s="54">
        <v>6.9</v>
      </c>
      <c r="AN103" s="57">
        <v>14.42</v>
      </c>
      <c r="AO103" s="53">
        <v>36</v>
      </c>
      <c r="AP103" s="54">
        <v>10.3</v>
      </c>
      <c r="AQ103" s="54">
        <v>0</v>
      </c>
      <c r="AR103" s="54">
        <v>7</v>
      </c>
      <c r="AS103" s="54">
        <v>15</v>
      </c>
      <c r="AT103" s="56">
        <v>27</v>
      </c>
      <c r="AU103" s="57">
        <v>120</v>
      </c>
      <c r="AV103" s="56">
        <v>64.823410034179702</v>
      </c>
      <c r="AW103" s="57">
        <v>327.13927373886111</v>
      </c>
      <c r="AX103" s="8"/>
      <c r="AZ103" s="1">
        <v>90</v>
      </c>
    </row>
    <row r="104" spans="3:52" ht="15" customHeight="1" x14ac:dyDescent="0.25">
      <c r="C104" s="42"/>
      <c r="D104" s="43">
        <f>D100</f>
        <v>45696</v>
      </c>
      <c r="E104" s="44">
        <f t="shared" si="10"/>
        <v>7.5833333333333233</v>
      </c>
      <c r="F104" s="45">
        <f t="shared" si="8"/>
        <v>45696.583333333547</v>
      </c>
      <c r="G104" s="52">
        <v>0</v>
      </c>
      <c r="H104" s="53">
        <v>40</v>
      </c>
      <c r="I104" s="54">
        <v>11.1</v>
      </c>
      <c r="J104" s="54">
        <v>200</v>
      </c>
      <c r="K104" s="55">
        <v>7.9</v>
      </c>
      <c r="L104" s="56">
        <v>41</v>
      </c>
      <c r="M104" s="54">
        <v>10.5</v>
      </c>
      <c r="N104" s="54">
        <v>200</v>
      </c>
      <c r="O104" s="57">
        <v>8.4</v>
      </c>
      <c r="P104" s="53">
        <v>39</v>
      </c>
      <c r="Q104" s="54">
        <v>10.1</v>
      </c>
      <c r="R104" s="55">
        <v>0</v>
      </c>
      <c r="S104" s="55">
        <v>5.9</v>
      </c>
      <c r="T104" s="57">
        <v>17.3</v>
      </c>
      <c r="U104" s="56">
        <v>36</v>
      </c>
      <c r="V104" s="54">
        <v>10.3</v>
      </c>
      <c r="W104" s="55">
        <v>0</v>
      </c>
      <c r="X104" s="55">
        <v>7</v>
      </c>
      <c r="Y104" s="57">
        <v>16.3</v>
      </c>
      <c r="Z104" s="53">
        <v>40</v>
      </c>
      <c r="AA104" s="54">
        <v>10.199999999999999</v>
      </c>
      <c r="AB104" s="55">
        <v>0</v>
      </c>
      <c r="AC104" s="55">
        <v>6.7</v>
      </c>
      <c r="AD104" s="57">
        <v>13.46</v>
      </c>
      <c r="AE104" s="56">
        <v>38</v>
      </c>
      <c r="AF104" s="54">
        <v>10.199999999999999</v>
      </c>
      <c r="AG104" s="55">
        <v>0</v>
      </c>
      <c r="AH104" s="55">
        <v>6.2</v>
      </c>
      <c r="AI104" s="57">
        <v>13.46</v>
      </c>
      <c r="AJ104" s="56">
        <v>37</v>
      </c>
      <c r="AK104" s="54">
        <v>10.3</v>
      </c>
      <c r="AL104" s="54">
        <v>0</v>
      </c>
      <c r="AM104" s="54">
        <v>6.9</v>
      </c>
      <c r="AN104" s="57">
        <v>14.42</v>
      </c>
      <c r="AO104" s="53">
        <v>37</v>
      </c>
      <c r="AP104" s="54">
        <v>10.3</v>
      </c>
      <c r="AQ104" s="54">
        <v>0</v>
      </c>
      <c r="AR104" s="54">
        <v>6.7</v>
      </c>
      <c r="AS104" s="54">
        <v>15</v>
      </c>
      <c r="AT104" s="56">
        <v>0</v>
      </c>
      <c r="AU104" s="57">
        <v>0</v>
      </c>
      <c r="AV104" s="56">
        <v>67.240394592285199</v>
      </c>
      <c r="AW104" s="57">
        <v>325.00446017583209</v>
      </c>
      <c r="AX104" s="8"/>
      <c r="AZ104" s="1">
        <v>90</v>
      </c>
    </row>
    <row r="105" spans="3:52" ht="15" customHeight="1" x14ac:dyDescent="0.25">
      <c r="C105" s="42"/>
      <c r="D105" s="43">
        <f>D100</f>
        <v>45696</v>
      </c>
      <c r="E105" s="44">
        <f t="shared" si="10"/>
        <v>7.6666666666666563</v>
      </c>
      <c r="F105" s="45">
        <f t="shared" si="8"/>
        <v>45696.666666666883</v>
      </c>
      <c r="G105" s="52">
        <v>0</v>
      </c>
      <c r="H105" s="53">
        <v>40</v>
      </c>
      <c r="I105" s="54">
        <v>11.1</v>
      </c>
      <c r="J105" s="54">
        <v>250</v>
      </c>
      <c r="K105" s="55">
        <v>7.9</v>
      </c>
      <c r="L105" s="56">
        <v>40</v>
      </c>
      <c r="M105" s="54">
        <v>10.5</v>
      </c>
      <c r="N105" s="54">
        <v>200</v>
      </c>
      <c r="O105" s="57">
        <v>8.1999999999999993</v>
      </c>
      <c r="P105" s="53">
        <v>39</v>
      </c>
      <c r="Q105" s="54">
        <v>10.1</v>
      </c>
      <c r="R105" s="55">
        <v>0</v>
      </c>
      <c r="S105" s="55">
        <v>5.6</v>
      </c>
      <c r="T105" s="57">
        <v>17.3</v>
      </c>
      <c r="U105" s="56">
        <v>39</v>
      </c>
      <c r="V105" s="54">
        <v>10.3</v>
      </c>
      <c r="W105" s="55">
        <v>0</v>
      </c>
      <c r="X105" s="55">
        <v>7</v>
      </c>
      <c r="Y105" s="57">
        <v>14.3</v>
      </c>
      <c r="Z105" s="53">
        <v>40</v>
      </c>
      <c r="AA105" s="54">
        <v>10.199999999999999</v>
      </c>
      <c r="AB105" s="55">
        <v>0</v>
      </c>
      <c r="AC105" s="55">
        <v>6.6</v>
      </c>
      <c r="AD105" s="57">
        <v>13.4</v>
      </c>
      <c r="AE105" s="56">
        <v>38</v>
      </c>
      <c r="AF105" s="54">
        <v>10.199999999999999</v>
      </c>
      <c r="AG105" s="55">
        <v>0</v>
      </c>
      <c r="AH105" s="55">
        <v>5.9</v>
      </c>
      <c r="AI105" s="57">
        <v>13.4</v>
      </c>
      <c r="AJ105" s="56">
        <v>38</v>
      </c>
      <c r="AK105" s="54">
        <v>10.199999999999999</v>
      </c>
      <c r="AL105" s="54">
        <v>0</v>
      </c>
      <c r="AM105" s="54">
        <v>6.5</v>
      </c>
      <c r="AN105" s="57">
        <v>15.3</v>
      </c>
      <c r="AO105" s="53">
        <v>38</v>
      </c>
      <c r="AP105" s="54">
        <v>10.3</v>
      </c>
      <c r="AQ105" s="54">
        <v>0</v>
      </c>
      <c r="AR105" s="54">
        <v>6.5</v>
      </c>
      <c r="AS105" s="54">
        <v>14.4</v>
      </c>
      <c r="AT105" s="56">
        <v>0</v>
      </c>
      <c r="AU105" s="57">
        <v>0</v>
      </c>
      <c r="AV105" s="56">
        <v>66.617835998535199</v>
      </c>
      <c r="AW105" s="57">
        <v>327.60259923934939</v>
      </c>
      <c r="AX105" s="8"/>
      <c r="AZ105" s="1">
        <v>90</v>
      </c>
    </row>
    <row r="106" spans="3:52" ht="15" customHeight="1" x14ac:dyDescent="0.25">
      <c r="C106" s="42"/>
      <c r="D106" s="43">
        <f>D100</f>
        <v>45696</v>
      </c>
      <c r="E106" s="44">
        <f t="shared" si="10"/>
        <v>7.7499999999999893</v>
      </c>
      <c r="F106" s="45">
        <f t="shared" si="8"/>
        <v>45696.750000000218</v>
      </c>
      <c r="G106" s="52">
        <v>0</v>
      </c>
      <c r="H106" s="53">
        <v>40</v>
      </c>
      <c r="I106" s="54">
        <v>11</v>
      </c>
      <c r="J106" s="54">
        <v>250</v>
      </c>
      <c r="K106" s="55">
        <v>7.2</v>
      </c>
      <c r="L106" s="56">
        <v>39</v>
      </c>
      <c r="M106" s="54">
        <v>10.5</v>
      </c>
      <c r="N106" s="54">
        <v>200</v>
      </c>
      <c r="O106" s="57">
        <v>8</v>
      </c>
      <c r="P106" s="53">
        <v>38</v>
      </c>
      <c r="Q106" s="54">
        <v>10.1</v>
      </c>
      <c r="R106" s="55">
        <v>0</v>
      </c>
      <c r="S106" s="55">
        <v>5.6</v>
      </c>
      <c r="T106" s="57">
        <v>17.3</v>
      </c>
      <c r="U106" s="56">
        <v>38</v>
      </c>
      <c r="V106" s="54">
        <v>10.3</v>
      </c>
      <c r="W106" s="55">
        <v>0</v>
      </c>
      <c r="X106" s="55">
        <v>6.7</v>
      </c>
      <c r="Y106" s="57">
        <v>15.57</v>
      </c>
      <c r="Z106" s="53">
        <v>39</v>
      </c>
      <c r="AA106" s="54">
        <v>10.220000000000001</v>
      </c>
      <c r="AB106" s="55">
        <v>0</v>
      </c>
      <c r="AC106" s="55">
        <v>5.9</v>
      </c>
      <c r="AD106" s="57">
        <v>14.23</v>
      </c>
      <c r="AE106" s="56">
        <v>37</v>
      </c>
      <c r="AF106" s="54">
        <v>10.199999999999999</v>
      </c>
      <c r="AG106" s="55">
        <v>0</v>
      </c>
      <c r="AH106" s="55">
        <v>5.6</v>
      </c>
      <c r="AI106" s="57">
        <v>13.65</v>
      </c>
      <c r="AJ106" s="56">
        <v>37</v>
      </c>
      <c r="AK106" s="54">
        <v>10.199999999999999</v>
      </c>
      <c r="AL106" s="54">
        <v>0</v>
      </c>
      <c r="AM106" s="54">
        <v>6.2</v>
      </c>
      <c r="AN106" s="57">
        <v>15</v>
      </c>
      <c r="AO106" s="53">
        <v>36</v>
      </c>
      <c r="AP106" s="54">
        <v>10.199999999999999</v>
      </c>
      <c r="AQ106" s="54">
        <v>190</v>
      </c>
      <c r="AR106" s="54">
        <v>6.1</v>
      </c>
      <c r="AS106" s="54">
        <v>18.260000000000002</v>
      </c>
      <c r="AT106" s="56">
        <v>0</v>
      </c>
      <c r="AU106" s="57">
        <v>0</v>
      </c>
      <c r="AV106" s="56">
        <v>64.07470703125</v>
      </c>
      <c r="AW106" s="57">
        <v>330.30695412953696</v>
      </c>
      <c r="AX106" s="8"/>
      <c r="AZ106" s="1">
        <v>90</v>
      </c>
    </row>
    <row r="107" spans="3:52" ht="15" customHeight="1" x14ac:dyDescent="0.25">
      <c r="C107" s="42"/>
      <c r="D107" s="43">
        <f>D100</f>
        <v>45696</v>
      </c>
      <c r="E107" s="44">
        <f t="shared" si="10"/>
        <v>7.8333333333333224</v>
      </c>
      <c r="F107" s="45">
        <f t="shared" si="8"/>
        <v>45696.833333333554</v>
      </c>
      <c r="G107" s="52" t="s">
        <v>38</v>
      </c>
      <c r="H107" s="53">
        <v>40</v>
      </c>
      <c r="I107" s="54">
        <v>11</v>
      </c>
      <c r="J107" s="54">
        <v>250</v>
      </c>
      <c r="K107" s="55">
        <v>7.2</v>
      </c>
      <c r="L107" s="56">
        <v>39</v>
      </c>
      <c r="M107" s="54">
        <v>10.5</v>
      </c>
      <c r="N107" s="54">
        <v>200</v>
      </c>
      <c r="O107" s="57">
        <v>8</v>
      </c>
      <c r="P107" s="53">
        <v>38</v>
      </c>
      <c r="Q107" s="54">
        <v>10.1</v>
      </c>
      <c r="R107" s="55">
        <v>0</v>
      </c>
      <c r="S107" s="55">
        <v>5.6</v>
      </c>
      <c r="T107" s="57">
        <v>17.3</v>
      </c>
      <c r="U107" s="56">
        <v>38</v>
      </c>
      <c r="V107" s="54">
        <v>10.3</v>
      </c>
      <c r="W107" s="55">
        <v>0</v>
      </c>
      <c r="X107" s="55">
        <v>6.7</v>
      </c>
      <c r="Y107" s="57">
        <v>15.57</v>
      </c>
      <c r="Z107" s="53">
        <v>39</v>
      </c>
      <c r="AA107" s="54">
        <v>10.220000000000001</v>
      </c>
      <c r="AB107" s="55">
        <v>0</v>
      </c>
      <c r="AC107" s="55">
        <v>5.9</v>
      </c>
      <c r="AD107" s="57">
        <v>14.23</v>
      </c>
      <c r="AE107" s="56">
        <v>37</v>
      </c>
      <c r="AF107" s="54">
        <v>10.199999999999999</v>
      </c>
      <c r="AG107" s="55">
        <v>0</v>
      </c>
      <c r="AH107" s="55">
        <v>5.6</v>
      </c>
      <c r="AI107" s="57">
        <v>13.65</v>
      </c>
      <c r="AJ107" s="56">
        <v>37</v>
      </c>
      <c r="AK107" s="54">
        <v>10.199999999999999</v>
      </c>
      <c r="AL107" s="54">
        <v>0</v>
      </c>
      <c r="AM107" s="54">
        <v>6.2</v>
      </c>
      <c r="AN107" s="57">
        <v>14.42</v>
      </c>
      <c r="AO107" s="53">
        <v>36</v>
      </c>
      <c r="AP107" s="54">
        <v>10.199999999999999</v>
      </c>
      <c r="AQ107" s="54">
        <v>190</v>
      </c>
      <c r="AR107" s="54">
        <v>6.1</v>
      </c>
      <c r="AS107" s="54">
        <v>18.260000000000002</v>
      </c>
      <c r="AT107" s="56" t="s">
        <v>38</v>
      </c>
      <c r="AU107" s="57" t="s">
        <v>38</v>
      </c>
      <c r="AV107" s="56">
        <v>66.90673828125</v>
      </c>
      <c r="AW107" s="57">
        <v>324.89293940862018</v>
      </c>
      <c r="AX107" s="8"/>
      <c r="AZ107" s="1">
        <v>90</v>
      </c>
    </row>
    <row r="108" spans="3:52" ht="15" customHeight="1" x14ac:dyDescent="0.25">
      <c r="C108" s="42"/>
      <c r="D108" s="43">
        <f>D100</f>
        <v>45696</v>
      </c>
      <c r="E108" s="44">
        <f t="shared" si="10"/>
        <v>7.9166666666666554</v>
      </c>
      <c r="F108" s="45">
        <f t="shared" si="8"/>
        <v>45696.91666666689</v>
      </c>
      <c r="G108" s="52" t="s">
        <v>38</v>
      </c>
      <c r="H108" s="53">
        <v>40</v>
      </c>
      <c r="I108" s="54">
        <v>11</v>
      </c>
      <c r="J108" s="54">
        <v>250</v>
      </c>
      <c r="K108" s="55">
        <v>7.2</v>
      </c>
      <c r="L108" s="56">
        <v>39</v>
      </c>
      <c r="M108" s="54">
        <v>10.5</v>
      </c>
      <c r="N108" s="54">
        <v>200</v>
      </c>
      <c r="O108" s="57">
        <v>8</v>
      </c>
      <c r="P108" s="53">
        <v>38</v>
      </c>
      <c r="Q108" s="54">
        <v>10.1</v>
      </c>
      <c r="R108" s="55">
        <v>0</v>
      </c>
      <c r="S108" s="55">
        <v>5.6</v>
      </c>
      <c r="T108" s="57">
        <v>17.3</v>
      </c>
      <c r="U108" s="56">
        <v>38</v>
      </c>
      <c r="V108" s="54">
        <v>10.3</v>
      </c>
      <c r="W108" s="55">
        <v>0</v>
      </c>
      <c r="X108" s="55">
        <v>6.7</v>
      </c>
      <c r="Y108" s="57">
        <v>15.57</v>
      </c>
      <c r="Z108" s="53">
        <v>39</v>
      </c>
      <c r="AA108" s="54">
        <v>10.220000000000001</v>
      </c>
      <c r="AB108" s="55">
        <v>0</v>
      </c>
      <c r="AC108" s="55">
        <v>5.9</v>
      </c>
      <c r="AD108" s="57">
        <v>14.23</v>
      </c>
      <c r="AE108" s="56">
        <v>37</v>
      </c>
      <c r="AF108" s="54">
        <v>10.199999999999999</v>
      </c>
      <c r="AG108" s="55">
        <v>0</v>
      </c>
      <c r="AH108" s="55">
        <v>5.6</v>
      </c>
      <c r="AI108" s="57">
        <v>13.65</v>
      </c>
      <c r="AJ108" s="56">
        <v>37</v>
      </c>
      <c r="AK108" s="54">
        <v>10.199999999999999</v>
      </c>
      <c r="AL108" s="54">
        <v>0</v>
      </c>
      <c r="AM108" s="54">
        <v>6.2</v>
      </c>
      <c r="AN108" s="57">
        <v>14.42</v>
      </c>
      <c r="AO108" s="53">
        <v>36</v>
      </c>
      <c r="AP108" s="54">
        <v>10.199999999999999</v>
      </c>
      <c r="AQ108" s="54">
        <v>190</v>
      </c>
      <c r="AR108" s="54">
        <v>6.1</v>
      </c>
      <c r="AS108" s="54">
        <v>18.260000000000002</v>
      </c>
      <c r="AT108" s="56" t="s">
        <v>38</v>
      </c>
      <c r="AU108" s="57" t="s">
        <v>38</v>
      </c>
      <c r="AV108" s="56">
        <v>69.132484436035199</v>
      </c>
      <c r="AW108" s="57">
        <v>319.1886087109645</v>
      </c>
      <c r="AX108" s="8"/>
      <c r="AZ108" s="1">
        <v>90</v>
      </c>
    </row>
    <row r="109" spans="3:52" ht="15" customHeight="1" x14ac:dyDescent="0.25">
      <c r="C109" s="42"/>
      <c r="D109" s="43">
        <f>D100</f>
        <v>45696</v>
      </c>
      <c r="E109" s="44">
        <f t="shared" si="10"/>
        <v>7.9999999999999885</v>
      </c>
      <c r="F109" s="45">
        <f t="shared" si="8"/>
        <v>45697.000000000226</v>
      </c>
      <c r="G109" s="52">
        <v>36</v>
      </c>
      <c r="H109" s="53">
        <v>38</v>
      </c>
      <c r="I109" s="54">
        <v>10.9</v>
      </c>
      <c r="J109" s="54">
        <v>200</v>
      </c>
      <c r="K109" s="55">
        <v>7.2</v>
      </c>
      <c r="L109" s="56">
        <v>36</v>
      </c>
      <c r="M109" s="54">
        <v>10.5</v>
      </c>
      <c r="N109" s="54">
        <v>200</v>
      </c>
      <c r="O109" s="57">
        <v>7.4</v>
      </c>
      <c r="P109" s="53">
        <v>37</v>
      </c>
      <c r="Q109" s="54">
        <v>10.199999999999999</v>
      </c>
      <c r="R109" s="55">
        <v>0</v>
      </c>
      <c r="S109" s="55">
        <v>6.9</v>
      </c>
      <c r="T109" s="57">
        <v>17.3</v>
      </c>
      <c r="U109" s="56">
        <v>37</v>
      </c>
      <c r="V109" s="54">
        <v>10.199999999999999</v>
      </c>
      <c r="W109" s="55">
        <v>0</v>
      </c>
      <c r="X109" s="55">
        <v>6.5</v>
      </c>
      <c r="Y109" s="57">
        <v>16.34</v>
      </c>
      <c r="Z109" s="53">
        <v>38</v>
      </c>
      <c r="AA109" s="54">
        <v>10.3</v>
      </c>
      <c r="AB109" s="55">
        <v>0</v>
      </c>
      <c r="AC109" s="55">
        <v>5.9</v>
      </c>
      <c r="AD109" s="57">
        <v>13.46</v>
      </c>
      <c r="AE109" s="56">
        <v>36</v>
      </c>
      <c r="AF109" s="54">
        <v>10.199999999999999</v>
      </c>
      <c r="AG109" s="55">
        <v>0</v>
      </c>
      <c r="AH109" s="55">
        <v>5.8</v>
      </c>
      <c r="AI109" s="57">
        <v>11.53</v>
      </c>
      <c r="AJ109" s="56">
        <v>37</v>
      </c>
      <c r="AK109" s="54">
        <v>10.3</v>
      </c>
      <c r="AL109" s="54">
        <v>0</v>
      </c>
      <c r="AM109" s="54">
        <v>5.5</v>
      </c>
      <c r="AN109" s="57">
        <v>14.42</v>
      </c>
      <c r="AO109" s="53">
        <v>37</v>
      </c>
      <c r="AP109" s="54">
        <v>10.4</v>
      </c>
      <c r="AQ109" s="54">
        <v>160</v>
      </c>
      <c r="AR109" s="54">
        <v>5.4</v>
      </c>
      <c r="AS109" s="54">
        <v>18.260000000000002</v>
      </c>
      <c r="AT109" s="56" t="s">
        <v>38</v>
      </c>
      <c r="AU109" s="57" t="s">
        <v>38</v>
      </c>
      <c r="AV109" s="56">
        <v>67.390945434570298</v>
      </c>
      <c r="AW109" s="57">
        <v>317.88568188411494</v>
      </c>
      <c r="AX109" s="8"/>
      <c r="AZ109" s="1">
        <v>90</v>
      </c>
    </row>
    <row r="110" spans="3:52" ht="15" customHeight="1" x14ac:dyDescent="0.25">
      <c r="C110" s="42"/>
      <c r="D110" s="43">
        <f>D100</f>
        <v>45696</v>
      </c>
      <c r="E110" s="44">
        <f t="shared" si="10"/>
        <v>8.0833333333333215</v>
      </c>
      <c r="F110" s="45">
        <f t="shared" si="8"/>
        <v>45697.083333333561</v>
      </c>
      <c r="G110" s="52">
        <v>35</v>
      </c>
      <c r="H110" s="53">
        <v>37</v>
      </c>
      <c r="I110" s="54">
        <v>10.9</v>
      </c>
      <c r="J110" s="54">
        <v>200</v>
      </c>
      <c r="K110" s="55">
        <v>6.9</v>
      </c>
      <c r="L110" s="56">
        <v>36</v>
      </c>
      <c r="M110" s="54">
        <v>10.5</v>
      </c>
      <c r="N110" s="54">
        <v>200</v>
      </c>
      <c r="O110" s="57">
        <v>7.9</v>
      </c>
      <c r="P110" s="53">
        <v>37</v>
      </c>
      <c r="Q110" s="54">
        <v>10.199999999999999</v>
      </c>
      <c r="R110" s="55">
        <v>0</v>
      </c>
      <c r="S110" s="55">
        <v>6.7</v>
      </c>
      <c r="T110" s="57">
        <v>16.53</v>
      </c>
      <c r="U110" s="56">
        <v>37</v>
      </c>
      <c r="V110" s="54">
        <v>10.199999999999999</v>
      </c>
      <c r="W110" s="55">
        <v>0</v>
      </c>
      <c r="X110" s="55">
        <v>6.3</v>
      </c>
      <c r="Y110" s="57">
        <v>16.34</v>
      </c>
      <c r="Z110" s="53">
        <v>37</v>
      </c>
      <c r="AA110" s="54">
        <v>10.3</v>
      </c>
      <c r="AB110" s="55">
        <v>0</v>
      </c>
      <c r="AC110" s="55">
        <v>5.7</v>
      </c>
      <c r="AD110" s="57">
        <v>13.26</v>
      </c>
      <c r="AE110" s="56">
        <v>36</v>
      </c>
      <c r="AF110" s="54">
        <v>10.3</v>
      </c>
      <c r="AG110" s="55">
        <v>0</v>
      </c>
      <c r="AH110" s="55">
        <v>5.9</v>
      </c>
      <c r="AI110" s="57">
        <v>12.5</v>
      </c>
      <c r="AJ110" s="56">
        <v>35</v>
      </c>
      <c r="AK110" s="54">
        <v>10.3</v>
      </c>
      <c r="AL110" s="54">
        <v>0</v>
      </c>
      <c r="AM110" s="54">
        <v>5.3</v>
      </c>
      <c r="AN110" s="57">
        <v>14.42</v>
      </c>
      <c r="AO110" s="53">
        <v>35</v>
      </c>
      <c r="AP110" s="54">
        <v>10.4</v>
      </c>
      <c r="AQ110" s="54">
        <v>160</v>
      </c>
      <c r="AR110" s="54">
        <v>5.5</v>
      </c>
      <c r="AS110" s="54">
        <v>17.3</v>
      </c>
      <c r="AT110" s="56">
        <v>29</v>
      </c>
      <c r="AU110" s="57">
        <v>120</v>
      </c>
      <c r="AV110" s="56">
        <v>68.330886840820298</v>
      </c>
      <c r="AW110" s="57">
        <v>315.85611974162362</v>
      </c>
      <c r="AX110" s="8"/>
      <c r="AZ110" s="1">
        <v>90</v>
      </c>
    </row>
    <row r="111" spans="3:52" ht="15" customHeight="1" x14ac:dyDescent="0.25">
      <c r="C111" s="42"/>
      <c r="D111" s="69">
        <f>D100</f>
        <v>45696</v>
      </c>
      <c r="E111" s="70">
        <f t="shared" si="10"/>
        <v>8.1666666666666554</v>
      </c>
      <c r="F111" s="71">
        <f t="shared" si="8"/>
        <v>45697.166666666897</v>
      </c>
      <c r="G111" s="60" t="s">
        <v>38</v>
      </c>
      <c r="H111" s="61">
        <v>38</v>
      </c>
      <c r="I111" s="62">
        <v>10.9</v>
      </c>
      <c r="J111" s="62">
        <v>200</v>
      </c>
      <c r="K111" s="63">
        <v>6.7</v>
      </c>
      <c r="L111" s="64">
        <v>37</v>
      </c>
      <c r="M111" s="62">
        <v>10.5</v>
      </c>
      <c r="N111" s="62">
        <v>200</v>
      </c>
      <c r="O111" s="65">
        <v>7.3</v>
      </c>
      <c r="P111" s="61">
        <v>38</v>
      </c>
      <c r="Q111" s="62">
        <v>10.1</v>
      </c>
      <c r="R111" s="63">
        <v>0</v>
      </c>
      <c r="S111" s="63">
        <v>6.5</v>
      </c>
      <c r="T111" s="65">
        <v>17.11</v>
      </c>
      <c r="U111" s="64">
        <v>37</v>
      </c>
      <c r="V111" s="62">
        <v>10.199999999999999</v>
      </c>
      <c r="W111" s="63">
        <v>0</v>
      </c>
      <c r="X111" s="63">
        <v>6.1</v>
      </c>
      <c r="Y111" s="65">
        <v>15.76</v>
      </c>
      <c r="Z111" s="61">
        <v>37</v>
      </c>
      <c r="AA111" s="62">
        <v>10.3</v>
      </c>
      <c r="AB111" s="63">
        <v>0</v>
      </c>
      <c r="AC111" s="63">
        <v>5.5</v>
      </c>
      <c r="AD111" s="65">
        <v>13.46</v>
      </c>
      <c r="AE111" s="64">
        <v>37</v>
      </c>
      <c r="AF111" s="62">
        <v>10.3</v>
      </c>
      <c r="AG111" s="63">
        <v>0</v>
      </c>
      <c r="AH111" s="63">
        <v>5.7</v>
      </c>
      <c r="AI111" s="65">
        <v>12.5</v>
      </c>
      <c r="AJ111" s="64">
        <v>36</v>
      </c>
      <c r="AK111" s="62">
        <v>10.3</v>
      </c>
      <c r="AL111" s="62">
        <v>0</v>
      </c>
      <c r="AM111" s="62">
        <v>5.6</v>
      </c>
      <c r="AN111" s="65">
        <v>14.23</v>
      </c>
      <c r="AO111" s="61">
        <v>35</v>
      </c>
      <c r="AP111" s="62">
        <v>10.4</v>
      </c>
      <c r="AQ111" s="62">
        <v>170</v>
      </c>
      <c r="AR111" s="62">
        <v>5.3</v>
      </c>
      <c r="AS111" s="62">
        <v>18.07</v>
      </c>
      <c r="AT111" s="64">
        <v>25</v>
      </c>
      <c r="AU111" s="65">
        <v>130</v>
      </c>
      <c r="AV111" s="64">
        <v>67.976882934570298</v>
      </c>
      <c r="AW111" s="65">
        <v>314.53571075213455</v>
      </c>
      <c r="AX111" s="8"/>
      <c r="AZ111" s="1">
        <v>90</v>
      </c>
    </row>
    <row r="112" spans="3:52" ht="15" customHeight="1" x14ac:dyDescent="0.25">
      <c r="C112" s="42">
        <f>C100+1</f>
        <v>9</v>
      </c>
      <c r="D112" s="66">
        <f>DATE([2]Dash!$F$3,VLOOKUP([2]Dash!$E$3,[2]Abb!$C$3:$D$14,2,FALSE),C112)</f>
        <v>45697</v>
      </c>
      <c r="E112" s="67">
        <f>E111+2/24</f>
        <v>8.2499999999999893</v>
      </c>
      <c r="F112" s="68">
        <f t="shared" si="8"/>
        <v>45697.250000000233</v>
      </c>
      <c r="G112" s="46" t="s">
        <v>38</v>
      </c>
      <c r="H112" s="47">
        <v>38</v>
      </c>
      <c r="I112" s="48">
        <v>10.9</v>
      </c>
      <c r="J112" s="48">
        <v>200</v>
      </c>
      <c r="K112" s="49">
        <v>6.7</v>
      </c>
      <c r="L112" s="50">
        <v>36</v>
      </c>
      <c r="M112" s="48">
        <v>10.5</v>
      </c>
      <c r="N112" s="48">
        <v>200</v>
      </c>
      <c r="O112" s="51">
        <v>7.2</v>
      </c>
      <c r="P112" s="47">
        <v>38</v>
      </c>
      <c r="Q112" s="48">
        <v>10.1</v>
      </c>
      <c r="R112" s="49">
        <v>0</v>
      </c>
      <c r="S112" s="49">
        <v>6.7</v>
      </c>
      <c r="T112" s="51">
        <v>17.3</v>
      </c>
      <c r="U112" s="50">
        <v>37</v>
      </c>
      <c r="V112" s="48">
        <v>10.1</v>
      </c>
      <c r="W112" s="49">
        <v>0</v>
      </c>
      <c r="X112" s="49">
        <v>6.2</v>
      </c>
      <c r="Y112" s="51">
        <v>15.76</v>
      </c>
      <c r="Z112" s="47">
        <v>37</v>
      </c>
      <c r="AA112" s="48">
        <v>10.199999999999999</v>
      </c>
      <c r="AB112" s="49">
        <v>0</v>
      </c>
      <c r="AC112" s="49">
        <v>5.5</v>
      </c>
      <c r="AD112" s="51">
        <v>13.46</v>
      </c>
      <c r="AE112" s="50">
        <v>36</v>
      </c>
      <c r="AF112" s="48">
        <v>10.3</v>
      </c>
      <c r="AG112" s="49">
        <v>0</v>
      </c>
      <c r="AH112" s="49">
        <v>5.7</v>
      </c>
      <c r="AI112" s="51">
        <v>12.5</v>
      </c>
      <c r="AJ112" s="50">
        <v>36</v>
      </c>
      <c r="AK112" s="48">
        <v>10.3</v>
      </c>
      <c r="AL112" s="48">
        <v>0</v>
      </c>
      <c r="AM112" s="48">
        <v>5.5</v>
      </c>
      <c r="AN112" s="51">
        <v>14.42</v>
      </c>
      <c r="AO112" s="47">
        <v>35</v>
      </c>
      <c r="AP112" s="48">
        <v>10.4</v>
      </c>
      <c r="AQ112" s="48">
        <v>170</v>
      </c>
      <c r="AR112" s="48">
        <v>5.4</v>
      </c>
      <c r="AS112" s="51">
        <v>18.260000000000002</v>
      </c>
      <c r="AT112" s="50" t="s">
        <v>38</v>
      </c>
      <c r="AU112" s="51" t="s">
        <v>38</v>
      </c>
      <c r="AV112" s="50">
        <v>67.1142578125</v>
      </c>
      <c r="AW112" s="51">
        <v>314.59080811900395</v>
      </c>
      <c r="AX112" s="8"/>
      <c r="AZ112" s="1">
        <v>90</v>
      </c>
    </row>
    <row r="113" spans="3:52" ht="15" customHeight="1" x14ac:dyDescent="0.25">
      <c r="C113" s="42"/>
      <c r="D113" s="43">
        <f>D112</f>
        <v>45697</v>
      </c>
      <c r="E113" s="44">
        <f>E112+2/24</f>
        <v>8.3333333333333233</v>
      </c>
      <c r="F113" s="45">
        <f t="shared" si="8"/>
        <v>45697.333333333569</v>
      </c>
      <c r="G113" s="52"/>
      <c r="H113" s="53"/>
      <c r="I113" s="54"/>
      <c r="J113" s="54"/>
      <c r="K113" s="55"/>
      <c r="L113" s="56"/>
      <c r="M113" s="54"/>
      <c r="N113" s="54"/>
      <c r="O113" s="57"/>
      <c r="P113" s="53"/>
      <c r="Q113" s="54"/>
      <c r="R113" s="55"/>
      <c r="S113" s="55"/>
      <c r="T113" s="57"/>
      <c r="U113" s="56"/>
      <c r="V113" s="54"/>
      <c r="W113" s="55"/>
      <c r="X113" s="55"/>
      <c r="Y113" s="57"/>
      <c r="Z113" s="53"/>
      <c r="AA113" s="54"/>
      <c r="AB113" s="55"/>
      <c r="AC113" s="55"/>
      <c r="AD113" s="57"/>
      <c r="AE113" s="56"/>
      <c r="AF113" s="54"/>
      <c r="AG113" s="55"/>
      <c r="AH113" s="55"/>
      <c r="AI113" s="57"/>
      <c r="AJ113" s="56"/>
      <c r="AK113" s="54"/>
      <c r="AL113" s="54"/>
      <c r="AM113" s="54"/>
      <c r="AN113" s="57"/>
      <c r="AO113" s="53"/>
      <c r="AP113" s="54"/>
      <c r="AQ113" s="54"/>
      <c r="AR113" s="54"/>
      <c r="AS113" s="57"/>
      <c r="AT113" s="56"/>
      <c r="AU113" s="57"/>
      <c r="AV113" s="56">
        <v>68.701171875</v>
      </c>
      <c r="AW113" s="57">
        <v>164.05514658292134</v>
      </c>
      <c r="AX113" s="8"/>
      <c r="AZ113" s="1">
        <v>90</v>
      </c>
    </row>
    <row r="114" spans="3:52" ht="15" customHeight="1" x14ac:dyDescent="0.25">
      <c r="C114" s="42"/>
      <c r="D114" s="43">
        <f>D112</f>
        <v>45697</v>
      </c>
      <c r="E114" s="44">
        <f t="shared" ref="E114:E123" si="11">E113+2/24</f>
        <v>8.4166666666666572</v>
      </c>
      <c r="F114" s="45">
        <f t="shared" si="8"/>
        <v>45697.416666666904</v>
      </c>
      <c r="G114" s="52"/>
      <c r="H114" s="53"/>
      <c r="I114" s="54"/>
      <c r="J114" s="54"/>
      <c r="K114" s="55"/>
      <c r="L114" s="56"/>
      <c r="M114" s="54"/>
      <c r="N114" s="54"/>
      <c r="O114" s="57"/>
      <c r="P114" s="53"/>
      <c r="Q114" s="54"/>
      <c r="R114" s="55"/>
      <c r="S114" s="55"/>
      <c r="T114" s="57"/>
      <c r="U114" s="56"/>
      <c r="V114" s="54"/>
      <c r="W114" s="55"/>
      <c r="X114" s="55"/>
      <c r="Y114" s="57"/>
      <c r="Z114" s="53"/>
      <c r="AA114" s="54"/>
      <c r="AB114" s="55"/>
      <c r="AC114" s="55"/>
      <c r="AD114" s="57"/>
      <c r="AE114" s="56"/>
      <c r="AF114" s="54"/>
      <c r="AG114" s="55"/>
      <c r="AH114" s="55"/>
      <c r="AI114" s="57"/>
      <c r="AJ114" s="56"/>
      <c r="AK114" s="54"/>
      <c r="AL114" s="54"/>
      <c r="AM114" s="54"/>
      <c r="AN114" s="57"/>
      <c r="AO114" s="53"/>
      <c r="AP114" s="54"/>
      <c r="AQ114" s="54"/>
      <c r="AR114" s="54"/>
      <c r="AS114" s="57"/>
      <c r="AT114" s="56"/>
      <c r="AU114" s="57"/>
      <c r="AV114" s="56">
        <v>61.23046875</v>
      </c>
      <c r="AW114" s="57">
        <v>0</v>
      </c>
      <c r="AX114" s="8"/>
      <c r="AZ114" s="1">
        <v>90</v>
      </c>
    </row>
    <row r="115" spans="3:52" ht="15" customHeight="1" x14ac:dyDescent="0.25">
      <c r="C115" s="42"/>
      <c r="D115" s="43">
        <f>D112</f>
        <v>45697</v>
      </c>
      <c r="E115" s="44">
        <f t="shared" si="11"/>
        <v>8.4999999999999911</v>
      </c>
      <c r="F115" s="45">
        <f t="shared" si="8"/>
        <v>45697.50000000024</v>
      </c>
      <c r="G115" s="52"/>
      <c r="H115" s="53"/>
      <c r="I115" s="54"/>
      <c r="J115" s="54"/>
      <c r="K115" s="55"/>
      <c r="L115" s="56"/>
      <c r="M115" s="54"/>
      <c r="N115" s="54"/>
      <c r="O115" s="57"/>
      <c r="P115" s="53"/>
      <c r="Q115" s="54"/>
      <c r="R115" s="55"/>
      <c r="S115" s="55"/>
      <c r="T115" s="57"/>
      <c r="U115" s="56"/>
      <c r="V115" s="54"/>
      <c r="W115" s="55"/>
      <c r="X115" s="55"/>
      <c r="Y115" s="57"/>
      <c r="Z115" s="53"/>
      <c r="AA115" s="54"/>
      <c r="AB115" s="55"/>
      <c r="AC115" s="55"/>
      <c r="AD115" s="57"/>
      <c r="AE115" s="56"/>
      <c r="AF115" s="54"/>
      <c r="AG115" s="55"/>
      <c r="AH115" s="55"/>
      <c r="AI115" s="57"/>
      <c r="AJ115" s="56"/>
      <c r="AK115" s="54"/>
      <c r="AL115" s="54"/>
      <c r="AM115" s="54"/>
      <c r="AN115" s="57"/>
      <c r="AO115" s="53"/>
      <c r="AP115" s="54"/>
      <c r="AQ115" s="54"/>
      <c r="AR115" s="54"/>
      <c r="AS115" s="57"/>
      <c r="AT115" s="56"/>
      <c r="AU115" s="57"/>
      <c r="AV115" s="56">
        <v>56.45751953125</v>
      </c>
      <c r="AW115" s="57">
        <v>0</v>
      </c>
      <c r="AX115" s="8"/>
      <c r="AZ115" s="1">
        <v>90</v>
      </c>
    </row>
    <row r="116" spans="3:52" ht="15" customHeight="1" x14ac:dyDescent="0.25">
      <c r="C116" s="42"/>
      <c r="D116" s="43">
        <f>D112</f>
        <v>45697</v>
      </c>
      <c r="E116" s="44">
        <f t="shared" si="11"/>
        <v>8.583333333333325</v>
      </c>
      <c r="F116" s="45">
        <f t="shared" si="8"/>
        <v>45697.583333333576</v>
      </c>
      <c r="G116" s="52"/>
      <c r="H116" s="53"/>
      <c r="I116" s="54"/>
      <c r="J116" s="54"/>
      <c r="K116" s="55"/>
      <c r="L116" s="56"/>
      <c r="M116" s="54"/>
      <c r="N116" s="54"/>
      <c r="O116" s="57"/>
      <c r="P116" s="53"/>
      <c r="Q116" s="54"/>
      <c r="R116" s="55"/>
      <c r="S116" s="55"/>
      <c r="T116" s="57"/>
      <c r="U116" s="56"/>
      <c r="V116" s="54"/>
      <c r="W116" s="55"/>
      <c r="X116" s="55"/>
      <c r="Y116" s="57"/>
      <c r="Z116" s="53"/>
      <c r="AA116" s="54"/>
      <c r="AB116" s="55"/>
      <c r="AC116" s="55"/>
      <c r="AD116" s="57"/>
      <c r="AE116" s="56"/>
      <c r="AF116" s="54"/>
      <c r="AG116" s="55"/>
      <c r="AH116" s="55"/>
      <c r="AI116" s="57"/>
      <c r="AJ116" s="56"/>
      <c r="AK116" s="54"/>
      <c r="AL116" s="54"/>
      <c r="AM116" s="54"/>
      <c r="AN116" s="57"/>
      <c r="AO116" s="53"/>
      <c r="AP116" s="54"/>
      <c r="AQ116" s="54"/>
      <c r="AR116" s="54"/>
      <c r="AS116" s="57"/>
      <c r="AT116" s="56"/>
      <c r="AU116" s="57"/>
      <c r="AV116" s="56">
        <v>53.1982421875</v>
      </c>
      <c r="AW116" s="57">
        <v>0</v>
      </c>
      <c r="AX116" s="8"/>
      <c r="AZ116" s="1">
        <v>90</v>
      </c>
    </row>
    <row r="117" spans="3:52" ht="15" customHeight="1" x14ac:dyDescent="0.25">
      <c r="C117" s="42"/>
      <c r="D117" s="43">
        <f>D112</f>
        <v>45697</v>
      </c>
      <c r="E117" s="44">
        <f t="shared" si="11"/>
        <v>8.666666666666659</v>
      </c>
      <c r="F117" s="45">
        <f t="shared" si="8"/>
        <v>45697.666666666912</v>
      </c>
      <c r="G117" s="52"/>
      <c r="H117" s="53"/>
      <c r="I117" s="54"/>
      <c r="J117" s="54"/>
      <c r="K117" s="55"/>
      <c r="L117" s="56"/>
      <c r="M117" s="54"/>
      <c r="N117" s="54"/>
      <c r="O117" s="57"/>
      <c r="P117" s="53"/>
      <c r="Q117" s="54"/>
      <c r="R117" s="55"/>
      <c r="S117" s="55"/>
      <c r="T117" s="57"/>
      <c r="U117" s="56"/>
      <c r="V117" s="54"/>
      <c r="W117" s="55"/>
      <c r="X117" s="55"/>
      <c r="Y117" s="57"/>
      <c r="Z117" s="53"/>
      <c r="AA117" s="54"/>
      <c r="AB117" s="55"/>
      <c r="AC117" s="55"/>
      <c r="AD117" s="57"/>
      <c r="AE117" s="56"/>
      <c r="AF117" s="54"/>
      <c r="AG117" s="55"/>
      <c r="AH117" s="55"/>
      <c r="AI117" s="57"/>
      <c r="AJ117" s="56"/>
      <c r="AK117" s="54"/>
      <c r="AL117" s="54"/>
      <c r="AM117" s="54"/>
      <c r="AN117" s="57"/>
      <c r="AO117" s="53"/>
      <c r="AP117" s="54"/>
      <c r="AQ117" s="54"/>
      <c r="AR117" s="54"/>
      <c r="AS117" s="57"/>
      <c r="AT117" s="56"/>
      <c r="AU117" s="57"/>
      <c r="AV117" s="56">
        <v>49.81689453125</v>
      </c>
      <c r="AW117" s="57">
        <v>0</v>
      </c>
      <c r="AX117" s="8"/>
      <c r="AZ117" s="1">
        <v>90</v>
      </c>
    </row>
    <row r="118" spans="3:52" ht="15" customHeight="1" x14ac:dyDescent="0.25">
      <c r="C118" s="42"/>
      <c r="D118" s="43">
        <f>D112</f>
        <v>45697</v>
      </c>
      <c r="E118" s="44">
        <f t="shared" si="11"/>
        <v>8.7499999999999929</v>
      </c>
      <c r="F118" s="45">
        <f t="shared" si="8"/>
        <v>45697.750000000247</v>
      </c>
      <c r="G118" s="52"/>
      <c r="H118" s="53"/>
      <c r="I118" s="54"/>
      <c r="J118" s="54"/>
      <c r="K118" s="55"/>
      <c r="L118" s="56"/>
      <c r="M118" s="54"/>
      <c r="N118" s="54"/>
      <c r="O118" s="57"/>
      <c r="P118" s="53"/>
      <c r="Q118" s="54"/>
      <c r="R118" s="55"/>
      <c r="S118" s="55"/>
      <c r="T118" s="57"/>
      <c r="U118" s="56"/>
      <c r="V118" s="54"/>
      <c r="W118" s="55"/>
      <c r="X118" s="55"/>
      <c r="Y118" s="57"/>
      <c r="Z118" s="53"/>
      <c r="AA118" s="54"/>
      <c r="AB118" s="55"/>
      <c r="AC118" s="55"/>
      <c r="AD118" s="57"/>
      <c r="AE118" s="56"/>
      <c r="AF118" s="54"/>
      <c r="AG118" s="55"/>
      <c r="AH118" s="55"/>
      <c r="AI118" s="57"/>
      <c r="AJ118" s="56"/>
      <c r="AK118" s="54"/>
      <c r="AL118" s="54"/>
      <c r="AM118" s="54"/>
      <c r="AN118" s="57"/>
      <c r="AO118" s="53"/>
      <c r="AP118" s="54"/>
      <c r="AQ118" s="54"/>
      <c r="AR118" s="54"/>
      <c r="AS118" s="57"/>
      <c r="AT118" s="56"/>
      <c r="AU118" s="57"/>
      <c r="AV118" s="56">
        <v>45.536296844482401</v>
      </c>
      <c r="AW118" s="57">
        <v>0</v>
      </c>
      <c r="AX118" s="8"/>
      <c r="AZ118" s="1">
        <v>90</v>
      </c>
    </row>
    <row r="119" spans="3:52" ht="15" customHeight="1" x14ac:dyDescent="0.25">
      <c r="C119" s="42"/>
      <c r="D119" s="43">
        <f>D112</f>
        <v>45697</v>
      </c>
      <c r="E119" s="44">
        <f t="shared" si="11"/>
        <v>8.8333333333333268</v>
      </c>
      <c r="F119" s="45">
        <f t="shared" si="8"/>
        <v>45697.833333333583</v>
      </c>
      <c r="G119" s="52"/>
      <c r="H119" s="53"/>
      <c r="I119" s="54"/>
      <c r="J119" s="54"/>
      <c r="K119" s="55"/>
      <c r="L119" s="56"/>
      <c r="M119" s="54"/>
      <c r="N119" s="54"/>
      <c r="O119" s="57"/>
      <c r="P119" s="53"/>
      <c r="Q119" s="54"/>
      <c r="R119" s="55"/>
      <c r="S119" s="55"/>
      <c r="T119" s="57"/>
      <c r="U119" s="56"/>
      <c r="V119" s="54"/>
      <c r="W119" s="55"/>
      <c r="X119" s="55"/>
      <c r="Y119" s="57"/>
      <c r="Z119" s="53"/>
      <c r="AA119" s="54"/>
      <c r="AB119" s="55"/>
      <c r="AC119" s="55"/>
      <c r="AD119" s="57"/>
      <c r="AE119" s="56"/>
      <c r="AF119" s="54"/>
      <c r="AG119" s="55"/>
      <c r="AH119" s="55"/>
      <c r="AI119" s="57"/>
      <c r="AJ119" s="56"/>
      <c r="AK119" s="54"/>
      <c r="AL119" s="54"/>
      <c r="AM119" s="54"/>
      <c r="AN119" s="57"/>
      <c r="AO119" s="53"/>
      <c r="AP119" s="54"/>
      <c r="AQ119" s="54"/>
      <c r="AR119" s="54"/>
      <c r="AS119" s="57"/>
      <c r="AT119" s="56"/>
      <c r="AU119" s="57"/>
      <c r="AV119" s="56">
        <v>42.29736328125</v>
      </c>
      <c r="AW119" s="57">
        <v>0</v>
      </c>
      <c r="AX119" s="8"/>
      <c r="AZ119" s="1">
        <v>90</v>
      </c>
    </row>
    <row r="120" spans="3:52" ht="15" customHeight="1" x14ac:dyDescent="0.25">
      <c r="C120" s="42"/>
      <c r="D120" s="43">
        <f>D112</f>
        <v>45697</v>
      </c>
      <c r="E120" s="44">
        <f t="shared" si="11"/>
        <v>8.9166666666666607</v>
      </c>
      <c r="F120" s="45">
        <f t="shared" si="8"/>
        <v>45697.916666666919</v>
      </c>
      <c r="G120" s="52"/>
      <c r="H120" s="53"/>
      <c r="I120" s="54"/>
      <c r="J120" s="54"/>
      <c r="K120" s="55"/>
      <c r="L120" s="56"/>
      <c r="M120" s="54"/>
      <c r="N120" s="54"/>
      <c r="O120" s="57"/>
      <c r="P120" s="53"/>
      <c r="Q120" s="54"/>
      <c r="R120" s="55"/>
      <c r="S120" s="55"/>
      <c r="T120" s="57"/>
      <c r="U120" s="56"/>
      <c r="V120" s="54"/>
      <c r="W120" s="55"/>
      <c r="X120" s="55"/>
      <c r="Y120" s="57"/>
      <c r="Z120" s="53"/>
      <c r="AA120" s="54"/>
      <c r="AB120" s="55"/>
      <c r="AC120" s="55"/>
      <c r="AD120" s="57"/>
      <c r="AE120" s="56"/>
      <c r="AF120" s="54"/>
      <c r="AG120" s="55"/>
      <c r="AH120" s="55"/>
      <c r="AI120" s="57"/>
      <c r="AJ120" s="56"/>
      <c r="AK120" s="54"/>
      <c r="AL120" s="54"/>
      <c r="AM120" s="54"/>
      <c r="AN120" s="57"/>
      <c r="AO120" s="53"/>
      <c r="AP120" s="54"/>
      <c r="AQ120" s="54"/>
      <c r="AR120" s="54"/>
      <c r="AS120" s="57"/>
      <c r="AT120" s="56"/>
      <c r="AU120" s="57"/>
      <c r="AV120" s="56">
        <v>20.467121124267599</v>
      </c>
      <c r="AW120" s="57">
        <v>0</v>
      </c>
      <c r="AX120" s="8"/>
      <c r="AZ120" s="1">
        <v>90</v>
      </c>
    </row>
    <row r="121" spans="3:52" ht="15" customHeight="1" x14ac:dyDescent="0.25">
      <c r="C121" s="42"/>
      <c r="D121" s="43">
        <f>D112</f>
        <v>45697</v>
      </c>
      <c r="E121" s="44">
        <f t="shared" si="11"/>
        <v>8.9999999999999947</v>
      </c>
      <c r="F121" s="45">
        <f t="shared" si="8"/>
        <v>45698.000000000255</v>
      </c>
      <c r="G121" s="52"/>
      <c r="H121" s="53"/>
      <c r="I121" s="54"/>
      <c r="J121" s="54"/>
      <c r="K121" s="55"/>
      <c r="L121" s="56"/>
      <c r="M121" s="54"/>
      <c r="N121" s="54"/>
      <c r="O121" s="57"/>
      <c r="P121" s="53"/>
      <c r="Q121" s="54"/>
      <c r="R121" s="55"/>
      <c r="S121" s="55"/>
      <c r="T121" s="57"/>
      <c r="U121" s="56"/>
      <c r="V121" s="54"/>
      <c r="W121" s="55"/>
      <c r="X121" s="55"/>
      <c r="Y121" s="57"/>
      <c r="Z121" s="53"/>
      <c r="AA121" s="54"/>
      <c r="AB121" s="55"/>
      <c r="AC121" s="55"/>
      <c r="AD121" s="57"/>
      <c r="AE121" s="56"/>
      <c r="AF121" s="54"/>
      <c r="AG121" s="55"/>
      <c r="AH121" s="55"/>
      <c r="AI121" s="57"/>
      <c r="AJ121" s="56"/>
      <c r="AK121" s="54"/>
      <c r="AL121" s="54"/>
      <c r="AM121" s="54"/>
      <c r="AN121" s="57"/>
      <c r="AO121" s="53"/>
      <c r="AP121" s="54"/>
      <c r="AQ121" s="54"/>
      <c r="AR121" s="54"/>
      <c r="AS121" s="57"/>
      <c r="AT121" s="56"/>
      <c r="AU121" s="57"/>
      <c r="AV121" s="56">
        <v>20.458984375</v>
      </c>
      <c r="AW121" s="57">
        <v>0</v>
      </c>
      <c r="AX121" s="8"/>
      <c r="AZ121" s="1">
        <v>90</v>
      </c>
    </row>
    <row r="122" spans="3:52" ht="15" customHeight="1" x14ac:dyDescent="0.25">
      <c r="C122" s="42"/>
      <c r="D122" s="43">
        <f>D112</f>
        <v>45697</v>
      </c>
      <c r="E122" s="44">
        <f t="shared" si="11"/>
        <v>9.0833333333333286</v>
      </c>
      <c r="F122" s="45">
        <f t="shared" si="8"/>
        <v>45698.08333333359</v>
      </c>
      <c r="G122" s="52"/>
      <c r="H122" s="53"/>
      <c r="I122" s="54"/>
      <c r="J122" s="54"/>
      <c r="K122" s="55"/>
      <c r="L122" s="56"/>
      <c r="M122" s="54"/>
      <c r="N122" s="54"/>
      <c r="O122" s="57"/>
      <c r="P122" s="53"/>
      <c r="Q122" s="54"/>
      <c r="R122" s="55"/>
      <c r="S122" s="55"/>
      <c r="T122" s="57"/>
      <c r="U122" s="56"/>
      <c r="V122" s="54"/>
      <c r="W122" s="55"/>
      <c r="X122" s="55"/>
      <c r="Y122" s="57"/>
      <c r="Z122" s="53"/>
      <c r="AA122" s="54"/>
      <c r="AB122" s="55"/>
      <c r="AC122" s="55"/>
      <c r="AD122" s="57"/>
      <c r="AE122" s="56"/>
      <c r="AF122" s="54"/>
      <c r="AG122" s="55"/>
      <c r="AH122" s="55"/>
      <c r="AI122" s="57"/>
      <c r="AJ122" s="56"/>
      <c r="AK122" s="54"/>
      <c r="AL122" s="54"/>
      <c r="AM122" s="54"/>
      <c r="AN122" s="57"/>
      <c r="AO122" s="53"/>
      <c r="AP122" s="54"/>
      <c r="AQ122" s="54"/>
      <c r="AR122" s="54"/>
      <c r="AS122" s="57"/>
      <c r="AT122" s="56"/>
      <c r="AU122" s="57"/>
      <c r="AV122" s="56">
        <v>20.467121124267599</v>
      </c>
      <c r="AW122" s="57">
        <v>0</v>
      </c>
      <c r="AX122" s="8"/>
      <c r="AZ122" s="1">
        <v>90</v>
      </c>
    </row>
    <row r="123" spans="3:52" ht="15" customHeight="1" x14ac:dyDescent="0.25">
      <c r="C123" s="42"/>
      <c r="D123" s="69">
        <f>D112</f>
        <v>45697</v>
      </c>
      <c r="E123" s="70">
        <f t="shared" si="11"/>
        <v>9.1666666666666625</v>
      </c>
      <c r="F123" s="71">
        <f t="shared" si="8"/>
        <v>45698.166666666926</v>
      </c>
      <c r="G123" s="60"/>
      <c r="H123" s="61"/>
      <c r="I123" s="62"/>
      <c r="J123" s="62"/>
      <c r="K123" s="63"/>
      <c r="L123" s="64"/>
      <c r="M123" s="62"/>
      <c r="N123" s="62"/>
      <c r="O123" s="65"/>
      <c r="P123" s="61"/>
      <c r="Q123" s="62"/>
      <c r="R123" s="63"/>
      <c r="S123" s="63"/>
      <c r="T123" s="65"/>
      <c r="U123" s="64"/>
      <c r="V123" s="62"/>
      <c r="W123" s="63"/>
      <c r="X123" s="63"/>
      <c r="Y123" s="65"/>
      <c r="Z123" s="61"/>
      <c r="AA123" s="62"/>
      <c r="AB123" s="63"/>
      <c r="AC123" s="63"/>
      <c r="AD123" s="65"/>
      <c r="AE123" s="64"/>
      <c r="AF123" s="62"/>
      <c r="AG123" s="63"/>
      <c r="AH123" s="63"/>
      <c r="AI123" s="65"/>
      <c r="AJ123" s="64"/>
      <c r="AK123" s="62"/>
      <c r="AL123" s="62"/>
      <c r="AM123" s="62"/>
      <c r="AN123" s="65"/>
      <c r="AO123" s="61"/>
      <c r="AP123" s="62"/>
      <c r="AQ123" s="62"/>
      <c r="AR123" s="62"/>
      <c r="AS123" s="65"/>
      <c r="AT123" s="64"/>
      <c r="AU123" s="65"/>
      <c r="AV123" s="64">
        <v>20.4386386871338</v>
      </c>
      <c r="AW123" s="65">
        <v>0</v>
      </c>
      <c r="AX123" s="8"/>
      <c r="AZ123" s="1">
        <v>90</v>
      </c>
    </row>
    <row r="124" spans="3:52" ht="15" customHeight="1" x14ac:dyDescent="0.25">
      <c r="C124" s="42">
        <f>C112+1</f>
        <v>10</v>
      </c>
      <c r="D124" s="66">
        <f>DATE([2]Dash!$F$3,VLOOKUP([2]Dash!$E$3,[2]Abb!$C$3:$D$14,2,FALSE),C124)</f>
        <v>45698</v>
      </c>
      <c r="E124" s="67">
        <f>E123+2/24</f>
        <v>9.2499999999999964</v>
      </c>
      <c r="F124" s="68">
        <f t="shared" si="8"/>
        <v>45698.250000000262</v>
      </c>
      <c r="G124" s="46"/>
      <c r="H124" s="47"/>
      <c r="I124" s="48"/>
      <c r="J124" s="48"/>
      <c r="K124" s="49"/>
      <c r="L124" s="50"/>
      <c r="M124" s="48"/>
      <c r="N124" s="48"/>
      <c r="O124" s="51"/>
      <c r="P124" s="47"/>
      <c r="Q124" s="48"/>
      <c r="R124" s="49"/>
      <c r="S124" s="49"/>
      <c r="T124" s="51"/>
      <c r="U124" s="50"/>
      <c r="V124" s="48"/>
      <c r="W124" s="49"/>
      <c r="X124" s="49"/>
      <c r="Y124" s="51"/>
      <c r="Z124" s="47"/>
      <c r="AA124" s="48"/>
      <c r="AB124" s="49"/>
      <c r="AC124" s="49"/>
      <c r="AD124" s="51"/>
      <c r="AE124" s="50"/>
      <c r="AF124" s="48"/>
      <c r="AG124" s="49"/>
      <c r="AH124" s="49"/>
      <c r="AI124" s="51"/>
      <c r="AJ124" s="50"/>
      <c r="AK124" s="48"/>
      <c r="AL124" s="48"/>
      <c r="AM124" s="48"/>
      <c r="AN124" s="51"/>
      <c r="AO124" s="47"/>
      <c r="AP124" s="48"/>
      <c r="AQ124" s="48"/>
      <c r="AR124" s="48"/>
      <c r="AS124" s="51"/>
      <c r="AT124" s="50"/>
      <c r="AU124" s="51"/>
      <c r="AV124" s="50">
        <v>20.4630527496338</v>
      </c>
      <c r="AW124" s="51">
        <v>0</v>
      </c>
      <c r="AX124" s="8"/>
      <c r="AZ124" s="1">
        <v>90</v>
      </c>
    </row>
    <row r="125" spans="3:52" ht="15" customHeight="1" x14ac:dyDescent="0.25">
      <c r="C125" s="42"/>
      <c r="D125" s="43">
        <f>D124</f>
        <v>45698</v>
      </c>
      <c r="E125" s="44">
        <f>E124+2/24</f>
        <v>9.3333333333333304</v>
      </c>
      <c r="F125" s="45">
        <f t="shared" si="8"/>
        <v>45698.333333333598</v>
      </c>
      <c r="G125" s="52"/>
      <c r="H125" s="53"/>
      <c r="I125" s="54"/>
      <c r="J125" s="54"/>
      <c r="K125" s="55"/>
      <c r="L125" s="56"/>
      <c r="M125" s="54"/>
      <c r="N125" s="54"/>
      <c r="O125" s="57"/>
      <c r="P125" s="53"/>
      <c r="Q125" s="54"/>
      <c r="R125" s="55"/>
      <c r="S125" s="55"/>
      <c r="T125" s="57"/>
      <c r="U125" s="56"/>
      <c r="V125" s="54"/>
      <c r="W125" s="55"/>
      <c r="X125" s="55"/>
      <c r="Y125" s="57"/>
      <c r="Z125" s="53"/>
      <c r="AA125" s="54"/>
      <c r="AB125" s="55"/>
      <c r="AC125" s="55"/>
      <c r="AD125" s="57"/>
      <c r="AE125" s="56"/>
      <c r="AF125" s="54"/>
      <c r="AG125" s="55"/>
      <c r="AH125" s="55"/>
      <c r="AI125" s="57"/>
      <c r="AJ125" s="56"/>
      <c r="AK125" s="54"/>
      <c r="AL125" s="54"/>
      <c r="AM125" s="54"/>
      <c r="AN125" s="57"/>
      <c r="AO125" s="53"/>
      <c r="AP125" s="54"/>
      <c r="AQ125" s="54"/>
      <c r="AR125" s="54"/>
      <c r="AS125" s="57"/>
      <c r="AT125" s="56"/>
      <c r="AU125" s="57"/>
      <c r="AV125" s="56">
        <v>20.4264316558838</v>
      </c>
      <c r="AW125" s="57">
        <v>0</v>
      </c>
      <c r="AX125" s="8"/>
      <c r="AZ125" s="1">
        <v>90</v>
      </c>
    </row>
    <row r="126" spans="3:52" ht="15" customHeight="1" x14ac:dyDescent="0.25">
      <c r="C126" s="42"/>
      <c r="D126" s="43">
        <f>D124</f>
        <v>45698</v>
      </c>
      <c r="E126" s="44">
        <f t="shared" ref="E126:E135" si="12">E125+2/24</f>
        <v>9.4166666666666643</v>
      </c>
      <c r="F126" s="45">
        <f t="shared" si="8"/>
        <v>45698.416666666933</v>
      </c>
      <c r="G126" s="52"/>
      <c r="H126" s="53"/>
      <c r="I126" s="54"/>
      <c r="J126" s="54"/>
      <c r="K126" s="55"/>
      <c r="L126" s="56"/>
      <c r="M126" s="54"/>
      <c r="N126" s="54"/>
      <c r="O126" s="57"/>
      <c r="P126" s="53"/>
      <c r="Q126" s="54"/>
      <c r="R126" s="55"/>
      <c r="S126" s="55"/>
      <c r="T126" s="57"/>
      <c r="U126" s="56"/>
      <c r="V126" s="54"/>
      <c r="W126" s="55"/>
      <c r="X126" s="55"/>
      <c r="Y126" s="57"/>
      <c r="Z126" s="53"/>
      <c r="AA126" s="54"/>
      <c r="AB126" s="55"/>
      <c r="AC126" s="55"/>
      <c r="AD126" s="57"/>
      <c r="AE126" s="56"/>
      <c r="AF126" s="54"/>
      <c r="AG126" s="55"/>
      <c r="AH126" s="55"/>
      <c r="AI126" s="57"/>
      <c r="AJ126" s="56"/>
      <c r="AK126" s="54"/>
      <c r="AL126" s="54"/>
      <c r="AM126" s="54"/>
      <c r="AN126" s="57"/>
      <c r="AO126" s="53"/>
      <c r="AP126" s="54"/>
      <c r="AQ126" s="54"/>
      <c r="AR126" s="54"/>
      <c r="AS126" s="57"/>
      <c r="AT126" s="56"/>
      <c r="AU126" s="57"/>
      <c r="AV126" s="56">
        <v>20.381671905517599</v>
      </c>
      <c r="AW126" s="57">
        <v>0</v>
      </c>
      <c r="AX126" s="8"/>
      <c r="AZ126" s="1">
        <v>90</v>
      </c>
    </row>
    <row r="127" spans="3:52" ht="15" customHeight="1" x14ac:dyDescent="0.25">
      <c r="C127" s="42"/>
      <c r="D127" s="43">
        <f>D124</f>
        <v>45698</v>
      </c>
      <c r="E127" s="44">
        <f t="shared" si="12"/>
        <v>9.4999999999999982</v>
      </c>
      <c r="F127" s="45">
        <f t="shared" si="8"/>
        <v>45698.500000000269</v>
      </c>
      <c r="G127" s="52"/>
      <c r="H127" s="53"/>
      <c r="I127" s="54"/>
      <c r="J127" s="54"/>
      <c r="K127" s="55"/>
      <c r="L127" s="56"/>
      <c r="M127" s="54"/>
      <c r="N127" s="54"/>
      <c r="O127" s="57"/>
      <c r="P127" s="53"/>
      <c r="Q127" s="54"/>
      <c r="R127" s="55"/>
      <c r="S127" s="55"/>
      <c r="T127" s="57"/>
      <c r="U127" s="56"/>
      <c r="V127" s="54"/>
      <c r="W127" s="55"/>
      <c r="X127" s="55"/>
      <c r="Y127" s="57"/>
      <c r="Z127" s="53"/>
      <c r="AA127" s="54"/>
      <c r="AB127" s="55"/>
      <c r="AC127" s="55"/>
      <c r="AD127" s="57"/>
      <c r="AE127" s="56"/>
      <c r="AF127" s="54"/>
      <c r="AG127" s="55"/>
      <c r="AH127" s="55"/>
      <c r="AI127" s="57"/>
      <c r="AJ127" s="56"/>
      <c r="AK127" s="54"/>
      <c r="AL127" s="54"/>
      <c r="AM127" s="54"/>
      <c r="AN127" s="57"/>
      <c r="AO127" s="53"/>
      <c r="AP127" s="54"/>
      <c r="AQ127" s="54"/>
      <c r="AR127" s="54"/>
      <c r="AS127" s="57"/>
      <c r="AT127" s="56"/>
      <c r="AU127" s="57"/>
      <c r="AV127" s="56">
        <v>20.406085968017599</v>
      </c>
      <c r="AW127" s="57">
        <v>0</v>
      </c>
      <c r="AX127" s="8"/>
      <c r="AZ127" s="1">
        <v>90</v>
      </c>
    </row>
    <row r="128" spans="3:52" ht="15" customHeight="1" x14ac:dyDescent="0.25">
      <c r="C128" s="42"/>
      <c r="D128" s="43">
        <f>D124</f>
        <v>45698</v>
      </c>
      <c r="E128" s="44">
        <f t="shared" si="12"/>
        <v>9.5833333333333321</v>
      </c>
      <c r="F128" s="45">
        <f t="shared" si="8"/>
        <v>45698.583333333605</v>
      </c>
      <c r="G128" s="52"/>
      <c r="H128" s="53"/>
      <c r="I128" s="54"/>
      <c r="J128" s="54"/>
      <c r="K128" s="55"/>
      <c r="L128" s="56"/>
      <c r="M128" s="54"/>
      <c r="N128" s="54"/>
      <c r="O128" s="57"/>
      <c r="P128" s="53"/>
      <c r="Q128" s="54"/>
      <c r="R128" s="55"/>
      <c r="S128" s="55"/>
      <c r="T128" s="57"/>
      <c r="U128" s="56"/>
      <c r="V128" s="54"/>
      <c r="W128" s="55"/>
      <c r="X128" s="55"/>
      <c r="Y128" s="57"/>
      <c r="Z128" s="53"/>
      <c r="AA128" s="54"/>
      <c r="AB128" s="55"/>
      <c r="AC128" s="55"/>
      <c r="AD128" s="57"/>
      <c r="AE128" s="56"/>
      <c r="AF128" s="54"/>
      <c r="AG128" s="55"/>
      <c r="AH128" s="55"/>
      <c r="AI128" s="57"/>
      <c r="AJ128" s="56"/>
      <c r="AK128" s="54"/>
      <c r="AL128" s="54"/>
      <c r="AM128" s="54"/>
      <c r="AN128" s="57"/>
      <c r="AO128" s="53"/>
      <c r="AP128" s="54"/>
      <c r="AQ128" s="54"/>
      <c r="AR128" s="54"/>
      <c r="AS128" s="57"/>
      <c r="AT128" s="56"/>
      <c r="AU128" s="57"/>
      <c r="AV128" s="56">
        <v>64.5751953125</v>
      </c>
      <c r="AW128" s="57">
        <v>0</v>
      </c>
      <c r="AX128" s="8"/>
      <c r="AZ128" s="1">
        <v>90</v>
      </c>
    </row>
    <row r="129" spans="3:52" ht="15" customHeight="1" x14ac:dyDescent="0.25">
      <c r="C129" s="42"/>
      <c r="D129" s="43">
        <f>D124</f>
        <v>45698</v>
      </c>
      <c r="E129" s="44">
        <f t="shared" si="12"/>
        <v>9.6666666666666661</v>
      </c>
      <c r="F129" s="45">
        <f t="shared" si="8"/>
        <v>45698.666666666941</v>
      </c>
      <c r="G129" s="52"/>
      <c r="H129" s="53"/>
      <c r="I129" s="54"/>
      <c r="J129" s="54"/>
      <c r="K129" s="55"/>
      <c r="L129" s="56"/>
      <c r="M129" s="54"/>
      <c r="N129" s="54"/>
      <c r="O129" s="57"/>
      <c r="P129" s="53"/>
      <c r="Q129" s="54"/>
      <c r="R129" s="55"/>
      <c r="S129" s="55"/>
      <c r="T129" s="57"/>
      <c r="U129" s="56"/>
      <c r="V129" s="54"/>
      <c r="W129" s="55"/>
      <c r="X129" s="55"/>
      <c r="Y129" s="57"/>
      <c r="Z129" s="53"/>
      <c r="AA129" s="54"/>
      <c r="AB129" s="55"/>
      <c r="AC129" s="55"/>
      <c r="AD129" s="57"/>
      <c r="AE129" s="56"/>
      <c r="AF129" s="54"/>
      <c r="AG129" s="55"/>
      <c r="AH129" s="55"/>
      <c r="AI129" s="57"/>
      <c r="AJ129" s="56"/>
      <c r="AK129" s="54"/>
      <c r="AL129" s="54"/>
      <c r="AM129" s="54"/>
      <c r="AN129" s="57"/>
      <c r="AO129" s="53"/>
      <c r="AP129" s="54"/>
      <c r="AQ129" s="54"/>
      <c r="AR129" s="54"/>
      <c r="AS129" s="57"/>
      <c r="AT129" s="56"/>
      <c r="AU129" s="57"/>
      <c r="AV129" s="56">
        <v>66.630043029785199</v>
      </c>
      <c r="AW129" s="57">
        <v>0</v>
      </c>
      <c r="AX129" s="8"/>
      <c r="AZ129" s="1">
        <v>90</v>
      </c>
    </row>
    <row r="130" spans="3:52" ht="15" customHeight="1" x14ac:dyDescent="0.25">
      <c r="C130" s="42"/>
      <c r="D130" s="43">
        <f>D124</f>
        <v>45698</v>
      </c>
      <c r="E130" s="44">
        <f t="shared" si="12"/>
        <v>9.75</v>
      </c>
      <c r="F130" s="45">
        <f t="shared" si="8"/>
        <v>45698.750000000276</v>
      </c>
      <c r="G130" s="52"/>
      <c r="H130" s="53"/>
      <c r="I130" s="54"/>
      <c r="J130" s="54"/>
      <c r="K130" s="55"/>
      <c r="L130" s="56"/>
      <c r="M130" s="54"/>
      <c r="N130" s="54"/>
      <c r="O130" s="57"/>
      <c r="P130" s="53"/>
      <c r="Q130" s="54"/>
      <c r="R130" s="55"/>
      <c r="S130" s="55"/>
      <c r="T130" s="57"/>
      <c r="U130" s="56"/>
      <c r="V130" s="54"/>
      <c r="W130" s="55"/>
      <c r="X130" s="55"/>
      <c r="Y130" s="57"/>
      <c r="Z130" s="53"/>
      <c r="AA130" s="54"/>
      <c r="AB130" s="55"/>
      <c r="AC130" s="55"/>
      <c r="AD130" s="57"/>
      <c r="AE130" s="56"/>
      <c r="AF130" s="54"/>
      <c r="AG130" s="55"/>
      <c r="AH130" s="55"/>
      <c r="AI130" s="57"/>
      <c r="AJ130" s="56"/>
      <c r="AK130" s="54"/>
      <c r="AL130" s="54"/>
      <c r="AM130" s="54"/>
      <c r="AN130" s="57"/>
      <c r="AO130" s="53"/>
      <c r="AP130" s="54"/>
      <c r="AQ130" s="54"/>
      <c r="AR130" s="54"/>
      <c r="AS130" s="57"/>
      <c r="AT130" s="56"/>
      <c r="AU130" s="57"/>
      <c r="AV130" s="56">
        <v>20.369464874267599</v>
      </c>
      <c r="AW130" s="57">
        <v>0</v>
      </c>
      <c r="AX130" s="8"/>
      <c r="AZ130" s="1">
        <v>90</v>
      </c>
    </row>
    <row r="131" spans="3:52" ht="15" customHeight="1" x14ac:dyDescent="0.25">
      <c r="C131" s="42"/>
      <c r="D131" s="43">
        <f>D124</f>
        <v>45698</v>
      </c>
      <c r="E131" s="44">
        <f t="shared" si="12"/>
        <v>9.8333333333333339</v>
      </c>
      <c r="F131" s="45">
        <f t="shared" si="8"/>
        <v>45698.833333333612</v>
      </c>
      <c r="G131" s="52"/>
      <c r="H131" s="53"/>
      <c r="I131" s="54"/>
      <c r="J131" s="54"/>
      <c r="K131" s="55"/>
      <c r="L131" s="56"/>
      <c r="M131" s="54"/>
      <c r="N131" s="54"/>
      <c r="O131" s="57"/>
      <c r="P131" s="53"/>
      <c r="Q131" s="54"/>
      <c r="R131" s="55"/>
      <c r="S131" s="55"/>
      <c r="T131" s="57"/>
      <c r="U131" s="56"/>
      <c r="V131" s="54"/>
      <c r="W131" s="55"/>
      <c r="X131" s="55"/>
      <c r="Y131" s="57"/>
      <c r="Z131" s="53"/>
      <c r="AA131" s="54"/>
      <c r="AB131" s="55"/>
      <c r="AC131" s="55"/>
      <c r="AD131" s="57"/>
      <c r="AE131" s="56"/>
      <c r="AF131" s="54"/>
      <c r="AG131" s="55"/>
      <c r="AH131" s="55"/>
      <c r="AI131" s="57"/>
      <c r="AJ131" s="56"/>
      <c r="AK131" s="54"/>
      <c r="AL131" s="54"/>
      <c r="AM131" s="54"/>
      <c r="AN131" s="57"/>
      <c r="AO131" s="53"/>
      <c r="AP131" s="54"/>
      <c r="AQ131" s="54"/>
      <c r="AR131" s="54"/>
      <c r="AS131" s="57"/>
      <c r="AT131" s="56"/>
      <c r="AU131" s="57"/>
      <c r="AV131" s="56">
        <v>20.3776035308838</v>
      </c>
      <c r="AW131" s="57">
        <v>0</v>
      </c>
      <c r="AX131" s="8"/>
      <c r="AZ131" s="1">
        <v>90</v>
      </c>
    </row>
    <row r="132" spans="3:52" ht="15" customHeight="1" x14ac:dyDescent="0.25">
      <c r="C132" s="42"/>
      <c r="D132" s="43">
        <f>D124</f>
        <v>45698</v>
      </c>
      <c r="E132" s="44">
        <f t="shared" si="12"/>
        <v>9.9166666666666679</v>
      </c>
      <c r="F132" s="45">
        <f t="shared" si="8"/>
        <v>45698.916666666948</v>
      </c>
      <c r="G132" s="52"/>
      <c r="H132" s="53"/>
      <c r="I132" s="54"/>
      <c r="J132" s="54"/>
      <c r="K132" s="55"/>
      <c r="L132" s="56"/>
      <c r="M132" s="54"/>
      <c r="N132" s="54"/>
      <c r="O132" s="57"/>
      <c r="P132" s="53"/>
      <c r="Q132" s="54"/>
      <c r="R132" s="55"/>
      <c r="S132" s="55"/>
      <c r="T132" s="57"/>
      <c r="U132" s="56"/>
      <c r="V132" s="54"/>
      <c r="W132" s="55"/>
      <c r="X132" s="55"/>
      <c r="Y132" s="57"/>
      <c r="Z132" s="53"/>
      <c r="AA132" s="54"/>
      <c r="AB132" s="55"/>
      <c r="AC132" s="55"/>
      <c r="AD132" s="57"/>
      <c r="AE132" s="56"/>
      <c r="AF132" s="54"/>
      <c r="AG132" s="55"/>
      <c r="AH132" s="55"/>
      <c r="AI132" s="57"/>
      <c r="AJ132" s="56"/>
      <c r="AK132" s="54"/>
      <c r="AL132" s="54"/>
      <c r="AM132" s="54"/>
      <c r="AN132" s="57"/>
      <c r="AO132" s="53"/>
      <c r="AP132" s="54"/>
      <c r="AQ132" s="54"/>
      <c r="AR132" s="54"/>
      <c r="AS132" s="57"/>
      <c r="AT132" s="56"/>
      <c r="AU132" s="57"/>
      <c r="AV132" s="56">
        <v>20.345050811767599</v>
      </c>
      <c r="AW132" s="57">
        <v>0</v>
      </c>
      <c r="AX132" s="8"/>
      <c r="AZ132" s="1">
        <v>90</v>
      </c>
    </row>
    <row r="133" spans="3:52" ht="15" customHeight="1" x14ac:dyDescent="0.25">
      <c r="C133" s="42"/>
      <c r="D133" s="43">
        <f>D124</f>
        <v>45698</v>
      </c>
      <c r="E133" s="44">
        <f t="shared" si="12"/>
        <v>10.000000000000002</v>
      </c>
      <c r="F133" s="45">
        <f t="shared" si="8"/>
        <v>45699.000000000284</v>
      </c>
      <c r="G133" s="52"/>
      <c r="H133" s="53"/>
      <c r="I133" s="54"/>
      <c r="J133" s="54"/>
      <c r="K133" s="55"/>
      <c r="L133" s="56"/>
      <c r="M133" s="54"/>
      <c r="N133" s="54"/>
      <c r="O133" s="57"/>
      <c r="P133" s="53"/>
      <c r="Q133" s="54"/>
      <c r="R133" s="55"/>
      <c r="S133" s="55"/>
      <c r="T133" s="57"/>
      <c r="U133" s="56"/>
      <c r="V133" s="54"/>
      <c r="W133" s="55"/>
      <c r="X133" s="55"/>
      <c r="Y133" s="57"/>
      <c r="Z133" s="53"/>
      <c r="AA133" s="54"/>
      <c r="AB133" s="55"/>
      <c r="AC133" s="55"/>
      <c r="AD133" s="57"/>
      <c r="AE133" s="56"/>
      <c r="AF133" s="54"/>
      <c r="AG133" s="55"/>
      <c r="AH133" s="55"/>
      <c r="AI133" s="57"/>
      <c r="AJ133" s="56"/>
      <c r="AK133" s="54"/>
      <c r="AL133" s="54"/>
      <c r="AM133" s="54"/>
      <c r="AN133" s="57"/>
      <c r="AO133" s="53"/>
      <c r="AP133" s="54"/>
      <c r="AQ133" s="54"/>
      <c r="AR133" s="54"/>
      <c r="AS133" s="57"/>
      <c r="AT133" s="56"/>
      <c r="AU133" s="57"/>
      <c r="AV133" s="56">
        <v>20.3287754058838</v>
      </c>
      <c r="AW133" s="57">
        <v>0</v>
      </c>
      <c r="AX133" s="8"/>
      <c r="AZ133" s="1">
        <v>90</v>
      </c>
    </row>
    <row r="134" spans="3:52" ht="15" customHeight="1" x14ac:dyDescent="0.25">
      <c r="C134" s="42"/>
      <c r="D134" s="43">
        <f>D124</f>
        <v>45698</v>
      </c>
      <c r="E134" s="44">
        <f t="shared" si="12"/>
        <v>10.083333333333336</v>
      </c>
      <c r="F134" s="45">
        <f t="shared" si="8"/>
        <v>45699.08333333362</v>
      </c>
      <c r="G134" s="52"/>
      <c r="H134" s="53"/>
      <c r="I134" s="54"/>
      <c r="J134" s="54"/>
      <c r="K134" s="55"/>
      <c r="L134" s="56"/>
      <c r="M134" s="54"/>
      <c r="N134" s="54"/>
      <c r="O134" s="57"/>
      <c r="P134" s="53"/>
      <c r="Q134" s="54"/>
      <c r="R134" s="55"/>
      <c r="S134" s="55"/>
      <c r="T134" s="57"/>
      <c r="U134" s="56"/>
      <c r="V134" s="54"/>
      <c r="W134" s="55"/>
      <c r="X134" s="55"/>
      <c r="Y134" s="57"/>
      <c r="Z134" s="53"/>
      <c r="AA134" s="54"/>
      <c r="AB134" s="55"/>
      <c r="AC134" s="55"/>
      <c r="AD134" s="57"/>
      <c r="AE134" s="56"/>
      <c r="AF134" s="54"/>
      <c r="AG134" s="55"/>
      <c r="AH134" s="55"/>
      <c r="AI134" s="57"/>
      <c r="AJ134" s="56"/>
      <c r="AK134" s="54"/>
      <c r="AL134" s="54"/>
      <c r="AM134" s="54"/>
      <c r="AN134" s="57"/>
      <c r="AO134" s="53"/>
      <c r="AP134" s="54"/>
      <c r="AQ134" s="54"/>
      <c r="AR134" s="54"/>
      <c r="AS134" s="57"/>
      <c r="AT134" s="56"/>
      <c r="AU134" s="57"/>
      <c r="AV134" s="56">
        <v>20.381671905517599</v>
      </c>
      <c r="AW134" s="57">
        <v>0</v>
      </c>
      <c r="AX134" s="8"/>
      <c r="AZ134" s="1">
        <v>90</v>
      </c>
    </row>
    <row r="135" spans="3:52" ht="15" customHeight="1" x14ac:dyDescent="0.25">
      <c r="C135" s="42"/>
      <c r="D135" s="69">
        <f>D124</f>
        <v>45698</v>
      </c>
      <c r="E135" s="70">
        <f t="shared" si="12"/>
        <v>10.16666666666667</v>
      </c>
      <c r="F135" s="71">
        <f t="shared" si="8"/>
        <v>45699.166666666955</v>
      </c>
      <c r="G135" s="60"/>
      <c r="H135" s="61"/>
      <c r="I135" s="62"/>
      <c r="J135" s="62"/>
      <c r="K135" s="63"/>
      <c r="L135" s="64"/>
      <c r="M135" s="62"/>
      <c r="N135" s="62"/>
      <c r="O135" s="65"/>
      <c r="P135" s="61"/>
      <c r="Q135" s="62"/>
      <c r="R135" s="63"/>
      <c r="S135" s="63"/>
      <c r="T135" s="65"/>
      <c r="U135" s="64"/>
      <c r="V135" s="62"/>
      <c r="W135" s="63"/>
      <c r="X135" s="63"/>
      <c r="Y135" s="65"/>
      <c r="Z135" s="61"/>
      <c r="AA135" s="62"/>
      <c r="AB135" s="63"/>
      <c r="AC135" s="63"/>
      <c r="AD135" s="65"/>
      <c r="AE135" s="64"/>
      <c r="AF135" s="62"/>
      <c r="AG135" s="63"/>
      <c r="AH135" s="63"/>
      <c r="AI135" s="65"/>
      <c r="AJ135" s="64"/>
      <c r="AK135" s="62"/>
      <c r="AL135" s="62"/>
      <c r="AM135" s="62"/>
      <c r="AN135" s="65"/>
      <c r="AO135" s="61"/>
      <c r="AP135" s="62"/>
      <c r="AQ135" s="62"/>
      <c r="AR135" s="62"/>
      <c r="AS135" s="65"/>
      <c r="AT135" s="64"/>
      <c r="AU135" s="65"/>
      <c r="AV135" s="64">
        <v>20.3531894683838</v>
      </c>
      <c r="AW135" s="65">
        <v>0</v>
      </c>
      <c r="AX135" s="8"/>
      <c r="AZ135" s="1">
        <v>90</v>
      </c>
    </row>
    <row r="136" spans="3:52" ht="15" customHeight="1" x14ac:dyDescent="0.25">
      <c r="C136" s="42">
        <f>C124+1</f>
        <v>11</v>
      </c>
      <c r="D136" s="66">
        <f>DATE([2]Dash!$F$3,VLOOKUP([2]Dash!$E$3,[2]Abb!$C$3:$D$14,2,FALSE),C136)</f>
        <v>45699</v>
      </c>
      <c r="E136" s="67">
        <f>E135+2/24</f>
        <v>10.250000000000004</v>
      </c>
      <c r="F136" s="68">
        <f t="shared" si="8"/>
        <v>45699.250000000291</v>
      </c>
      <c r="G136" s="46"/>
      <c r="H136" s="47"/>
      <c r="I136" s="48"/>
      <c r="J136" s="48"/>
      <c r="K136" s="49"/>
      <c r="L136" s="50"/>
      <c r="M136" s="48"/>
      <c r="N136" s="48"/>
      <c r="O136" s="51"/>
      <c r="P136" s="47"/>
      <c r="Q136" s="48"/>
      <c r="R136" s="49"/>
      <c r="S136" s="49"/>
      <c r="T136" s="51"/>
      <c r="U136" s="50"/>
      <c r="V136" s="48"/>
      <c r="W136" s="49"/>
      <c r="X136" s="49"/>
      <c r="Y136" s="51"/>
      <c r="Z136" s="47"/>
      <c r="AA136" s="48"/>
      <c r="AB136" s="49"/>
      <c r="AC136" s="49"/>
      <c r="AD136" s="51"/>
      <c r="AE136" s="50"/>
      <c r="AF136" s="48"/>
      <c r="AG136" s="49"/>
      <c r="AH136" s="49"/>
      <c r="AI136" s="51"/>
      <c r="AJ136" s="50"/>
      <c r="AK136" s="48"/>
      <c r="AL136" s="48"/>
      <c r="AM136" s="48"/>
      <c r="AN136" s="51"/>
      <c r="AO136" s="47"/>
      <c r="AP136" s="48"/>
      <c r="AQ136" s="48"/>
      <c r="AR136" s="48"/>
      <c r="AS136" s="51"/>
      <c r="AT136" s="50"/>
      <c r="AU136" s="51"/>
      <c r="AV136" s="50">
        <v>20.3409824371338</v>
      </c>
      <c r="AW136" s="51">
        <v>0</v>
      </c>
      <c r="AX136" s="8"/>
      <c r="AZ136" s="1">
        <v>90</v>
      </c>
    </row>
    <row r="137" spans="3:52" ht="15" customHeight="1" x14ac:dyDescent="0.25">
      <c r="C137" s="42"/>
      <c r="D137" s="43">
        <f>D136</f>
        <v>45699</v>
      </c>
      <c r="E137" s="44">
        <f>E136+2/24</f>
        <v>10.333333333333337</v>
      </c>
      <c r="F137" s="45">
        <f t="shared" si="8"/>
        <v>45699.333333333627</v>
      </c>
      <c r="G137" s="52"/>
      <c r="H137" s="53"/>
      <c r="I137" s="54"/>
      <c r="J137" s="54"/>
      <c r="K137" s="55"/>
      <c r="L137" s="56"/>
      <c r="M137" s="54"/>
      <c r="N137" s="54"/>
      <c r="O137" s="57"/>
      <c r="P137" s="53"/>
      <c r="Q137" s="54"/>
      <c r="R137" s="55"/>
      <c r="S137" s="55"/>
      <c r="T137" s="57"/>
      <c r="U137" s="56"/>
      <c r="V137" s="54"/>
      <c r="W137" s="55"/>
      <c r="X137" s="55"/>
      <c r="Y137" s="57"/>
      <c r="Z137" s="53"/>
      <c r="AA137" s="54"/>
      <c r="AB137" s="55"/>
      <c r="AC137" s="55"/>
      <c r="AD137" s="57"/>
      <c r="AE137" s="56"/>
      <c r="AF137" s="54"/>
      <c r="AG137" s="55"/>
      <c r="AH137" s="55"/>
      <c r="AI137" s="57"/>
      <c r="AJ137" s="56"/>
      <c r="AK137" s="54"/>
      <c r="AL137" s="54"/>
      <c r="AM137" s="54"/>
      <c r="AN137" s="57"/>
      <c r="AO137" s="53"/>
      <c r="AP137" s="54"/>
      <c r="AQ137" s="54"/>
      <c r="AR137" s="54"/>
      <c r="AS137" s="57"/>
      <c r="AT137" s="56"/>
      <c r="AU137" s="57"/>
      <c r="AV137" s="56">
        <v>20.3369140625</v>
      </c>
      <c r="AW137" s="57">
        <v>0</v>
      </c>
      <c r="AX137" s="8"/>
      <c r="AZ137" s="1">
        <v>90</v>
      </c>
    </row>
    <row r="138" spans="3:52" ht="15" customHeight="1" x14ac:dyDescent="0.25">
      <c r="C138" s="42"/>
      <c r="D138" s="43">
        <f>D136</f>
        <v>45699</v>
      </c>
      <c r="E138" s="44">
        <f t="shared" ref="E138:E147" si="13">E137+2/24</f>
        <v>10.416666666666671</v>
      </c>
      <c r="F138" s="45">
        <f t="shared" si="8"/>
        <v>45699.416666666963</v>
      </c>
      <c r="G138" s="52"/>
      <c r="H138" s="53"/>
      <c r="I138" s="54"/>
      <c r="J138" s="54"/>
      <c r="K138" s="55"/>
      <c r="L138" s="56"/>
      <c r="M138" s="54"/>
      <c r="N138" s="54"/>
      <c r="O138" s="57"/>
      <c r="P138" s="53"/>
      <c r="Q138" s="54"/>
      <c r="R138" s="55"/>
      <c r="S138" s="55"/>
      <c r="T138" s="57"/>
      <c r="U138" s="56"/>
      <c r="V138" s="54"/>
      <c r="W138" s="55"/>
      <c r="X138" s="55"/>
      <c r="Y138" s="57"/>
      <c r="Z138" s="53"/>
      <c r="AA138" s="54"/>
      <c r="AB138" s="55"/>
      <c r="AC138" s="55"/>
      <c r="AD138" s="57"/>
      <c r="AE138" s="56"/>
      <c r="AF138" s="54"/>
      <c r="AG138" s="55"/>
      <c r="AH138" s="55"/>
      <c r="AI138" s="57"/>
      <c r="AJ138" s="56"/>
      <c r="AK138" s="54"/>
      <c r="AL138" s="54"/>
      <c r="AM138" s="54"/>
      <c r="AN138" s="57"/>
      <c r="AO138" s="53"/>
      <c r="AP138" s="54"/>
      <c r="AQ138" s="54"/>
      <c r="AR138" s="54"/>
      <c r="AS138" s="57"/>
      <c r="AT138" s="56"/>
      <c r="AU138" s="57"/>
      <c r="AV138" s="56">
        <v>20.3653964996338</v>
      </c>
      <c r="AW138" s="57">
        <v>0</v>
      </c>
      <c r="AX138" s="8"/>
      <c r="AZ138" s="1">
        <v>90</v>
      </c>
    </row>
    <row r="139" spans="3:52" ht="15" customHeight="1" x14ac:dyDescent="0.25">
      <c r="C139" s="42"/>
      <c r="D139" s="43">
        <f>D136</f>
        <v>45699</v>
      </c>
      <c r="E139" s="44">
        <f t="shared" si="13"/>
        <v>10.500000000000005</v>
      </c>
      <c r="F139" s="45">
        <f t="shared" si="8"/>
        <v>45699.500000000298</v>
      </c>
      <c r="G139" s="52"/>
      <c r="H139" s="53"/>
      <c r="I139" s="54"/>
      <c r="J139" s="54"/>
      <c r="K139" s="55"/>
      <c r="L139" s="56"/>
      <c r="M139" s="54"/>
      <c r="N139" s="54"/>
      <c r="O139" s="57"/>
      <c r="P139" s="53"/>
      <c r="Q139" s="54"/>
      <c r="R139" s="55"/>
      <c r="S139" s="55"/>
      <c r="T139" s="57"/>
      <c r="U139" s="56"/>
      <c r="V139" s="54"/>
      <c r="W139" s="55"/>
      <c r="X139" s="55"/>
      <c r="Y139" s="57"/>
      <c r="Z139" s="53"/>
      <c r="AA139" s="54"/>
      <c r="AB139" s="55"/>
      <c r="AC139" s="55"/>
      <c r="AD139" s="57"/>
      <c r="AE139" s="56"/>
      <c r="AF139" s="54"/>
      <c r="AG139" s="55"/>
      <c r="AH139" s="55"/>
      <c r="AI139" s="57"/>
      <c r="AJ139" s="56"/>
      <c r="AK139" s="54"/>
      <c r="AL139" s="54"/>
      <c r="AM139" s="54"/>
      <c r="AN139" s="57"/>
      <c r="AO139" s="53"/>
      <c r="AP139" s="54"/>
      <c r="AQ139" s="54"/>
      <c r="AR139" s="54"/>
      <c r="AS139" s="57"/>
      <c r="AT139" s="56"/>
      <c r="AU139" s="57"/>
      <c r="AV139" s="56">
        <v>20.3369140625</v>
      </c>
      <c r="AW139" s="57">
        <v>0</v>
      </c>
      <c r="AX139" s="8"/>
      <c r="AZ139" s="1">
        <v>90</v>
      </c>
    </row>
    <row r="140" spans="3:52" ht="15" customHeight="1" x14ac:dyDescent="0.25">
      <c r="C140" s="42"/>
      <c r="D140" s="43">
        <f>D136</f>
        <v>45699</v>
      </c>
      <c r="E140" s="44">
        <f t="shared" si="13"/>
        <v>10.583333333333339</v>
      </c>
      <c r="F140" s="45">
        <f t="shared" si="8"/>
        <v>45699.583333333634</v>
      </c>
      <c r="G140" s="52"/>
      <c r="H140" s="53"/>
      <c r="I140" s="54"/>
      <c r="J140" s="54"/>
      <c r="K140" s="55"/>
      <c r="L140" s="56"/>
      <c r="M140" s="54"/>
      <c r="N140" s="54"/>
      <c r="O140" s="57"/>
      <c r="P140" s="53"/>
      <c r="Q140" s="54"/>
      <c r="R140" s="55"/>
      <c r="S140" s="55"/>
      <c r="T140" s="57"/>
      <c r="U140" s="56"/>
      <c r="V140" s="54"/>
      <c r="W140" s="55"/>
      <c r="X140" s="55"/>
      <c r="Y140" s="57"/>
      <c r="Z140" s="53"/>
      <c r="AA140" s="54"/>
      <c r="AB140" s="55"/>
      <c r="AC140" s="55"/>
      <c r="AD140" s="57"/>
      <c r="AE140" s="56"/>
      <c r="AF140" s="54"/>
      <c r="AG140" s="55"/>
      <c r="AH140" s="55"/>
      <c r="AI140" s="57"/>
      <c r="AJ140" s="56"/>
      <c r="AK140" s="54"/>
      <c r="AL140" s="54"/>
      <c r="AM140" s="54"/>
      <c r="AN140" s="57"/>
      <c r="AO140" s="53"/>
      <c r="AP140" s="54"/>
      <c r="AQ140" s="54"/>
      <c r="AR140" s="54"/>
      <c r="AS140" s="57"/>
      <c r="AT140" s="56"/>
      <c r="AU140" s="57"/>
      <c r="AV140" s="56">
        <v>20.2880859375</v>
      </c>
      <c r="AW140" s="57">
        <v>0</v>
      </c>
      <c r="AX140" s="8"/>
      <c r="AZ140" s="1">
        <v>90</v>
      </c>
    </row>
    <row r="141" spans="3:52" ht="15" customHeight="1" x14ac:dyDescent="0.25">
      <c r="C141" s="42"/>
      <c r="D141" s="43">
        <f>D136</f>
        <v>45699</v>
      </c>
      <c r="E141" s="44">
        <f t="shared" si="13"/>
        <v>10.666666666666673</v>
      </c>
      <c r="F141" s="45">
        <f t="shared" si="8"/>
        <v>45699.66666666697</v>
      </c>
      <c r="G141" s="52"/>
      <c r="H141" s="53"/>
      <c r="I141" s="54"/>
      <c r="J141" s="54"/>
      <c r="K141" s="55"/>
      <c r="L141" s="56"/>
      <c r="M141" s="54"/>
      <c r="N141" s="54"/>
      <c r="O141" s="57"/>
      <c r="P141" s="53"/>
      <c r="Q141" s="54"/>
      <c r="R141" s="55"/>
      <c r="S141" s="55"/>
      <c r="T141" s="57"/>
      <c r="U141" s="56"/>
      <c r="V141" s="54"/>
      <c r="W141" s="55"/>
      <c r="X141" s="55"/>
      <c r="Y141" s="57"/>
      <c r="Z141" s="53"/>
      <c r="AA141" s="54"/>
      <c r="AB141" s="55"/>
      <c r="AC141" s="55"/>
      <c r="AD141" s="57"/>
      <c r="AE141" s="56"/>
      <c r="AF141" s="54"/>
      <c r="AG141" s="55"/>
      <c r="AH141" s="55"/>
      <c r="AI141" s="57"/>
      <c r="AJ141" s="56"/>
      <c r="AK141" s="54"/>
      <c r="AL141" s="54"/>
      <c r="AM141" s="54"/>
      <c r="AN141" s="57"/>
      <c r="AO141" s="53"/>
      <c r="AP141" s="54"/>
      <c r="AQ141" s="54"/>
      <c r="AR141" s="54"/>
      <c r="AS141" s="57"/>
      <c r="AT141" s="56"/>
      <c r="AU141" s="57"/>
      <c r="AV141" s="56">
        <v>20.320636749267599</v>
      </c>
      <c r="AW141" s="57">
        <v>0</v>
      </c>
      <c r="AX141" s="8"/>
      <c r="AZ141" s="1">
        <v>90</v>
      </c>
    </row>
    <row r="142" spans="3:52" ht="15" customHeight="1" x14ac:dyDescent="0.25">
      <c r="C142" s="42"/>
      <c r="D142" s="43">
        <f>D136</f>
        <v>45699</v>
      </c>
      <c r="E142" s="44">
        <f t="shared" si="13"/>
        <v>10.750000000000007</v>
      </c>
      <c r="F142" s="45">
        <f t="shared" si="8"/>
        <v>45699.750000000306</v>
      </c>
      <c r="G142" s="52"/>
      <c r="H142" s="53"/>
      <c r="I142" s="54"/>
      <c r="J142" s="54"/>
      <c r="K142" s="55"/>
      <c r="L142" s="56"/>
      <c r="M142" s="54"/>
      <c r="N142" s="54"/>
      <c r="O142" s="57"/>
      <c r="P142" s="53"/>
      <c r="Q142" s="54"/>
      <c r="R142" s="55"/>
      <c r="S142" s="55"/>
      <c r="T142" s="57"/>
      <c r="U142" s="56"/>
      <c r="V142" s="54"/>
      <c r="W142" s="55"/>
      <c r="X142" s="55"/>
      <c r="Y142" s="57"/>
      <c r="Z142" s="53"/>
      <c r="AA142" s="54"/>
      <c r="AB142" s="55"/>
      <c r="AC142" s="55"/>
      <c r="AD142" s="57"/>
      <c r="AE142" s="56"/>
      <c r="AF142" s="54"/>
      <c r="AG142" s="55"/>
      <c r="AH142" s="55"/>
      <c r="AI142" s="57"/>
      <c r="AJ142" s="56"/>
      <c r="AK142" s="54"/>
      <c r="AL142" s="54"/>
      <c r="AM142" s="54"/>
      <c r="AN142" s="57"/>
      <c r="AO142" s="53"/>
      <c r="AP142" s="54"/>
      <c r="AQ142" s="54"/>
      <c r="AR142" s="54"/>
      <c r="AS142" s="57"/>
      <c r="AT142" s="56"/>
      <c r="AU142" s="57"/>
      <c r="AV142" s="56">
        <v>20.32470703125</v>
      </c>
      <c r="AW142" s="57">
        <v>0</v>
      </c>
      <c r="AX142" s="8"/>
      <c r="AZ142" s="1">
        <v>90</v>
      </c>
    </row>
    <row r="143" spans="3:52" ht="15" customHeight="1" x14ac:dyDescent="0.25">
      <c r="C143" s="42"/>
      <c r="D143" s="43">
        <f>D136</f>
        <v>45699</v>
      </c>
      <c r="E143" s="44">
        <f t="shared" si="13"/>
        <v>10.833333333333341</v>
      </c>
      <c r="F143" s="45">
        <f t="shared" si="8"/>
        <v>45699.833333333641</v>
      </c>
      <c r="G143" s="52"/>
      <c r="H143" s="53"/>
      <c r="I143" s="54"/>
      <c r="J143" s="54"/>
      <c r="K143" s="55"/>
      <c r="L143" s="56"/>
      <c r="M143" s="54"/>
      <c r="N143" s="54"/>
      <c r="O143" s="57"/>
      <c r="P143" s="53"/>
      <c r="Q143" s="54"/>
      <c r="R143" s="55"/>
      <c r="S143" s="55"/>
      <c r="T143" s="57"/>
      <c r="U143" s="56"/>
      <c r="V143" s="54"/>
      <c r="W143" s="55"/>
      <c r="X143" s="55"/>
      <c r="Y143" s="57"/>
      <c r="Z143" s="53"/>
      <c r="AA143" s="54"/>
      <c r="AB143" s="55"/>
      <c r="AC143" s="55"/>
      <c r="AD143" s="57"/>
      <c r="AE143" s="56"/>
      <c r="AF143" s="54"/>
      <c r="AG143" s="55"/>
      <c r="AH143" s="55"/>
      <c r="AI143" s="57"/>
      <c r="AJ143" s="56"/>
      <c r="AK143" s="54"/>
      <c r="AL143" s="54"/>
      <c r="AM143" s="54"/>
      <c r="AN143" s="57"/>
      <c r="AO143" s="53"/>
      <c r="AP143" s="54"/>
      <c r="AQ143" s="54"/>
      <c r="AR143" s="54"/>
      <c r="AS143" s="57"/>
      <c r="AT143" s="56"/>
      <c r="AU143" s="57"/>
      <c r="AV143" s="56">
        <v>20.3409824371338</v>
      </c>
      <c r="AW143" s="57">
        <v>0</v>
      </c>
      <c r="AX143" s="8"/>
      <c r="AZ143" s="1">
        <v>90</v>
      </c>
    </row>
    <row r="144" spans="3:52" ht="15" customHeight="1" x14ac:dyDescent="0.25">
      <c r="C144" s="42"/>
      <c r="D144" s="43">
        <f>D136</f>
        <v>45699</v>
      </c>
      <c r="E144" s="44">
        <f t="shared" si="13"/>
        <v>10.916666666666675</v>
      </c>
      <c r="F144" s="45">
        <f t="shared" si="8"/>
        <v>45699.916666666977</v>
      </c>
      <c r="G144" s="52"/>
      <c r="H144" s="53"/>
      <c r="I144" s="54"/>
      <c r="J144" s="54"/>
      <c r="K144" s="55"/>
      <c r="L144" s="56"/>
      <c r="M144" s="54"/>
      <c r="N144" s="54"/>
      <c r="O144" s="57"/>
      <c r="P144" s="53"/>
      <c r="Q144" s="54"/>
      <c r="R144" s="55"/>
      <c r="S144" s="55"/>
      <c r="T144" s="57"/>
      <c r="U144" s="56"/>
      <c r="V144" s="54"/>
      <c r="W144" s="55"/>
      <c r="X144" s="55"/>
      <c r="Y144" s="57"/>
      <c r="Z144" s="53"/>
      <c r="AA144" s="54"/>
      <c r="AB144" s="55"/>
      <c r="AC144" s="55"/>
      <c r="AD144" s="57"/>
      <c r="AE144" s="56"/>
      <c r="AF144" s="54"/>
      <c r="AG144" s="55"/>
      <c r="AH144" s="55"/>
      <c r="AI144" s="57"/>
      <c r="AJ144" s="56"/>
      <c r="AK144" s="54"/>
      <c r="AL144" s="54"/>
      <c r="AM144" s="54"/>
      <c r="AN144" s="57"/>
      <c r="AO144" s="53"/>
      <c r="AP144" s="54"/>
      <c r="AQ144" s="54"/>
      <c r="AR144" s="54"/>
      <c r="AS144" s="57"/>
      <c r="AT144" s="56"/>
      <c r="AU144" s="57"/>
      <c r="AV144" s="56">
        <v>20.3653964996338</v>
      </c>
      <c r="AW144" s="57">
        <v>0</v>
      </c>
      <c r="AX144" s="8"/>
      <c r="AZ144" s="1">
        <v>90</v>
      </c>
    </row>
    <row r="145" spans="3:52" ht="15" customHeight="1" x14ac:dyDescent="0.25">
      <c r="C145" s="42"/>
      <c r="D145" s="43">
        <f>D136</f>
        <v>45699</v>
      </c>
      <c r="E145" s="44">
        <f t="shared" si="13"/>
        <v>11.000000000000009</v>
      </c>
      <c r="F145" s="45">
        <f t="shared" si="8"/>
        <v>45700.000000000313</v>
      </c>
      <c r="G145" s="52"/>
      <c r="H145" s="53"/>
      <c r="I145" s="54"/>
      <c r="J145" s="54"/>
      <c r="K145" s="55"/>
      <c r="L145" s="56"/>
      <c r="M145" s="54"/>
      <c r="N145" s="54"/>
      <c r="O145" s="57"/>
      <c r="P145" s="53"/>
      <c r="Q145" s="54"/>
      <c r="R145" s="55"/>
      <c r="S145" s="55"/>
      <c r="T145" s="57"/>
      <c r="U145" s="56"/>
      <c r="V145" s="54"/>
      <c r="W145" s="55"/>
      <c r="X145" s="55"/>
      <c r="Y145" s="57"/>
      <c r="Z145" s="53"/>
      <c r="AA145" s="54"/>
      <c r="AB145" s="55"/>
      <c r="AC145" s="55"/>
      <c r="AD145" s="57"/>
      <c r="AE145" s="56"/>
      <c r="AF145" s="54"/>
      <c r="AG145" s="55"/>
      <c r="AH145" s="55"/>
      <c r="AI145" s="57"/>
      <c r="AJ145" s="56"/>
      <c r="AK145" s="54"/>
      <c r="AL145" s="54"/>
      <c r="AM145" s="54"/>
      <c r="AN145" s="57"/>
      <c r="AO145" s="53"/>
      <c r="AP145" s="54"/>
      <c r="AQ145" s="54"/>
      <c r="AR145" s="54"/>
      <c r="AS145" s="57"/>
      <c r="AT145" s="56"/>
      <c r="AU145" s="57"/>
      <c r="AV145" s="56">
        <v>20.332843780517599</v>
      </c>
      <c r="AW145" s="57">
        <v>0</v>
      </c>
      <c r="AX145" s="8"/>
      <c r="AZ145" s="1">
        <v>90</v>
      </c>
    </row>
    <row r="146" spans="3:52" ht="15" customHeight="1" x14ac:dyDescent="0.25">
      <c r="C146" s="42"/>
      <c r="D146" s="43">
        <f>D136</f>
        <v>45699</v>
      </c>
      <c r="E146" s="44">
        <f t="shared" si="13"/>
        <v>11.083333333333343</v>
      </c>
      <c r="F146" s="45">
        <f t="shared" ref="F146:F209" si="14">F145+(E146-E145)</f>
        <v>45700.083333333649</v>
      </c>
      <c r="G146" s="52"/>
      <c r="H146" s="53"/>
      <c r="I146" s="54"/>
      <c r="J146" s="54"/>
      <c r="K146" s="55"/>
      <c r="L146" s="56"/>
      <c r="M146" s="54"/>
      <c r="N146" s="54"/>
      <c r="O146" s="57"/>
      <c r="P146" s="53"/>
      <c r="Q146" s="54"/>
      <c r="R146" s="55"/>
      <c r="S146" s="55"/>
      <c r="T146" s="57"/>
      <c r="U146" s="56"/>
      <c r="V146" s="54"/>
      <c r="W146" s="55"/>
      <c r="X146" s="55"/>
      <c r="Y146" s="57"/>
      <c r="Z146" s="53"/>
      <c r="AA146" s="54"/>
      <c r="AB146" s="55"/>
      <c r="AC146" s="55"/>
      <c r="AD146" s="57"/>
      <c r="AE146" s="56"/>
      <c r="AF146" s="54"/>
      <c r="AG146" s="55"/>
      <c r="AH146" s="55"/>
      <c r="AI146" s="57"/>
      <c r="AJ146" s="56"/>
      <c r="AK146" s="54"/>
      <c r="AL146" s="54"/>
      <c r="AM146" s="54"/>
      <c r="AN146" s="57"/>
      <c r="AO146" s="53"/>
      <c r="AP146" s="54"/>
      <c r="AQ146" s="54"/>
      <c r="AR146" s="54"/>
      <c r="AS146" s="57"/>
      <c r="AT146" s="56"/>
      <c r="AU146" s="57"/>
      <c r="AV146" s="56">
        <v>20.3165683746338</v>
      </c>
      <c r="AW146" s="57">
        <v>0</v>
      </c>
      <c r="AX146" s="8"/>
      <c r="AZ146" s="1">
        <v>90</v>
      </c>
    </row>
    <row r="147" spans="3:52" ht="15" customHeight="1" x14ac:dyDescent="0.25">
      <c r="C147" s="42"/>
      <c r="D147" s="69">
        <f>D136</f>
        <v>45699</v>
      </c>
      <c r="E147" s="70">
        <f t="shared" si="13"/>
        <v>11.166666666666677</v>
      </c>
      <c r="F147" s="71">
        <f t="shared" si="14"/>
        <v>45700.166666666984</v>
      </c>
      <c r="G147" s="60"/>
      <c r="H147" s="61"/>
      <c r="I147" s="62"/>
      <c r="J147" s="62"/>
      <c r="K147" s="63"/>
      <c r="L147" s="64"/>
      <c r="M147" s="62"/>
      <c r="N147" s="62"/>
      <c r="O147" s="65"/>
      <c r="P147" s="61"/>
      <c r="Q147" s="62"/>
      <c r="R147" s="63"/>
      <c r="S147" s="63"/>
      <c r="T147" s="65"/>
      <c r="U147" s="64"/>
      <c r="V147" s="62"/>
      <c r="W147" s="63"/>
      <c r="X147" s="63"/>
      <c r="Y147" s="65"/>
      <c r="Z147" s="61"/>
      <c r="AA147" s="62"/>
      <c r="AB147" s="63"/>
      <c r="AC147" s="63"/>
      <c r="AD147" s="65"/>
      <c r="AE147" s="64"/>
      <c r="AF147" s="62"/>
      <c r="AG147" s="63"/>
      <c r="AH147" s="63"/>
      <c r="AI147" s="65"/>
      <c r="AJ147" s="64"/>
      <c r="AK147" s="62"/>
      <c r="AL147" s="62"/>
      <c r="AM147" s="62"/>
      <c r="AN147" s="65"/>
      <c r="AO147" s="61"/>
      <c r="AP147" s="62"/>
      <c r="AQ147" s="62"/>
      <c r="AR147" s="62"/>
      <c r="AS147" s="65"/>
      <c r="AT147" s="64"/>
      <c r="AU147" s="65"/>
      <c r="AV147" s="64">
        <v>20.3369140625</v>
      </c>
      <c r="AW147" s="65">
        <v>0</v>
      </c>
      <c r="AX147" s="8"/>
      <c r="AZ147" s="1">
        <v>90</v>
      </c>
    </row>
    <row r="148" spans="3:52" ht="15" customHeight="1" x14ac:dyDescent="0.25">
      <c r="C148" s="42">
        <f>C136+1</f>
        <v>12</v>
      </c>
      <c r="D148" s="66">
        <f>DATE([2]Dash!$F$3,VLOOKUP([2]Dash!$E$3,[2]Abb!$C$3:$D$14,2,FALSE),C148)</f>
        <v>45700</v>
      </c>
      <c r="E148" s="67">
        <f>E147+2/24</f>
        <v>11.250000000000011</v>
      </c>
      <c r="F148" s="68">
        <f t="shared" si="14"/>
        <v>45700.25000000032</v>
      </c>
      <c r="G148" s="46"/>
      <c r="H148" s="47"/>
      <c r="I148" s="48"/>
      <c r="J148" s="48"/>
      <c r="K148" s="49"/>
      <c r="L148" s="50"/>
      <c r="M148" s="48"/>
      <c r="N148" s="48"/>
      <c r="O148" s="51"/>
      <c r="P148" s="47"/>
      <c r="Q148" s="48"/>
      <c r="R148" s="49"/>
      <c r="S148" s="49"/>
      <c r="T148" s="51"/>
      <c r="U148" s="50"/>
      <c r="V148" s="48"/>
      <c r="W148" s="49"/>
      <c r="X148" s="49"/>
      <c r="Y148" s="51"/>
      <c r="Z148" s="47"/>
      <c r="AA148" s="48"/>
      <c r="AB148" s="49"/>
      <c r="AC148" s="49"/>
      <c r="AD148" s="51"/>
      <c r="AE148" s="50"/>
      <c r="AF148" s="48"/>
      <c r="AG148" s="49"/>
      <c r="AH148" s="49"/>
      <c r="AI148" s="51"/>
      <c r="AJ148" s="50"/>
      <c r="AK148" s="48"/>
      <c r="AL148" s="48"/>
      <c r="AM148" s="48"/>
      <c r="AN148" s="51"/>
      <c r="AO148" s="47"/>
      <c r="AP148" s="48"/>
      <c r="AQ148" s="48"/>
      <c r="AR148" s="48"/>
      <c r="AS148" s="51"/>
      <c r="AT148" s="50"/>
      <c r="AU148" s="51"/>
      <c r="AV148" s="50">
        <v>20.393878936767599</v>
      </c>
      <c r="AW148" s="51">
        <v>0</v>
      </c>
      <c r="AX148" s="8"/>
      <c r="AZ148" s="1">
        <v>90</v>
      </c>
    </row>
    <row r="149" spans="3:52" ht="15" customHeight="1" x14ac:dyDescent="0.25">
      <c r="C149" s="42"/>
      <c r="D149" s="43">
        <f>D148</f>
        <v>45700</v>
      </c>
      <c r="E149" s="44">
        <f>E148+2/24</f>
        <v>11.333333333333345</v>
      </c>
      <c r="F149" s="45">
        <f t="shared" si="14"/>
        <v>45700.333333333656</v>
      </c>
      <c r="G149" s="52"/>
      <c r="H149" s="53"/>
      <c r="I149" s="54"/>
      <c r="J149" s="54"/>
      <c r="K149" s="55"/>
      <c r="L149" s="56"/>
      <c r="M149" s="54"/>
      <c r="N149" s="54"/>
      <c r="O149" s="57"/>
      <c r="P149" s="53"/>
      <c r="Q149" s="54"/>
      <c r="R149" s="55"/>
      <c r="S149" s="55"/>
      <c r="T149" s="57"/>
      <c r="U149" s="56"/>
      <c r="V149" s="54"/>
      <c r="W149" s="55"/>
      <c r="X149" s="55"/>
      <c r="Y149" s="57"/>
      <c r="Z149" s="53"/>
      <c r="AA149" s="54"/>
      <c r="AB149" s="55"/>
      <c r="AC149" s="55"/>
      <c r="AD149" s="57"/>
      <c r="AE149" s="56"/>
      <c r="AF149" s="54"/>
      <c r="AG149" s="55"/>
      <c r="AH149" s="55"/>
      <c r="AI149" s="57"/>
      <c r="AJ149" s="56"/>
      <c r="AK149" s="54"/>
      <c r="AL149" s="54"/>
      <c r="AM149" s="54"/>
      <c r="AN149" s="57"/>
      <c r="AO149" s="53"/>
      <c r="AP149" s="54"/>
      <c r="AQ149" s="54"/>
      <c r="AR149" s="54"/>
      <c r="AS149" s="57"/>
      <c r="AT149" s="56"/>
      <c r="AU149" s="57"/>
      <c r="AV149" s="56">
        <v>20.3125</v>
      </c>
      <c r="AW149" s="57">
        <v>0</v>
      </c>
      <c r="AX149" s="8"/>
      <c r="AZ149" s="1">
        <v>90</v>
      </c>
    </row>
    <row r="150" spans="3:52" ht="15" customHeight="1" x14ac:dyDescent="0.25">
      <c r="C150" s="42"/>
      <c r="D150" s="43">
        <f>D148</f>
        <v>45700</v>
      </c>
      <c r="E150" s="44">
        <f t="shared" ref="E150:E159" si="15">E149+2/24</f>
        <v>11.416666666666679</v>
      </c>
      <c r="F150" s="45">
        <f t="shared" si="14"/>
        <v>45700.416666666992</v>
      </c>
      <c r="G150" s="52"/>
      <c r="H150" s="53"/>
      <c r="I150" s="54"/>
      <c r="J150" s="54"/>
      <c r="K150" s="55"/>
      <c r="L150" s="56"/>
      <c r="M150" s="54"/>
      <c r="N150" s="54"/>
      <c r="O150" s="57"/>
      <c r="P150" s="53"/>
      <c r="Q150" s="54"/>
      <c r="R150" s="55"/>
      <c r="S150" s="55"/>
      <c r="T150" s="57"/>
      <c r="U150" s="56"/>
      <c r="V150" s="54"/>
      <c r="W150" s="55"/>
      <c r="X150" s="55"/>
      <c r="Y150" s="57"/>
      <c r="Z150" s="53"/>
      <c r="AA150" s="54"/>
      <c r="AB150" s="55"/>
      <c r="AC150" s="55"/>
      <c r="AD150" s="57"/>
      <c r="AE150" s="56"/>
      <c r="AF150" s="54"/>
      <c r="AG150" s="55"/>
      <c r="AH150" s="55"/>
      <c r="AI150" s="57"/>
      <c r="AJ150" s="56"/>
      <c r="AK150" s="54"/>
      <c r="AL150" s="54"/>
      <c r="AM150" s="54"/>
      <c r="AN150" s="57"/>
      <c r="AO150" s="53"/>
      <c r="AP150" s="54"/>
      <c r="AQ150" s="54"/>
      <c r="AR150" s="54"/>
      <c r="AS150" s="57"/>
      <c r="AT150" s="56"/>
      <c r="AU150" s="57"/>
      <c r="AV150" s="56">
        <v>66.035964965820298</v>
      </c>
      <c r="AW150" s="57">
        <v>0</v>
      </c>
      <c r="AX150" s="8"/>
      <c r="AZ150" s="1">
        <v>90</v>
      </c>
    </row>
    <row r="151" spans="3:52" ht="15" customHeight="1" x14ac:dyDescent="0.25">
      <c r="C151" s="42"/>
      <c r="D151" s="43">
        <f>D148</f>
        <v>45700</v>
      </c>
      <c r="E151" s="44">
        <f t="shared" si="15"/>
        <v>11.500000000000012</v>
      </c>
      <c r="F151" s="45">
        <f t="shared" si="14"/>
        <v>45700.500000000327</v>
      </c>
      <c r="G151" s="52"/>
      <c r="H151" s="53"/>
      <c r="I151" s="54"/>
      <c r="J151" s="54"/>
      <c r="K151" s="55"/>
      <c r="L151" s="56"/>
      <c r="M151" s="54"/>
      <c r="N151" s="54"/>
      <c r="O151" s="57"/>
      <c r="P151" s="53"/>
      <c r="Q151" s="54"/>
      <c r="R151" s="55"/>
      <c r="S151" s="55"/>
      <c r="T151" s="57"/>
      <c r="U151" s="56"/>
      <c r="V151" s="54"/>
      <c r="W151" s="55"/>
      <c r="X151" s="55"/>
      <c r="Y151" s="57"/>
      <c r="Z151" s="53"/>
      <c r="AA151" s="54"/>
      <c r="AB151" s="55"/>
      <c r="AC151" s="55"/>
      <c r="AD151" s="57"/>
      <c r="AE151" s="56"/>
      <c r="AF151" s="54"/>
      <c r="AG151" s="55"/>
      <c r="AH151" s="55"/>
      <c r="AI151" s="57"/>
      <c r="AJ151" s="56"/>
      <c r="AK151" s="54"/>
      <c r="AL151" s="54"/>
      <c r="AM151" s="54"/>
      <c r="AN151" s="57"/>
      <c r="AO151" s="53"/>
      <c r="AP151" s="54"/>
      <c r="AQ151" s="54"/>
      <c r="AR151" s="54"/>
      <c r="AS151" s="57"/>
      <c r="AT151" s="56"/>
      <c r="AU151" s="57"/>
      <c r="AV151" s="56">
        <v>66.117347717285199</v>
      </c>
      <c r="AW151" s="57">
        <v>0</v>
      </c>
      <c r="AX151" s="8"/>
      <c r="AZ151" s="1">
        <v>90</v>
      </c>
    </row>
    <row r="152" spans="3:52" ht="15" customHeight="1" x14ac:dyDescent="0.25">
      <c r="C152" s="42"/>
      <c r="D152" s="43">
        <f>D148</f>
        <v>45700</v>
      </c>
      <c r="E152" s="44">
        <f t="shared" si="15"/>
        <v>11.583333333333346</v>
      </c>
      <c r="F152" s="45">
        <f t="shared" si="14"/>
        <v>45700.583333333663</v>
      </c>
      <c r="G152" s="52"/>
      <c r="H152" s="53"/>
      <c r="I152" s="54"/>
      <c r="J152" s="54"/>
      <c r="K152" s="55"/>
      <c r="L152" s="56"/>
      <c r="M152" s="54"/>
      <c r="N152" s="54"/>
      <c r="O152" s="57"/>
      <c r="P152" s="53"/>
      <c r="Q152" s="54"/>
      <c r="R152" s="55"/>
      <c r="S152" s="55"/>
      <c r="T152" s="57"/>
      <c r="U152" s="56"/>
      <c r="V152" s="54"/>
      <c r="W152" s="55"/>
      <c r="X152" s="55"/>
      <c r="Y152" s="57"/>
      <c r="Z152" s="53"/>
      <c r="AA152" s="54"/>
      <c r="AB152" s="55"/>
      <c r="AC152" s="55"/>
      <c r="AD152" s="57"/>
      <c r="AE152" s="56"/>
      <c r="AF152" s="54"/>
      <c r="AG152" s="55"/>
      <c r="AH152" s="55"/>
      <c r="AI152" s="57"/>
      <c r="AJ152" s="56"/>
      <c r="AK152" s="54"/>
      <c r="AL152" s="54"/>
      <c r="AM152" s="54"/>
      <c r="AN152" s="57"/>
      <c r="AO152" s="53"/>
      <c r="AP152" s="54"/>
      <c r="AQ152" s="54"/>
      <c r="AR152" s="54"/>
      <c r="AS152" s="57"/>
      <c r="AT152" s="56"/>
      <c r="AU152" s="57"/>
      <c r="AV152" s="56">
        <v>66.12548828125</v>
      </c>
      <c r="AW152" s="57">
        <v>0</v>
      </c>
      <c r="AX152" s="8"/>
      <c r="AZ152" s="1">
        <v>90</v>
      </c>
    </row>
    <row r="153" spans="3:52" ht="15" customHeight="1" x14ac:dyDescent="0.25">
      <c r="C153" s="42"/>
      <c r="D153" s="43">
        <f>D148</f>
        <v>45700</v>
      </c>
      <c r="E153" s="44">
        <f t="shared" si="15"/>
        <v>11.66666666666668</v>
      </c>
      <c r="F153" s="45">
        <f t="shared" si="14"/>
        <v>45700.666666666999</v>
      </c>
      <c r="G153" s="52"/>
      <c r="H153" s="53"/>
      <c r="I153" s="54"/>
      <c r="J153" s="54"/>
      <c r="K153" s="55"/>
      <c r="L153" s="56"/>
      <c r="M153" s="54"/>
      <c r="N153" s="54"/>
      <c r="O153" s="57"/>
      <c r="P153" s="53"/>
      <c r="Q153" s="54"/>
      <c r="R153" s="55"/>
      <c r="S153" s="55"/>
      <c r="T153" s="57"/>
      <c r="U153" s="56"/>
      <c r="V153" s="54"/>
      <c r="W153" s="55"/>
      <c r="X153" s="55"/>
      <c r="Y153" s="57"/>
      <c r="Z153" s="53"/>
      <c r="AA153" s="54"/>
      <c r="AB153" s="55"/>
      <c r="AC153" s="55"/>
      <c r="AD153" s="57"/>
      <c r="AE153" s="56"/>
      <c r="AF153" s="54"/>
      <c r="AG153" s="55"/>
      <c r="AH153" s="55"/>
      <c r="AI153" s="57"/>
      <c r="AJ153" s="56"/>
      <c r="AK153" s="54"/>
      <c r="AL153" s="54"/>
      <c r="AM153" s="54"/>
      <c r="AN153" s="57"/>
      <c r="AO153" s="53"/>
      <c r="AP153" s="54"/>
      <c r="AQ153" s="54"/>
      <c r="AR153" s="54"/>
      <c r="AS153" s="57"/>
      <c r="AT153" s="56"/>
      <c r="AU153" s="57"/>
      <c r="AV153" s="56">
        <v>65.966796875</v>
      </c>
      <c r="AW153" s="57">
        <v>0</v>
      </c>
      <c r="AX153" s="8"/>
      <c r="AZ153" s="1">
        <v>90</v>
      </c>
    </row>
    <row r="154" spans="3:52" ht="15" customHeight="1" x14ac:dyDescent="0.25">
      <c r="C154" s="42"/>
      <c r="D154" s="43">
        <f>D148</f>
        <v>45700</v>
      </c>
      <c r="E154" s="44">
        <f t="shared" si="15"/>
        <v>11.750000000000014</v>
      </c>
      <c r="F154" s="45">
        <f t="shared" si="14"/>
        <v>45700.750000000335</v>
      </c>
      <c r="G154" s="52"/>
      <c r="H154" s="53"/>
      <c r="I154" s="54"/>
      <c r="J154" s="54"/>
      <c r="K154" s="55"/>
      <c r="L154" s="56"/>
      <c r="M154" s="54"/>
      <c r="N154" s="54"/>
      <c r="O154" s="57"/>
      <c r="P154" s="53"/>
      <c r="Q154" s="54"/>
      <c r="R154" s="55"/>
      <c r="S154" s="55"/>
      <c r="T154" s="57"/>
      <c r="U154" s="56"/>
      <c r="V154" s="54"/>
      <c r="W154" s="55"/>
      <c r="X154" s="55"/>
      <c r="Y154" s="57"/>
      <c r="Z154" s="53"/>
      <c r="AA154" s="54"/>
      <c r="AB154" s="55"/>
      <c r="AC154" s="55"/>
      <c r="AD154" s="57"/>
      <c r="AE154" s="56"/>
      <c r="AF154" s="54"/>
      <c r="AG154" s="55"/>
      <c r="AH154" s="55"/>
      <c r="AI154" s="57"/>
      <c r="AJ154" s="56"/>
      <c r="AK154" s="54"/>
      <c r="AL154" s="54"/>
      <c r="AM154" s="54"/>
      <c r="AN154" s="57"/>
      <c r="AO154" s="53"/>
      <c r="AP154" s="54"/>
      <c r="AQ154" s="54"/>
      <c r="AR154" s="54"/>
      <c r="AS154" s="57"/>
      <c r="AT154" s="56"/>
      <c r="AU154" s="57"/>
      <c r="AV154" s="56">
        <v>65.681961059570298</v>
      </c>
      <c r="AW154" s="57">
        <v>0</v>
      </c>
      <c r="AX154" s="8"/>
      <c r="AZ154" s="1">
        <v>90</v>
      </c>
    </row>
    <row r="155" spans="3:52" ht="15" customHeight="1" x14ac:dyDescent="0.25">
      <c r="C155" s="42"/>
      <c r="D155" s="43">
        <f>D148</f>
        <v>45700</v>
      </c>
      <c r="E155" s="44">
        <f t="shared" si="15"/>
        <v>11.833333333333348</v>
      </c>
      <c r="F155" s="45">
        <f t="shared" si="14"/>
        <v>45700.83333333367</v>
      </c>
      <c r="G155" s="52"/>
      <c r="H155" s="53"/>
      <c r="I155" s="54"/>
      <c r="J155" s="54"/>
      <c r="K155" s="55"/>
      <c r="L155" s="56"/>
      <c r="M155" s="54"/>
      <c r="N155" s="54"/>
      <c r="O155" s="57"/>
      <c r="P155" s="53"/>
      <c r="Q155" s="54"/>
      <c r="R155" s="55"/>
      <c r="S155" s="55"/>
      <c r="T155" s="57"/>
      <c r="U155" s="56"/>
      <c r="V155" s="54"/>
      <c r="W155" s="55"/>
      <c r="X155" s="55"/>
      <c r="Y155" s="57"/>
      <c r="Z155" s="53"/>
      <c r="AA155" s="54"/>
      <c r="AB155" s="55"/>
      <c r="AC155" s="55"/>
      <c r="AD155" s="57"/>
      <c r="AE155" s="56"/>
      <c r="AF155" s="54"/>
      <c r="AG155" s="55"/>
      <c r="AH155" s="55"/>
      <c r="AI155" s="57"/>
      <c r="AJ155" s="56"/>
      <c r="AK155" s="54"/>
      <c r="AL155" s="54"/>
      <c r="AM155" s="54"/>
      <c r="AN155" s="57"/>
      <c r="AO155" s="53"/>
      <c r="AP155" s="54"/>
      <c r="AQ155" s="54"/>
      <c r="AR155" s="54"/>
      <c r="AS155" s="57"/>
      <c r="AT155" s="56"/>
      <c r="AU155" s="57"/>
      <c r="AV155" s="56">
        <v>52.372234344482401</v>
      </c>
      <c r="AW155" s="57">
        <v>0</v>
      </c>
      <c r="AX155" s="8"/>
      <c r="AZ155" s="1">
        <v>90</v>
      </c>
    </row>
    <row r="156" spans="3:52" ht="15" customHeight="1" x14ac:dyDescent="0.25">
      <c r="C156" s="42"/>
      <c r="D156" s="43">
        <f>D148</f>
        <v>45700</v>
      </c>
      <c r="E156" s="44">
        <f t="shared" si="15"/>
        <v>11.916666666666682</v>
      </c>
      <c r="F156" s="45">
        <f t="shared" si="14"/>
        <v>45700.916666667006</v>
      </c>
      <c r="G156" s="52"/>
      <c r="H156" s="53"/>
      <c r="I156" s="54"/>
      <c r="J156" s="54"/>
      <c r="K156" s="55"/>
      <c r="L156" s="56"/>
      <c r="M156" s="54"/>
      <c r="N156" s="54"/>
      <c r="O156" s="57"/>
      <c r="P156" s="53"/>
      <c r="Q156" s="54"/>
      <c r="R156" s="55"/>
      <c r="S156" s="55"/>
      <c r="T156" s="57"/>
      <c r="U156" s="56"/>
      <c r="V156" s="54"/>
      <c r="W156" s="55"/>
      <c r="X156" s="55"/>
      <c r="Y156" s="57"/>
      <c r="Z156" s="53"/>
      <c r="AA156" s="54"/>
      <c r="AB156" s="55"/>
      <c r="AC156" s="55"/>
      <c r="AD156" s="57"/>
      <c r="AE156" s="56"/>
      <c r="AF156" s="54"/>
      <c r="AG156" s="55"/>
      <c r="AH156" s="55"/>
      <c r="AI156" s="57"/>
      <c r="AJ156" s="56"/>
      <c r="AK156" s="54"/>
      <c r="AL156" s="54"/>
      <c r="AM156" s="54"/>
      <c r="AN156" s="57"/>
      <c r="AO156" s="53"/>
      <c r="AP156" s="54"/>
      <c r="AQ156" s="54"/>
      <c r="AR156" s="54"/>
      <c r="AS156" s="57"/>
      <c r="AT156" s="56"/>
      <c r="AU156" s="57"/>
      <c r="AV156" s="56">
        <v>20.4345703125</v>
      </c>
      <c r="AW156" s="57">
        <v>0</v>
      </c>
      <c r="AX156" s="8"/>
      <c r="AZ156" s="1">
        <v>90</v>
      </c>
    </row>
    <row r="157" spans="3:52" ht="15" customHeight="1" x14ac:dyDescent="0.25">
      <c r="C157" s="42"/>
      <c r="D157" s="43">
        <f>D148</f>
        <v>45700</v>
      </c>
      <c r="E157" s="44">
        <f t="shared" si="15"/>
        <v>12.000000000000016</v>
      </c>
      <c r="F157" s="45">
        <f t="shared" si="14"/>
        <v>45701.000000000342</v>
      </c>
      <c r="G157" s="52"/>
      <c r="H157" s="53"/>
      <c r="I157" s="54"/>
      <c r="J157" s="54"/>
      <c r="K157" s="55"/>
      <c r="L157" s="56"/>
      <c r="M157" s="54"/>
      <c r="N157" s="54"/>
      <c r="O157" s="57"/>
      <c r="P157" s="53"/>
      <c r="Q157" s="54"/>
      <c r="R157" s="55"/>
      <c r="S157" s="55"/>
      <c r="T157" s="57"/>
      <c r="U157" s="56"/>
      <c r="V157" s="54"/>
      <c r="W157" s="55"/>
      <c r="X157" s="55"/>
      <c r="Y157" s="57"/>
      <c r="Z157" s="53"/>
      <c r="AA157" s="54"/>
      <c r="AB157" s="55"/>
      <c r="AC157" s="55"/>
      <c r="AD157" s="57"/>
      <c r="AE157" s="56"/>
      <c r="AF157" s="54"/>
      <c r="AG157" s="55"/>
      <c r="AH157" s="55"/>
      <c r="AI157" s="57"/>
      <c r="AJ157" s="56"/>
      <c r="AK157" s="54"/>
      <c r="AL157" s="54"/>
      <c r="AM157" s="54"/>
      <c r="AN157" s="57"/>
      <c r="AO157" s="53"/>
      <c r="AP157" s="54"/>
      <c r="AQ157" s="54"/>
      <c r="AR157" s="54"/>
      <c r="AS157" s="57"/>
      <c r="AT157" s="56"/>
      <c r="AU157" s="57"/>
      <c r="AV157" s="56">
        <v>20.44677734375</v>
      </c>
      <c r="AW157" s="57">
        <v>0</v>
      </c>
      <c r="AX157" s="8"/>
      <c r="AZ157" s="1">
        <v>90</v>
      </c>
    </row>
    <row r="158" spans="3:52" ht="15" customHeight="1" x14ac:dyDescent="0.25">
      <c r="C158" s="42"/>
      <c r="D158" s="43">
        <f>D148</f>
        <v>45700</v>
      </c>
      <c r="E158" s="44">
        <f t="shared" si="15"/>
        <v>12.08333333333335</v>
      </c>
      <c r="F158" s="45">
        <f t="shared" si="14"/>
        <v>45701.083333333678</v>
      </c>
      <c r="G158" s="52"/>
      <c r="H158" s="53"/>
      <c r="I158" s="54"/>
      <c r="J158" s="54"/>
      <c r="K158" s="55"/>
      <c r="L158" s="56"/>
      <c r="M158" s="54"/>
      <c r="N158" s="54"/>
      <c r="O158" s="57"/>
      <c r="P158" s="53"/>
      <c r="Q158" s="54"/>
      <c r="R158" s="55"/>
      <c r="S158" s="55"/>
      <c r="T158" s="57"/>
      <c r="U158" s="56"/>
      <c r="V158" s="54"/>
      <c r="W158" s="55"/>
      <c r="X158" s="55"/>
      <c r="Y158" s="57"/>
      <c r="Z158" s="53"/>
      <c r="AA158" s="54"/>
      <c r="AB158" s="55"/>
      <c r="AC158" s="55"/>
      <c r="AD158" s="57"/>
      <c r="AE158" s="56"/>
      <c r="AF158" s="54"/>
      <c r="AG158" s="55"/>
      <c r="AH158" s="55"/>
      <c r="AI158" s="57"/>
      <c r="AJ158" s="56"/>
      <c r="AK158" s="54"/>
      <c r="AL158" s="54"/>
      <c r="AM158" s="54"/>
      <c r="AN158" s="57"/>
      <c r="AO158" s="53"/>
      <c r="AP158" s="54"/>
      <c r="AQ158" s="54"/>
      <c r="AR158" s="54"/>
      <c r="AS158" s="57"/>
      <c r="AT158" s="56"/>
      <c r="AU158" s="57"/>
      <c r="AV158" s="56">
        <v>20.381671905517599</v>
      </c>
      <c r="AW158" s="57">
        <v>0</v>
      </c>
      <c r="AX158" s="8"/>
      <c r="AZ158" s="1">
        <v>90</v>
      </c>
    </row>
    <row r="159" spans="3:52" ht="15" customHeight="1" x14ac:dyDescent="0.25">
      <c r="C159" s="42"/>
      <c r="D159" s="69">
        <f>D148</f>
        <v>45700</v>
      </c>
      <c r="E159" s="70">
        <f t="shared" si="15"/>
        <v>12.166666666666684</v>
      </c>
      <c r="F159" s="71">
        <f t="shared" si="14"/>
        <v>45701.166666667013</v>
      </c>
      <c r="G159" s="60"/>
      <c r="H159" s="61"/>
      <c r="I159" s="62"/>
      <c r="J159" s="62"/>
      <c r="K159" s="63"/>
      <c r="L159" s="64"/>
      <c r="M159" s="62"/>
      <c r="N159" s="62"/>
      <c r="O159" s="65"/>
      <c r="P159" s="61"/>
      <c r="Q159" s="62"/>
      <c r="R159" s="63"/>
      <c r="S159" s="63"/>
      <c r="T159" s="65"/>
      <c r="U159" s="64"/>
      <c r="V159" s="62"/>
      <c r="W159" s="63"/>
      <c r="X159" s="63"/>
      <c r="Y159" s="65"/>
      <c r="Z159" s="61"/>
      <c r="AA159" s="62"/>
      <c r="AB159" s="63"/>
      <c r="AC159" s="63"/>
      <c r="AD159" s="65"/>
      <c r="AE159" s="64"/>
      <c r="AF159" s="62"/>
      <c r="AG159" s="63"/>
      <c r="AH159" s="63"/>
      <c r="AI159" s="65"/>
      <c r="AJ159" s="64"/>
      <c r="AK159" s="62"/>
      <c r="AL159" s="62"/>
      <c r="AM159" s="62"/>
      <c r="AN159" s="65"/>
      <c r="AO159" s="61"/>
      <c r="AP159" s="62"/>
      <c r="AQ159" s="62"/>
      <c r="AR159" s="62"/>
      <c r="AS159" s="65"/>
      <c r="AT159" s="64"/>
      <c r="AU159" s="65"/>
      <c r="AV159" s="64">
        <v>20.357257843017599</v>
      </c>
      <c r="AW159" s="65">
        <v>0</v>
      </c>
      <c r="AX159" s="8"/>
      <c r="AZ159" s="1">
        <v>90</v>
      </c>
    </row>
    <row r="160" spans="3:52" ht="15" customHeight="1" x14ac:dyDescent="0.25">
      <c r="C160" s="42">
        <f>C148+1</f>
        <v>13</v>
      </c>
      <c r="D160" s="66">
        <f>DATE([2]Dash!$F$3,VLOOKUP([2]Dash!$E$3,[2]Abb!$C$3:$D$14,2,FALSE),C160)</f>
        <v>45701</v>
      </c>
      <c r="E160" s="67">
        <f>E159+2/24</f>
        <v>12.250000000000018</v>
      </c>
      <c r="F160" s="68">
        <f t="shared" si="14"/>
        <v>45701.250000000349</v>
      </c>
      <c r="G160" s="46"/>
      <c r="H160" s="47"/>
      <c r="I160" s="48"/>
      <c r="J160" s="48"/>
      <c r="K160" s="49"/>
      <c r="L160" s="50"/>
      <c r="M160" s="48"/>
      <c r="N160" s="48"/>
      <c r="O160" s="51"/>
      <c r="P160" s="47"/>
      <c r="Q160" s="48"/>
      <c r="R160" s="49"/>
      <c r="S160" s="49"/>
      <c r="T160" s="51"/>
      <c r="U160" s="50"/>
      <c r="V160" s="48"/>
      <c r="W160" s="49"/>
      <c r="X160" s="49"/>
      <c r="Y160" s="51"/>
      <c r="Z160" s="47"/>
      <c r="AA160" s="48"/>
      <c r="AB160" s="49"/>
      <c r="AC160" s="49"/>
      <c r="AD160" s="51"/>
      <c r="AE160" s="50"/>
      <c r="AF160" s="48"/>
      <c r="AG160" s="49"/>
      <c r="AH160" s="49"/>
      <c r="AI160" s="51"/>
      <c r="AJ160" s="50"/>
      <c r="AK160" s="48"/>
      <c r="AL160" s="48"/>
      <c r="AM160" s="48"/>
      <c r="AN160" s="51"/>
      <c r="AO160" s="47"/>
      <c r="AP160" s="48"/>
      <c r="AQ160" s="48"/>
      <c r="AR160" s="48"/>
      <c r="AS160" s="51"/>
      <c r="AT160" s="50"/>
      <c r="AU160" s="51"/>
      <c r="AV160" s="50">
        <v>20.34912109375</v>
      </c>
      <c r="AW160" s="51">
        <v>0</v>
      </c>
      <c r="AX160" s="8"/>
      <c r="AZ160" s="1">
        <v>90</v>
      </c>
    </row>
    <row r="161" spans="3:52" ht="15" customHeight="1" x14ac:dyDescent="0.25">
      <c r="C161" s="42"/>
      <c r="D161" s="43">
        <f>D160</f>
        <v>45701</v>
      </c>
      <c r="E161" s="44">
        <f>E160+2/24</f>
        <v>12.333333333333352</v>
      </c>
      <c r="F161" s="45">
        <f t="shared" si="14"/>
        <v>45701.333333333685</v>
      </c>
      <c r="G161" s="52">
        <v>0</v>
      </c>
      <c r="H161" s="53">
        <v>0</v>
      </c>
      <c r="I161" s="54">
        <v>0</v>
      </c>
      <c r="J161" s="54">
        <v>0</v>
      </c>
      <c r="K161" s="55">
        <v>0</v>
      </c>
      <c r="L161" s="56">
        <v>0</v>
      </c>
      <c r="M161" s="54">
        <v>0</v>
      </c>
      <c r="N161" s="54">
        <v>0</v>
      </c>
      <c r="O161" s="57">
        <v>0</v>
      </c>
      <c r="P161" s="53">
        <v>0</v>
      </c>
      <c r="Q161" s="54">
        <v>0</v>
      </c>
      <c r="R161" s="55">
        <v>0</v>
      </c>
      <c r="S161" s="55">
        <v>0</v>
      </c>
      <c r="T161" s="57">
        <v>0</v>
      </c>
      <c r="U161" s="56">
        <v>0</v>
      </c>
      <c r="V161" s="54">
        <v>0</v>
      </c>
      <c r="W161" s="55">
        <v>0</v>
      </c>
      <c r="X161" s="55">
        <v>0</v>
      </c>
      <c r="Y161" s="57">
        <v>0</v>
      </c>
      <c r="Z161" s="53">
        <v>0</v>
      </c>
      <c r="AA161" s="54">
        <v>0</v>
      </c>
      <c r="AB161" s="55">
        <v>0</v>
      </c>
      <c r="AC161" s="55">
        <v>0</v>
      </c>
      <c r="AD161" s="57">
        <v>0</v>
      </c>
      <c r="AE161" s="56">
        <v>0</v>
      </c>
      <c r="AF161" s="54">
        <v>0</v>
      </c>
      <c r="AG161" s="55">
        <v>0</v>
      </c>
      <c r="AH161" s="55">
        <v>0</v>
      </c>
      <c r="AI161" s="57">
        <v>0</v>
      </c>
      <c r="AJ161" s="56">
        <v>0</v>
      </c>
      <c r="AK161" s="54">
        <v>0</v>
      </c>
      <c r="AL161" s="54">
        <v>0</v>
      </c>
      <c r="AM161" s="54">
        <v>0</v>
      </c>
      <c r="AN161" s="57">
        <v>0</v>
      </c>
      <c r="AO161" s="53">
        <v>0</v>
      </c>
      <c r="AP161" s="54">
        <v>0</v>
      </c>
      <c r="AQ161" s="54">
        <v>0</v>
      </c>
      <c r="AR161" s="54">
        <v>0</v>
      </c>
      <c r="AS161" s="57">
        <v>0</v>
      </c>
      <c r="AT161" s="56">
        <v>0</v>
      </c>
      <c r="AU161" s="57">
        <v>0</v>
      </c>
      <c r="AV161" s="56">
        <v>20.357257843017599</v>
      </c>
      <c r="AW161" s="57">
        <v>0</v>
      </c>
      <c r="AX161" s="8"/>
      <c r="AZ161" s="1">
        <v>90</v>
      </c>
    </row>
    <row r="162" spans="3:52" ht="15" customHeight="1" x14ac:dyDescent="0.25">
      <c r="C162" s="42"/>
      <c r="D162" s="43">
        <f>D160</f>
        <v>45701</v>
      </c>
      <c r="E162" s="44">
        <f t="shared" ref="E162:E171" si="16">E161+2/24</f>
        <v>12.416666666666686</v>
      </c>
      <c r="F162" s="45">
        <f t="shared" si="14"/>
        <v>45701.416666667021</v>
      </c>
      <c r="G162" s="52">
        <v>0</v>
      </c>
      <c r="H162" s="53">
        <v>0</v>
      </c>
      <c r="I162" s="54">
        <v>0</v>
      </c>
      <c r="J162" s="54">
        <v>0</v>
      </c>
      <c r="K162" s="55">
        <v>0</v>
      </c>
      <c r="L162" s="56">
        <v>0</v>
      </c>
      <c r="M162" s="54">
        <v>0</v>
      </c>
      <c r="N162" s="54">
        <v>0</v>
      </c>
      <c r="O162" s="57">
        <v>0</v>
      </c>
      <c r="P162" s="53">
        <v>0</v>
      </c>
      <c r="Q162" s="54">
        <v>0</v>
      </c>
      <c r="R162" s="55">
        <v>0</v>
      </c>
      <c r="S162" s="55">
        <v>0</v>
      </c>
      <c r="T162" s="57">
        <v>0</v>
      </c>
      <c r="U162" s="56">
        <v>0</v>
      </c>
      <c r="V162" s="54">
        <v>0</v>
      </c>
      <c r="W162" s="55">
        <v>0</v>
      </c>
      <c r="X162" s="55">
        <v>0</v>
      </c>
      <c r="Y162" s="57">
        <v>0</v>
      </c>
      <c r="Z162" s="53">
        <v>0</v>
      </c>
      <c r="AA162" s="54">
        <v>0</v>
      </c>
      <c r="AB162" s="55">
        <v>0</v>
      </c>
      <c r="AC162" s="55">
        <v>0</v>
      </c>
      <c r="AD162" s="57">
        <v>0</v>
      </c>
      <c r="AE162" s="56">
        <v>0</v>
      </c>
      <c r="AF162" s="54">
        <v>0</v>
      </c>
      <c r="AG162" s="55">
        <v>0</v>
      </c>
      <c r="AH162" s="55">
        <v>0</v>
      </c>
      <c r="AI162" s="57">
        <v>0</v>
      </c>
      <c r="AJ162" s="56">
        <v>0</v>
      </c>
      <c r="AK162" s="54">
        <v>0</v>
      </c>
      <c r="AL162" s="54">
        <v>0</v>
      </c>
      <c r="AM162" s="54">
        <v>0</v>
      </c>
      <c r="AN162" s="57">
        <v>0</v>
      </c>
      <c r="AO162" s="53">
        <v>0</v>
      </c>
      <c r="AP162" s="54">
        <v>0</v>
      </c>
      <c r="AQ162" s="54">
        <v>0</v>
      </c>
      <c r="AR162" s="54">
        <v>0</v>
      </c>
      <c r="AS162" s="57">
        <v>0</v>
      </c>
      <c r="AT162" s="56">
        <v>0</v>
      </c>
      <c r="AU162" s="57">
        <v>0</v>
      </c>
      <c r="AV162" s="56">
        <v>65.840652465820298</v>
      </c>
      <c r="AW162" s="57">
        <v>0</v>
      </c>
      <c r="AX162" s="8"/>
      <c r="AZ162" s="1">
        <v>90</v>
      </c>
    </row>
    <row r="163" spans="3:52" ht="15" customHeight="1" x14ac:dyDescent="0.25">
      <c r="C163" s="42"/>
      <c r="D163" s="43">
        <f>D160</f>
        <v>45701</v>
      </c>
      <c r="E163" s="44">
        <f t="shared" si="16"/>
        <v>12.50000000000002</v>
      </c>
      <c r="F163" s="45">
        <f t="shared" si="14"/>
        <v>45701.500000000357</v>
      </c>
      <c r="G163" s="52">
        <v>0</v>
      </c>
      <c r="H163" s="53">
        <v>0</v>
      </c>
      <c r="I163" s="54">
        <v>0</v>
      </c>
      <c r="J163" s="54">
        <v>0</v>
      </c>
      <c r="K163" s="55">
        <v>0</v>
      </c>
      <c r="L163" s="56">
        <v>0</v>
      </c>
      <c r="M163" s="54">
        <v>0</v>
      </c>
      <c r="N163" s="54">
        <v>0</v>
      </c>
      <c r="O163" s="57">
        <v>0</v>
      </c>
      <c r="P163" s="53">
        <v>0</v>
      </c>
      <c r="Q163" s="54">
        <v>0</v>
      </c>
      <c r="R163" s="55">
        <v>0</v>
      </c>
      <c r="S163" s="55">
        <v>0</v>
      </c>
      <c r="T163" s="57">
        <v>0</v>
      </c>
      <c r="U163" s="56">
        <v>0</v>
      </c>
      <c r="V163" s="54">
        <v>0</v>
      </c>
      <c r="W163" s="55">
        <v>0</v>
      </c>
      <c r="X163" s="55">
        <v>0</v>
      </c>
      <c r="Y163" s="57">
        <v>0</v>
      </c>
      <c r="Z163" s="53">
        <v>0</v>
      </c>
      <c r="AA163" s="54">
        <v>0</v>
      </c>
      <c r="AB163" s="55">
        <v>0</v>
      </c>
      <c r="AC163" s="55">
        <v>0</v>
      </c>
      <c r="AD163" s="57">
        <v>0</v>
      </c>
      <c r="AE163" s="56">
        <v>0</v>
      </c>
      <c r="AF163" s="54">
        <v>0</v>
      </c>
      <c r="AG163" s="55">
        <v>0</v>
      </c>
      <c r="AH163" s="55">
        <v>0</v>
      </c>
      <c r="AI163" s="57">
        <v>0</v>
      </c>
      <c r="AJ163" s="56">
        <v>0</v>
      </c>
      <c r="AK163" s="54">
        <v>0</v>
      </c>
      <c r="AL163" s="54">
        <v>0</v>
      </c>
      <c r="AM163" s="54">
        <v>0</v>
      </c>
      <c r="AN163" s="57">
        <v>0</v>
      </c>
      <c r="AO163" s="53">
        <v>0</v>
      </c>
      <c r="AP163" s="54">
        <v>0</v>
      </c>
      <c r="AQ163" s="54">
        <v>0</v>
      </c>
      <c r="AR163" s="54">
        <v>0</v>
      </c>
      <c r="AS163" s="57">
        <v>0</v>
      </c>
      <c r="AT163" s="56">
        <v>0</v>
      </c>
      <c r="AU163" s="57">
        <v>0</v>
      </c>
      <c r="AV163" s="56">
        <v>65.767410278320298</v>
      </c>
      <c r="AW163" s="57">
        <v>0</v>
      </c>
      <c r="AX163" s="8"/>
      <c r="AZ163" s="1">
        <v>90</v>
      </c>
    </row>
    <row r="164" spans="3:52" ht="15" customHeight="1" x14ac:dyDescent="0.25">
      <c r="C164" s="42"/>
      <c r="D164" s="43">
        <f>D160</f>
        <v>45701</v>
      </c>
      <c r="E164" s="44">
        <f t="shared" si="16"/>
        <v>12.583333333333353</v>
      </c>
      <c r="F164" s="45">
        <f t="shared" si="14"/>
        <v>45701.583333333692</v>
      </c>
      <c r="G164" s="52">
        <v>0</v>
      </c>
      <c r="H164" s="53">
        <v>0</v>
      </c>
      <c r="I164" s="54">
        <v>0</v>
      </c>
      <c r="J164" s="54">
        <v>0</v>
      </c>
      <c r="K164" s="55">
        <v>0</v>
      </c>
      <c r="L164" s="56">
        <v>0</v>
      </c>
      <c r="M164" s="54">
        <v>0</v>
      </c>
      <c r="N164" s="54">
        <v>0</v>
      </c>
      <c r="O164" s="57">
        <v>0</v>
      </c>
      <c r="P164" s="53">
        <v>0</v>
      </c>
      <c r="Q164" s="54">
        <v>0</v>
      </c>
      <c r="R164" s="55">
        <v>0</v>
      </c>
      <c r="S164" s="55">
        <v>0</v>
      </c>
      <c r="T164" s="57">
        <v>0</v>
      </c>
      <c r="U164" s="56">
        <v>0</v>
      </c>
      <c r="V164" s="54">
        <v>0</v>
      </c>
      <c r="W164" s="55">
        <v>0</v>
      </c>
      <c r="X164" s="55">
        <v>0</v>
      </c>
      <c r="Y164" s="57">
        <v>0</v>
      </c>
      <c r="Z164" s="53">
        <v>0</v>
      </c>
      <c r="AA164" s="54">
        <v>0</v>
      </c>
      <c r="AB164" s="55">
        <v>0</v>
      </c>
      <c r="AC164" s="55">
        <v>0</v>
      </c>
      <c r="AD164" s="57">
        <v>0</v>
      </c>
      <c r="AE164" s="56">
        <v>0</v>
      </c>
      <c r="AF164" s="54">
        <v>0</v>
      </c>
      <c r="AG164" s="55">
        <v>0</v>
      </c>
      <c r="AH164" s="55">
        <v>0</v>
      </c>
      <c r="AI164" s="57">
        <v>0</v>
      </c>
      <c r="AJ164" s="56">
        <v>0</v>
      </c>
      <c r="AK164" s="54">
        <v>0</v>
      </c>
      <c r="AL164" s="54">
        <v>0</v>
      </c>
      <c r="AM164" s="54">
        <v>0</v>
      </c>
      <c r="AN164" s="57">
        <v>0</v>
      </c>
      <c r="AO164" s="53">
        <v>0</v>
      </c>
      <c r="AP164" s="54">
        <v>0</v>
      </c>
      <c r="AQ164" s="54">
        <v>0</v>
      </c>
      <c r="AR164" s="54">
        <v>0</v>
      </c>
      <c r="AS164" s="57">
        <v>0</v>
      </c>
      <c r="AT164" s="56">
        <v>0</v>
      </c>
      <c r="AU164" s="57">
        <v>0</v>
      </c>
      <c r="AV164" s="56">
        <v>65.83251953125</v>
      </c>
      <c r="AW164" s="57">
        <v>0</v>
      </c>
      <c r="AX164" s="8"/>
      <c r="AZ164" s="1">
        <v>90</v>
      </c>
    </row>
    <row r="165" spans="3:52" ht="15" customHeight="1" x14ac:dyDescent="0.25">
      <c r="C165" s="42"/>
      <c r="D165" s="43">
        <f>D160</f>
        <v>45701</v>
      </c>
      <c r="E165" s="44">
        <f t="shared" si="16"/>
        <v>12.666666666666687</v>
      </c>
      <c r="F165" s="45">
        <f t="shared" si="14"/>
        <v>45701.666666667028</v>
      </c>
      <c r="G165" s="52">
        <v>0</v>
      </c>
      <c r="H165" s="53">
        <v>0</v>
      </c>
      <c r="I165" s="54">
        <v>0</v>
      </c>
      <c r="J165" s="54">
        <v>0</v>
      </c>
      <c r="K165" s="55">
        <v>0</v>
      </c>
      <c r="L165" s="56">
        <v>0</v>
      </c>
      <c r="M165" s="54">
        <v>0</v>
      </c>
      <c r="N165" s="54">
        <v>0</v>
      </c>
      <c r="O165" s="57">
        <v>0</v>
      </c>
      <c r="P165" s="53">
        <v>0</v>
      </c>
      <c r="Q165" s="54">
        <v>0</v>
      </c>
      <c r="R165" s="55">
        <v>0</v>
      </c>
      <c r="S165" s="55">
        <v>0</v>
      </c>
      <c r="T165" s="57">
        <v>0</v>
      </c>
      <c r="U165" s="56">
        <v>0</v>
      </c>
      <c r="V165" s="54">
        <v>0</v>
      </c>
      <c r="W165" s="55">
        <v>0</v>
      </c>
      <c r="X165" s="55">
        <v>0</v>
      </c>
      <c r="Y165" s="57">
        <v>0</v>
      </c>
      <c r="Z165" s="53">
        <v>0</v>
      </c>
      <c r="AA165" s="54">
        <v>0</v>
      </c>
      <c r="AB165" s="55">
        <v>0</v>
      </c>
      <c r="AC165" s="55">
        <v>0</v>
      </c>
      <c r="AD165" s="57">
        <v>0</v>
      </c>
      <c r="AE165" s="56">
        <v>0</v>
      </c>
      <c r="AF165" s="54">
        <v>0</v>
      </c>
      <c r="AG165" s="55">
        <v>0</v>
      </c>
      <c r="AH165" s="55">
        <v>0</v>
      </c>
      <c r="AI165" s="57">
        <v>0</v>
      </c>
      <c r="AJ165" s="56">
        <v>0</v>
      </c>
      <c r="AK165" s="54">
        <v>0</v>
      </c>
      <c r="AL165" s="54">
        <v>0</v>
      </c>
      <c r="AM165" s="54">
        <v>0</v>
      </c>
      <c r="AN165" s="57">
        <v>0</v>
      </c>
      <c r="AO165" s="53">
        <v>0</v>
      </c>
      <c r="AP165" s="54">
        <v>0</v>
      </c>
      <c r="AQ165" s="54">
        <v>0</v>
      </c>
      <c r="AR165" s="54">
        <v>0</v>
      </c>
      <c r="AS165" s="57">
        <v>0</v>
      </c>
      <c r="AT165" s="56">
        <v>0</v>
      </c>
      <c r="AU165" s="57">
        <v>0</v>
      </c>
      <c r="AV165" s="56">
        <v>20.564777374267599</v>
      </c>
      <c r="AW165" s="57">
        <v>0</v>
      </c>
      <c r="AX165" s="8"/>
      <c r="AZ165" s="1">
        <v>90</v>
      </c>
    </row>
    <row r="166" spans="3:52" ht="15" customHeight="1" x14ac:dyDescent="0.25">
      <c r="C166" s="42"/>
      <c r="D166" s="43">
        <f>D160</f>
        <v>45701</v>
      </c>
      <c r="E166" s="44">
        <f t="shared" si="16"/>
        <v>12.750000000000021</v>
      </c>
      <c r="F166" s="45">
        <f t="shared" si="14"/>
        <v>45701.750000000364</v>
      </c>
      <c r="G166" s="52">
        <v>32</v>
      </c>
      <c r="H166" s="53">
        <v>37</v>
      </c>
      <c r="I166" s="54">
        <v>10.6</v>
      </c>
      <c r="J166" s="54">
        <v>200</v>
      </c>
      <c r="K166" s="55">
        <v>6.8</v>
      </c>
      <c r="L166" s="56">
        <v>37</v>
      </c>
      <c r="M166" s="54">
        <v>10.199999999999999</v>
      </c>
      <c r="N166" s="54">
        <v>200</v>
      </c>
      <c r="O166" s="57">
        <v>6.5</v>
      </c>
      <c r="P166" s="53">
        <v>35</v>
      </c>
      <c r="Q166" s="54">
        <v>10</v>
      </c>
      <c r="R166" s="55">
        <v>0</v>
      </c>
      <c r="S166" s="55">
        <v>6.7</v>
      </c>
      <c r="T166" s="57">
        <v>0</v>
      </c>
      <c r="U166" s="56">
        <v>35</v>
      </c>
      <c r="V166" s="54">
        <v>10</v>
      </c>
      <c r="W166" s="55">
        <v>0</v>
      </c>
      <c r="X166" s="55">
        <v>6.4</v>
      </c>
      <c r="Y166" s="57">
        <v>0</v>
      </c>
      <c r="Z166" s="53">
        <v>34</v>
      </c>
      <c r="AA166" s="54">
        <v>9.9</v>
      </c>
      <c r="AB166" s="55">
        <v>0</v>
      </c>
      <c r="AC166" s="55">
        <v>6.1</v>
      </c>
      <c r="AD166" s="57">
        <v>0</v>
      </c>
      <c r="AE166" s="56">
        <v>34</v>
      </c>
      <c r="AF166" s="54">
        <v>9.9</v>
      </c>
      <c r="AG166" s="55">
        <v>0</v>
      </c>
      <c r="AH166" s="55">
        <v>6.1</v>
      </c>
      <c r="AI166" s="57">
        <v>0</v>
      </c>
      <c r="AJ166" s="56">
        <v>35</v>
      </c>
      <c r="AK166" s="54">
        <v>10</v>
      </c>
      <c r="AL166" s="54">
        <v>0</v>
      </c>
      <c r="AM166" s="54">
        <v>5.8</v>
      </c>
      <c r="AN166" s="57">
        <v>0</v>
      </c>
      <c r="AO166" s="53">
        <v>37</v>
      </c>
      <c r="AP166" s="54">
        <v>10.1</v>
      </c>
      <c r="AQ166" s="54">
        <v>90</v>
      </c>
      <c r="AR166" s="54">
        <v>5.7</v>
      </c>
      <c r="AS166" s="57">
        <v>0</v>
      </c>
      <c r="AT166" s="56">
        <v>0</v>
      </c>
      <c r="AU166" s="57">
        <v>0</v>
      </c>
      <c r="AV166" s="56">
        <v>20.2921543121338</v>
      </c>
      <c r="AW166" s="57">
        <v>0</v>
      </c>
      <c r="AX166" s="8"/>
      <c r="AZ166" s="1">
        <v>90</v>
      </c>
    </row>
    <row r="167" spans="3:52" ht="15" customHeight="1" x14ac:dyDescent="0.25">
      <c r="C167" s="42"/>
      <c r="D167" s="43">
        <f>D160</f>
        <v>45701</v>
      </c>
      <c r="E167" s="44">
        <f t="shared" si="16"/>
        <v>12.833333333333355</v>
      </c>
      <c r="F167" s="45">
        <f t="shared" si="14"/>
        <v>45701.8333333337</v>
      </c>
      <c r="G167" s="52">
        <v>36</v>
      </c>
      <c r="H167" s="53">
        <v>35</v>
      </c>
      <c r="I167" s="54">
        <v>10.5</v>
      </c>
      <c r="J167" s="54">
        <v>200</v>
      </c>
      <c r="K167" s="55">
        <v>6.8</v>
      </c>
      <c r="L167" s="56">
        <v>38</v>
      </c>
      <c r="M167" s="54">
        <v>10.3</v>
      </c>
      <c r="N167" s="54">
        <v>200</v>
      </c>
      <c r="O167" s="57">
        <v>6.5</v>
      </c>
      <c r="P167" s="53">
        <v>38</v>
      </c>
      <c r="Q167" s="54">
        <v>10.1</v>
      </c>
      <c r="R167" s="55">
        <v>0</v>
      </c>
      <c r="S167" s="55">
        <v>6.7</v>
      </c>
      <c r="T167" s="57">
        <v>17.100000000000001</v>
      </c>
      <c r="U167" s="56">
        <v>39</v>
      </c>
      <c r="V167" s="54">
        <v>10.1</v>
      </c>
      <c r="W167" s="55">
        <v>0</v>
      </c>
      <c r="X167" s="55">
        <v>6.4</v>
      </c>
      <c r="Y167" s="57">
        <v>15.3</v>
      </c>
      <c r="Z167" s="53">
        <v>35</v>
      </c>
      <c r="AA167" s="54">
        <v>10.1</v>
      </c>
      <c r="AB167" s="55">
        <v>0</v>
      </c>
      <c r="AC167" s="55">
        <v>6.1</v>
      </c>
      <c r="AD167" s="57">
        <v>12.5</v>
      </c>
      <c r="AE167" s="56">
        <v>36</v>
      </c>
      <c r="AF167" s="54">
        <v>10.1</v>
      </c>
      <c r="AG167" s="55">
        <v>0</v>
      </c>
      <c r="AH167" s="55">
        <v>6.2</v>
      </c>
      <c r="AI167" s="57">
        <v>11.5</v>
      </c>
      <c r="AJ167" s="56">
        <v>36</v>
      </c>
      <c r="AK167" s="54">
        <v>10.1</v>
      </c>
      <c r="AL167" s="54">
        <v>0</v>
      </c>
      <c r="AM167" s="54">
        <v>5.8</v>
      </c>
      <c r="AN167" s="57">
        <v>15.3</v>
      </c>
      <c r="AO167" s="53">
        <v>36</v>
      </c>
      <c r="AP167" s="54">
        <v>10.199999999999999</v>
      </c>
      <c r="AQ167" s="54">
        <v>290</v>
      </c>
      <c r="AR167" s="54">
        <v>5.7</v>
      </c>
      <c r="AS167" s="57">
        <v>17.3</v>
      </c>
      <c r="AT167" s="56">
        <v>27</v>
      </c>
      <c r="AU167" s="57">
        <v>250</v>
      </c>
      <c r="AV167" s="56">
        <v>20.3043613433838</v>
      </c>
      <c r="AW167" s="57">
        <v>0</v>
      </c>
      <c r="AX167" s="8"/>
      <c r="AZ167" s="1">
        <v>90</v>
      </c>
    </row>
    <row r="168" spans="3:52" ht="15" customHeight="1" x14ac:dyDescent="0.25">
      <c r="C168" s="42"/>
      <c r="D168" s="43">
        <f>D160</f>
        <v>45701</v>
      </c>
      <c r="E168" s="44">
        <f t="shared" si="16"/>
        <v>12.916666666666689</v>
      </c>
      <c r="F168" s="45">
        <f t="shared" si="14"/>
        <v>45701.916666667035</v>
      </c>
      <c r="G168" s="52">
        <v>37</v>
      </c>
      <c r="H168" s="53">
        <v>39</v>
      </c>
      <c r="I168" s="54">
        <v>9.8000000000000007</v>
      </c>
      <c r="J168" s="54">
        <v>150</v>
      </c>
      <c r="K168" s="55">
        <v>5.5</v>
      </c>
      <c r="L168" s="56">
        <v>35</v>
      </c>
      <c r="M168" s="54">
        <v>10.3</v>
      </c>
      <c r="N168" s="54">
        <v>200</v>
      </c>
      <c r="O168" s="57">
        <v>5.0999999999999996</v>
      </c>
      <c r="P168" s="53">
        <v>36</v>
      </c>
      <c r="Q168" s="54">
        <v>10</v>
      </c>
      <c r="R168" s="55">
        <v>0</v>
      </c>
      <c r="S168" s="55">
        <v>5.0999999999999996</v>
      </c>
      <c r="T168" s="57">
        <v>17.100000000000001</v>
      </c>
      <c r="U168" s="56">
        <v>35</v>
      </c>
      <c r="V168" s="54">
        <v>10</v>
      </c>
      <c r="W168" s="55">
        <v>0</v>
      </c>
      <c r="X168" s="55">
        <v>5</v>
      </c>
      <c r="Y168" s="57">
        <v>15.3</v>
      </c>
      <c r="Z168" s="53">
        <v>35</v>
      </c>
      <c r="AA168" s="54">
        <v>10</v>
      </c>
      <c r="AB168" s="55">
        <v>0</v>
      </c>
      <c r="AC168" s="55">
        <v>5.0999999999999996</v>
      </c>
      <c r="AD168" s="57">
        <v>12.5</v>
      </c>
      <c r="AE168" s="56">
        <v>35</v>
      </c>
      <c r="AF168" s="54">
        <v>10</v>
      </c>
      <c r="AG168" s="55">
        <v>0</v>
      </c>
      <c r="AH168" s="55">
        <v>5.2</v>
      </c>
      <c r="AI168" s="57">
        <v>11.5</v>
      </c>
      <c r="AJ168" s="56">
        <v>35</v>
      </c>
      <c r="AK168" s="54">
        <v>10</v>
      </c>
      <c r="AL168" s="54">
        <v>0</v>
      </c>
      <c r="AM168" s="54">
        <v>5.5</v>
      </c>
      <c r="AN168" s="57">
        <v>15.3</v>
      </c>
      <c r="AO168" s="53">
        <v>34</v>
      </c>
      <c r="AP168" s="54">
        <v>10</v>
      </c>
      <c r="AQ168" s="54">
        <v>200</v>
      </c>
      <c r="AR168" s="54">
        <v>5.2</v>
      </c>
      <c r="AS168" s="57">
        <v>17.3</v>
      </c>
      <c r="AT168" s="56">
        <v>28</v>
      </c>
      <c r="AU168" s="57">
        <v>190</v>
      </c>
      <c r="AV168" s="56">
        <v>20.3043613433838</v>
      </c>
      <c r="AW168" s="57">
        <v>0</v>
      </c>
      <c r="AX168" s="8"/>
      <c r="AZ168" s="1">
        <v>90</v>
      </c>
    </row>
    <row r="169" spans="3:52" ht="15" customHeight="1" x14ac:dyDescent="0.25">
      <c r="C169" s="42"/>
      <c r="D169" s="43">
        <f>D160</f>
        <v>45701</v>
      </c>
      <c r="E169" s="44">
        <f t="shared" si="16"/>
        <v>13.000000000000023</v>
      </c>
      <c r="F169" s="45">
        <f t="shared" si="14"/>
        <v>45702.000000000371</v>
      </c>
      <c r="G169" s="52" t="s">
        <v>38</v>
      </c>
      <c r="H169" s="53">
        <v>0</v>
      </c>
      <c r="I169" s="54">
        <v>0</v>
      </c>
      <c r="J169" s="54">
        <v>0</v>
      </c>
      <c r="K169" s="55">
        <v>0</v>
      </c>
      <c r="L169" s="56">
        <v>0</v>
      </c>
      <c r="M169" s="54">
        <v>0</v>
      </c>
      <c r="N169" s="54">
        <v>0</v>
      </c>
      <c r="O169" s="57">
        <v>0</v>
      </c>
      <c r="P169" s="53">
        <v>0</v>
      </c>
      <c r="Q169" s="54">
        <v>0</v>
      </c>
      <c r="R169" s="55">
        <v>0</v>
      </c>
      <c r="S169" s="55">
        <v>0</v>
      </c>
      <c r="T169" s="57">
        <v>0</v>
      </c>
      <c r="U169" s="56">
        <v>0</v>
      </c>
      <c r="V169" s="54">
        <v>0</v>
      </c>
      <c r="W169" s="55">
        <v>0</v>
      </c>
      <c r="X169" s="55">
        <v>0</v>
      </c>
      <c r="Y169" s="57">
        <v>0</v>
      </c>
      <c r="Z169" s="53">
        <v>0</v>
      </c>
      <c r="AA169" s="54">
        <v>0</v>
      </c>
      <c r="AB169" s="55">
        <v>0</v>
      </c>
      <c r="AC169" s="55">
        <v>0</v>
      </c>
      <c r="AD169" s="57">
        <v>0</v>
      </c>
      <c r="AE169" s="56">
        <v>0</v>
      </c>
      <c r="AF169" s="54">
        <v>0</v>
      </c>
      <c r="AG169" s="55">
        <v>0</v>
      </c>
      <c r="AH169" s="55">
        <v>0</v>
      </c>
      <c r="AI169" s="57">
        <v>0</v>
      </c>
      <c r="AJ169" s="56">
        <v>0</v>
      </c>
      <c r="AK169" s="54">
        <v>0</v>
      </c>
      <c r="AL169" s="54">
        <v>0</v>
      </c>
      <c r="AM169" s="54">
        <v>0</v>
      </c>
      <c r="AN169" s="57">
        <v>0</v>
      </c>
      <c r="AO169" s="53">
        <v>0</v>
      </c>
      <c r="AP169" s="54">
        <v>0</v>
      </c>
      <c r="AQ169" s="54">
        <v>0</v>
      </c>
      <c r="AR169" s="54">
        <v>0</v>
      </c>
      <c r="AS169" s="57">
        <v>0</v>
      </c>
      <c r="AT169" s="56">
        <v>0</v>
      </c>
      <c r="AU169" s="57">
        <v>0</v>
      </c>
      <c r="AV169" s="56">
        <v>20.30029296875</v>
      </c>
      <c r="AW169" s="57">
        <v>0</v>
      </c>
      <c r="AX169" s="8"/>
      <c r="AZ169" s="1">
        <v>90</v>
      </c>
    </row>
    <row r="170" spans="3:52" ht="15" customHeight="1" x14ac:dyDescent="0.25">
      <c r="C170" s="42"/>
      <c r="D170" s="43">
        <f>D160</f>
        <v>45701</v>
      </c>
      <c r="E170" s="44">
        <f t="shared" si="16"/>
        <v>13.083333333333357</v>
      </c>
      <c r="F170" s="45">
        <f t="shared" si="14"/>
        <v>45702.083333333707</v>
      </c>
      <c r="G170" s="52">
        <v>37</v>
      </c>
      <c r="H170" s="53">
        <v>34</v>
      </c>
      <c r="I170" s="54">
        <v>9.6999999999999993</v>
      </c>
      <c r="J170" s="54">
        <v>200</v>
      </c>
      <c r="K170" s="55">
        <v>5</v>
      </c>
      <c r="L170" s="56">
        <v>35</v>
      </c>
      <c r="M170" s="54">
        <v>10.3</v>
      </c>
      <c r="N170" s="54">
        <v>200</v>
      </c>
      <c r="O170" s="57">
        <v>5</v>
      </c>
      <c r="P170" s="53">
        <v>36</v>
      </c>
      <c r="Q170" s="54">
        <v>10.199999999999999</v>
      </c>
      <c r="R170" s="55">
        <v>0</v>
      </c>
      <c r="S170" s="55">
        <v>5.0999999999999996</v>
      </c>
      <c r="T170" s="57">
        <v>16.5</v>
      </c>
      <c r="U170" s="56">
        <v>36</v>
      </c>
      <c r="V170" s="54">
        <v>10.199999999999999</v>
      </c>
      <c r="W170" s="55">
        <v>0</v>
      </c>
      <c r="X170" s="55">
        <v>5</v>
      </c>
      <c r="Y170" s="57">
        <v>15.57</v>
      </c>
      <c r="Z170" s="53">
        <v>36</v>
      </c>
      <c r="AA170" s="54">
        <v>10.199999999999999</v>
      </c>
      <c r="AB170" s="55">
        <v>0</v>
      </c>
      <c r="AC170" s="55">
        <v>5.2</v>
      </c>
      <c r="AD170" s="57">
        <v>12.3</v>
      </c>
      <c r="AE170" s="56">
        <v>35</v>
      </c>
      <c r="AF170" s="54">
        <v>10.199999999999999</v>
      </c>
      <c r="AG170" s="55">
        <v>0</v>
      </c>
      <c r="AH170" s="55">
        <v>5.5</v>
      </c>
      <c r="AI170" s="57">
        <v>11.53</v>
      </c>
      <c r="AJ170" s="56">
        <v>35</v>
      </c>
      <c r="AK170" s="54">
        <v>10.199999999999999</v>
      </c>
      <c r="AL170" s="54">
        <v>0</v>
      </c>
      <c r="AM170" s="54">
        <v>5.3</v>
      </c>
      <c r="AN170" s="57">
        <v>15.3</v>
      </c>
      <c r="AO170" s="53">
        <v>35</v>
      </c>
      <c r="AP170" s="54">
        <v>10.199999999999999</v>
      </c>
      <c r="AQ170" s="54">
        <v>190</v>
      </c>
      <c r="AR170" s="54">
        <v>5.4</v>
      </c>
      <c r="AS170" s="57">
        <v>17.3</v>
      </c>
      <c r="AT170" s="56">
        <v>26</v>
      </c>
      <c r="AU170" s="57">
        <v>170</v>
      </c>
      <c r="AV170" s="56">
        <v>20.30029296875</v>
      </c>
      <c r="AW170" s="57">
        <v>0</v>
      </c>
      <c r="AX170" s="8"/>
      <c r="AZ170" s="1">
        <v>90</v>
      </c>
    </row>
    <row r="171" spans="3:52" ht="15" customHeight="1" x14ac:dyDescent="0.25">
      <c r="C171" s="42"/>
      <c r="D171" s="69">
        <f>D160</f>
        <v>45701</v>
      </c>
      <c r="E171" s="70">
        <f t="shared" si="16"/>
        <v>13.166666666666691</v>
      </c>
      <c r="F171" s="71">
        <f t="shared" si="14"/>
        <v>45702.166666667043</v>
      </c>
      <c r="G171" s="60">
        <v>35</v>
      </c>
      <c r="H171" s="61">
        <v>36</v>
      </c>
      <c r="I171" s="62">
        <v>9.8000000000000007</v>
      </c>
      <c r="J171" s="62">
        <v>200</v>
      </c>
      <c r="K171" s="63">
        <v>5.2</v>
      </c>
      <c r="L171" s="64">
        <v>38</v>
      </c>
      <c r="M171" s="62">
        <v>10.1</v>
      </c>
      <c r="N171" s="62">
        <v>200</v>
      </c>
      <c r="O171" s="65">
        <v>5.0999999999999996</v>
      </c>
      <c r="P171" s="61">
        <v>37</v>
      </c>
      <c r="Q171" s="62">
        <v>10</v>
      </c>
      <c r="R171" s="63">
        <v>0</v>
      </c>
      <c r="S171" s="63">
        <v>6.3</v>
      </c>
      <c r="T171" s="65">
        <v>16.5</v>
      </c>
      <c r="U171" s="64">
        <v>36</v>
      </c>
      <c r="V171" s="62">
        <v>10</v>
      </c>
      <c r="W171" s="63">
        <v>0</v>
      </c>
      <c r="X171" s="63">
        <v>6.1</v>
      </c>
      <c r="Y171" s="65">
        <v>16.5</v>
      </c>
      <c r="Z171" s="61">
        <v>36</v>
      </c>
      <c r="AA171" s="62">
        <v>10</v>
      </c>
      <c r="AB171" s="63">
        <v>0</v>
      </c>
      <c r="AC171" s="63">
        <v>6.2</v>
      </c>
      <c r="AD171" s="65">
        <v>12.3</v>
      </c>
      <c r="AE171" s="64">
        <v>35</v>
      </c>
      <c r="AF171" s="62">
        <v>10</v>
      </c>
      <c r="AG171" s="63">
        <v>0</v>
      </c>
      <c r="AH171" s="63">
        <v>6.1</v>
      </c>
      <c r="AI171" s="65">
        <v>11.53</v>
      </c>
      <c r="AJ171" s="64">
        <v>35</v>
      </c>
      <c r="AK171" s="62">
        <v>10</v>
      </c>
      <c r="AL171" s="62">
        <v>0</v>
      </c>
      <c r="AM171" s="62">
        <v>5.8</v>
      </c>
      <c r="AN171" s="65">
        <v>15.3</v>
      </c>
      <c r="AO171" s="61">
        <v>35</v>
      </c>
      <c r="AP171" s="62">
        <v>10</v>
      </c>
      <c r="AQ171" s="62">
        <v>200</v>
      </c>
      <c r="AR171" s="62">
        <v>6</v>
      </c>
      <c r="AS171" s="65">
        <v>17.3</v>
      </c>
      <c r="AT171" s="64">
        <v>27</v>
      </c>
      <c r="AU171" s="65">
        <v>170</v>
      </c>
      <c r="AV171" s="64">
        <v>20.3043613433838</v>
      </c>
      <c r="AW171" s="65">
        <v>0</v>
      </c>
      <c r="AX171" s="8"/>
      <c r="AZ171" s="1">
        <v>90</v>
      </c>
    </row>
    <row r="172" spans="3:52" ht="15" customHeight="1" x14ac:dyDescent="0.25">
      <c r="C172" s="42">
        <f>C160+1</f>
        <v>14</v>
      </c>
      <c r="D172" s="66">
        <f>DATE([2]Dash!$F$3,VLOOKUP([2]Dash!$E$3,[2]Abb!$C$3:$D$14,2,FALSE),C172)</f>
        <v>45702</v>
      </c>
      <c r="E172" s="67">
        <f>E171+2/24</f>
        <v>13.250000000000025</v>
      </c>
      <c r="F172" s="68">
        <f t="shared" si="14"/>
        <v>45702.250000000378</v>
      </c>
      <c r="G172" s="46">
        <v>35</v>
      </c>
      <c r="H172" s="47">
        <v>36</v>
      </c>
      <c r="I172" s="48">
        <v>10.1</v>
      </c>
      <c r="J172" s="48">
        <v>200</v>
      </c>
      <c r="K172" s="49">
        <v>6.2</v>
      </c>
      <c r="L172" s="50">
        <v>38</v>
      </c>
      <c r="M172" s="48">
        <v>10.1</v>
      </c>
      <c r="N172" s="48">
        <v>200</v>
      </c>
      <c r="O172" s="51">
        <v>6</v>
      </c>
      <c r="P172" s="47">
        <v>38</v>
      </c>
      <c r="Q172" s="48">
        <v>10.1</v>
      </c>
      <c r="R172" s="49">
        <v>0</v>
      </c>
      <c r="S172" s="49">
        <v>6.2</v>
      </c>
      <c r="T172" s="51">
        <v>16.5</v>
      </c>
      <c r="U172" s="50">
        <v>37</v>
      </c>
      <c r="V172" s="48">
        <v>10.1</v>
      </c>
      <c r="W172" s="49">
        <v>0</v>
      </c>
      <c r="X172" s="49">
        <v>6.2</v>
      </c>
      <c r="Y172" s="51">
        <v>16.5</v>
      </c>
      <c r="Z172" s="47">
        <v>35</v>
      </c>
      <c r="AA172" s="48">
        <v>10.1</v>
      </c>
      <c r="AB172" s="49">
        <v>0</v>
      </c>
      <c r="AC172" s="49">
        <v>6.1</v>
      </c>
      <c r="AD172" s="51">
        <v>12.3</v>
      </c>
      <c r="AE172" s="50">
        <v>36</v>
      </c>
      <c r="AF172" s="48">
        <v>10.1</v>
      </c>
      <c r="AG172" s="49">
        <v>0</v>
      </c>
      <c r="AH172" s="49">
        <v>6.2</v>
      </c>
      <c r="AI172" s="51">
        <v>11.53</v>
      </c>
      <c r="AJ172" s="50">
        <v>36</v>
      </c>
      <c r="AK172" s="48">
        <v>10.1</v>
      </c>
      <c r="AL172" s="48">
        <v>0</v>
      </c>
      <c r="AM172" s="48">
        <v>6.2</v>
      </c>
      <c r="AN172" s="51">
        <v>15.3</v>
      </c>
      <c r="AO172" s="47">
        <v>36</v>
      </c>
      <c r="AP172" s="48">
        <v>10.1</v>
      </c>
      <c r="AQ172" s="48">
        <v>200</v>
      </c>
      <c r="AR172" s="48">
        <v>6.1</v>
      </c>
      <c r="AS172" s="51">
        <v>17.3</v>
      </c>
      <c r="AT172" s="50">
        <v>28</v>
      </c>
      <c r="AU172" s="51">
        <v>180</v>
      </c>
      <c r="AV172" s="50">
        <v>88.28125</v>
      </c>
      <c r="AW172" s="51">
        <v>98.090036082267773</v>
      </c>
      <c r="AX172" s="8"/>
      <c r="AZ172" s="1">
        <v>90</v>
      </c>
    </row>
    <row r="173" spans="3:52" ht="15" customHeight="1" x14ac:dyDescent="0.25">
      <c r="C173" s="42"/>
      <c r="D173" s="43">
        <f>D172</f>
        <v>45702</v>
      </c>
      <c r="E173" s="44">
        <f>E172+2/24</f>
        <v>13.333333333333359</v>
      </c>
      <c r="F173" s="45">
        <f t="shared" si="14"/>
        <v>45702.333333333714</v>
      </c>
      <c r="G173" s="52">
        <v>34</v>
      </c>
      <c r="H173" s="53">
        <v>37</v>
      </c>
      <c r="I173" s="54">
        <v>9.8000000000000007</v>
      </c>
      <c r="J173" s="54">
        <v>200</v>
      </c>
      <c r="K173" s="55">
        <v>8.9</v>
      </c>
      <c r="L173" s="56">
        <v>37</v>
      </c>
      <c r="M173" s="54">
        <v>10</v>
      </c>
      <c r="N173" s="54">
        <v>100</v>
      </c>
      <c r="O173" s="57">
        <v>8.6999999999999993</v>
      </c>
      <c r="P173" s="53" t="e">
        <v>#N/A</v>
      </c>
      <c r="Q173" s="54">
        <v>10.1</v>
      </c>
      <c r="R173" s="55">
        <v>0</v>
      </c>
      <c r="S173" s="55">
        <v>7.7</v>
      </c>
      <c r="T173" s="57">
        <v>17.11</v>
      </c>
      <c r="U173" s="56">
        <v>36</v>
      </c>
      <c r="V173" s="54">
        <v>10.199999999999999</v>
      </c>
      <c r="W173" s="55">
        <v>0</v>
      </c>
      <c r="X173" s="55">
        <v>7.5</v>
      </c>
      <c r="Y173" s="57">
        <v>16.39</v>
      </c>
      <c r="Z173" s="53">
        <v>37</v>
      </c>
      <c r="AA173" s="54">
        <v>10.199999999999999</v>
      </c>
      <c r="AB173" s="55">
        <v>0</v>
      </c>
      <c r="AC173" s="55">
        <v>7.1</v>
      </c>
      <c r="AD173" s="57">
        <v>12.5</v>
      </c>
      <c r="AE173" s="56">
        <v>38</v>
      </c>
      <c r="AF173" s="54">
        <v>10</v>
      </c>
      <c r="AG173" s="55">
        <v>0</v>
      </c>
      <c r="AH173" s="55">
        <v>7</v>
      </c>
      <c r="AI173" s="57">
        <v>12.11</v>
      </c>
      <c r="AJ173" s="56">
        <v>37</v>
      </c>
      <c r="AK173" s="54">
        <v>10</v>
      </c>
      <c r="AL173" s="54">
        <v>0</v>
      </c>
      <c r="AM173" s="54">
        <v>6.9</v>
      </c>
      <c r="AN173" s="57">
        <v>15.38</v>
      </c>
      <c r="AO173" s="53">
        <v>36</v>
      </c>
      <c r="AP173" s="54">
        <v>10.1</v>
      </c>
      <c r="AQ173" s="54">
        <v>80</v>
      </c>
      <c r="AR173" s="54">
        <v>6.5</v>
      </c>
      <c r="AS173" s="57">
        <v>18.260000000000002</v>
      </c>
      <c r="AT173" s="56">
        <v>27</v>
      </c>
      <c r="AU173" s="57">
        <v>50</v>
      </c>
      <c r="AV173" s="56">
        <v>53.116863250732401</v>
      </c>
      <c r="AW173" s="57">
        <v>262.71592892191063</v>
      </c>
      <c r="AX173" s="8"/>
      <c r="AZ173" s="1">
        <v>90</v>
      </c>
    </row>
    <row r="174" spans="3:52" ht="15" customHeight="1" x14ac:dyDescent="0.25">
      <c r="C174" s="42"/>
      <c r="D174" s="43">
        <f>D172</f>
        <v>45702</v>
      </c>
      <c r="E174" s="44">
        <f t="shared" ref="E174:E183" si="17">E173+2/24</f>
        <v>13.416666666666693</v>
      </c>
      <c r="F174" s="45">
        <f t="shared" si="14"/>
        <v>45702.41666666705</v>
      </c>
      <c r="G174" s="52">
        <v>35</v>
      </c>
      <c r="H174" s="53">
        <v>37</v>
      </c>
      <c r="I174" s="54">
        <v>9.9</v>
      </c>
      <c r="J174" s="54">
        <v>200</v>
      </c>
      <c r="K174" s="55">
        <v>8.4</v>
      </c>
      <c r="L174" s="56">
        <v>36</v>
      </c>
      <c r="M174" s="54">
        <v>10</v>
      </c>
      <c r="N174" s="54">
        <v>150</v>
      </c>
      <c r="O174" s="57">
        <v>8</v>
      </c>
      <c r="P174" s="53" t="e">
        <v>#N/A</v>
      </c>
      <c r="Q174" s="54">
        <v>10.1</v>
      </c>
      <c r="R174" s="55">
        <v>0</v>
      </c>
      <c r="S174" s="55">
        <v>7.6</v>
      </c>
      <c r="T174" s="57">
        <v>17.3</v>
      </c>
      <c r="U174" s="56">
        <v>37</v>
      </c>
      <c r="V174" s="54">
        <v>10.199999999999999</v>
      </c>
      <c r="W174" s="55">
        <v>0</v>
      </c>
      <c r="X174" s="55">
        <v>7.8</v>
      </c>
      <c r="Y174" s="57">
        <v>16.53</v>
      </c>
      <c r="Z174" s="53">
        <v>36</v>
      </c>
      <c r="AA174" s="54">
        <v>10.199999999999999</v>
      </c>
      <c r="AB174" s="55">
        <v>0</v>
      </c>
      <c r="AC174" s="55">
        <v>7.8</v>
      </c>
      <c r="AD174" s="57">
        <v>12.5</v>
      </c>
      <c r="AE174" s="56">
        <v>37</v>
      </c>
      <c r="AF174" s="54">
        <v>10</v>
      </c>
      <c r="AG174" s="55">
        <v>0</v>
      </c>
      <c r="AH174" s="55">
        <v>7.2</v>
      </c>
      <c r="AI174" s="57">
        <v>13.07</v>
      </c>
      <c r="AJ174" s="56">
        <v>36</v>
      </c>
      <c r="AK174" s="54">
        <v>10</v>
      </c>
      <c r="AL174" s="54">
        <v>0</v>
      </c>
      <c r="AM174" s="54">
        <v>7.1</v>
      </c>
      <c r="AN174" s="57">
        <v>15.78</v>
      </c>
      <c r="AO174" s="53">
        <v>35</v>
      </c>
      <c r="AP174" s="54">
        <v>10.1</v>
      </c>
      <c r="AQ174" s="54">
        <v>80</v>
      </c>
      <c r="AR174" s="54">
        <v>6.8</v>
      </c>
      <c r="AS174" s="57">
        <v>18.07</v>
      </c>
      <c r="AT174" s="56">
        <v>25</v>
      </c>
      <c r="AU174" s="57">
        <v>50</v>
      </c>
      <c r="AV174" s="56">
        <v>55.696613311767599</v>
      </c>
      <c r="AW174" s="57">
        <v>336.96373406872152</v>
      </c>
      <c r="AX174" s="8"/>
      <c r="AZ174" s="1">
        <v>90</v>
      </c>
    </row>
    <row r="175" spans="3:52" ht="15" customHeight="1" x14ac:dyDescent="0.25">
      <c r="C175" s="42"/>
      <c r="D175" s="43">
        <f>D172</f>
        <v>45702</v>
      </c>
      <c r="E175" s="44">
        <f t="shared" si="17"/>
        <v>13.500000000000027</v>
      </c>
      <c r="F175" s="45">
        <f t="shared" si="14"/>
        <v>45702.500000000386</v>
      </c>
      <c r="G175" s="52">
        <v>36</v>
      </c>
      <c r="H175" s="53">
        <v>37</v>
      </c>
      <c r="I175" s="54">
        <v>9.6999999999999993</v>
      </c>
      <c r="J175" s="54">
        <v>250</v>
      </c>
      <c r="K175" s="55">
        <v>8</v>
      </c>
      <c r="L175" s="56">
        <v>38</v>
      </c>
      <c r="M175" s="54">
        <v>9.9</v>
      </c>
      <c r="N175" s="54">
        <v>150</v>
      </c>
      <c r="O175" s="57">
        <v>7.9</v>
      </c>
      <c r="P175" s="53" t="e">
        <v>#N/A</v>
      </c>
      <c r="Q175" s="54">
        <v>10.1</v>
      </c>
      <c r="R175" s="55">
        <v>0</v>
      </c>
      <c r="S175" s="55">
        <v>7.9</v>
      </c>
      <c r="T175" s="57">
        <v>16.920000000000002</v>
      </c>
      <c r="U175" s="56">
        <v>37</v>
      </c>
      <c r="V175" s="54">
        <v>10.199999999999999</v>
      </c>
      <c r="W175" s="55">
        <v>0</v>
      </c>
      <c r="X175" s="55">
        <v>7.3</v>
      </c>
      <c r="Y175" s="57">
        <v>16.45</v>
      </c>
      <c r="Z175" s="53">
        <v>36</v>
      </c>
      <c r="AA175" s="54">
        <v>10.199999999999999</v>
      </c>
      <c r="AB175" s="55">
        <v>0</v>
      </c>
      <c r="AC175" s="55">
        <v>7.6</v>
      </c>
      <c r="AD175" s="57">
        <v>12.5</v>
      </c>
      <c r="AE175" s="56">
        <v>38</v>
      </c>
      <c r="AF175" s="54">
        <v>10</v>
      </c>
      <c r="AG175" s="55">
        <v>0</v>
      </c>
      <c r="AH175" s="55">
        <v>7</v>
      </c>
      <c r="AI175" s="57">
        <v>12.88</v>
      </c>
      <c r="AJ175" s="56">
        <v>37</v>
      </c>
      <c r="AK175" s="54">
        <v>10</v>
      </c>
      <c r="AL175" s="54">
        <v>0</v>
      </c>
      <c r="AM175" s="54">
        <v>6.8</v>
      </c>
      <c r="AN175" s="57">
        <v>15.19</v>
      </c>
      <c r="AO175" s="53">
        <v>36</v>
      </c>
      <c r="AP175" s="54">
        <v>10.1</v>
      </c>
      <c r="AQ175" s="54">
        <v>90</v>
      </c>
      <c r="AR175" s="54">
        <v>6.7</v>
      </c>
      <c r="AS175" s="57">
        <v>18.84</v>
      </c>
      <c r="AT175" s="56">
        <v>26</v>
      </c>
      <c r="AU175" s="57">
        <v>70</v>
      </c>
      <c r="AV175" s="56">
        <v>56.819660186767599</v>
      </c>
      <c r="AW175" s="57">
        <v>389.27662029266355</v>
      </c>
      <c r="AX175" s="8"/>
      <c r="AZ175" s="1">
        <v>90</v>
      </c>
    </row>
    <row r="176" spans="3:52" ht="15" customHeight="1" x14ac:dyDescent="0.25">
      <c r="C176" s="42"/>
      <c r="D176" s="43">
        <f>D172</f>
        <v>45702</v>
      </c>
      <c r="E176" s="44">
        <f t="shared" si="17"/>
        <v>13.583333333333361</v>
      </c>
      <c r="F176" s="45">
        <f t="shared" si="14"/>
        <v>45702.583333333721</v>
      </c>
      <c r="G176" s="52">
        <v>37</v>
      </c>
      <c r="H176" s="53">
        <v>38</v>
      </c>
      <c r="I176" s="54">
        <v>10.5</v>
      </c>
      <c r="J176" s="54">
        <v>250</v>
      </c>
      <c r="K176" s="55">
        <v>7.9</v>
      </c>
      <c r="L176" s="56">
        <v>38</v>
      </c>
      <c r="M176" s="54">
        <v>10.199999999999999</v>
      </c>
      <c r="N176" s="54">
        <v>150</v>
      </c>
      <c r="O176" s="57">
        <v>8.1</v>
      </c>
      <c r="P176" s="53" t="e">
        <v>#N/A</v>
      </c>
      <c r="Q176" s="54">
        <v>10.1</v>
      </c>
      <c r="R176" s="55">
        <v>0</v>
      </c>
      <c r="S176" s="55">
        <v>7.8</v>
      </c>
      <c r="T176" s="57">
        <v>16.920000000000002</v>
      </c>
      <c r="U176" s="56">
        <v>38</v>
      </c>
      <c r="V176" s="54">
        <v>10.199999999999999</v>
      </c>
      <c r="W176" s="55">
        <v>0</v>
      </c>
      <c r="X176" s="55">
        <v>7.9</v>
      </c>
      <c r="Y176" s="57">
        <v>16.34</v>
      </c>
      <c r="Z176" s="53">
        <v>36</v>
      </c>
      <c r="AA176" s="54">
        <v>10.199999999999999</v>
      </c>
      <c r="AB176" s="55">
        <v>0</v>
      </c>
      <c r="AC176" s="55">
        <v>7.7</v>
      </c>
      <c r="AD176" s="57">
        <v>12.5</v>
      </c>
      <c r="AE176" s="56">
        <v>37</v>
      </c>
      <c r="AF176" s="54">
        <v>10.1</v>
      </c>
      <c r="AG176" s="55">
        <v>0</v>
      </c>
      <c r="AH176" s="55">
        <v>7.1</v>
      </c>
      <c r="AI176" s="57">
        <v>11.53</v>
      </c>
      <c r="AJ176" s="56">
        <v>36</v>
      </c>
      <c r="AK176" s="54">
        <v>10.1</v>
      </c>
      <c r="AL176" s="54">
        <v>0</v>
      </c>
      <c r="AM176" s="54">
        <v>7.8</v>
      </c>
      <c r="AN176" s="57">
        <v>15.19</v>
      </c>
      <c r="AO176" s="53">
        <v>36</v>
      </c>
      <c r="AP176" s="54">
        <v>10.1</v>
      </c>
      <c r="AQ176" s="54">
        <v>90</v>
      </c>
      <c r="AR176" s="54">
        <v>7</v>
      </c>
      <c r="AS176" s="57">
        <v>18.260000000000002</v>
      </c>
      <c r="AT176" s="56">
        <v>28</v>
      </c>
      <c r="AU176" s="57">
        <v>60</v>
      </c>
      <c r="AV176" s="56">
        <v>57.75146484375</v>
      </c>
      <c r="AW176" s="57">
        <v>385.15335642496746</v>
      </c>
      <c r="AX176" s="8"/>
      <c r="AZ176" s="1">
        <v>90</v>
      </c>
    </row>
    <row r="177" spans="3:56" ht="15" customHeight="1" x14ac:dyDescent="0.25">
      <c r="C177" s="42"/>
      <c r="D177" s="43">
        <f>D172</f>
        <v>45702</v>
      </c>
      <c r="E177" s="44">
        <f t="shared" si="17"/>
        <v>13.666666666666694</v>
      </c>
      <c r="F177" s="45">
        <f t="shared" si="14"/>
        <v>45702.666666667057</v>
      </c>
      <c r="G177" s="52">
        <v>39</v>
      </c>
      <c r="H177" s="53">
        <v>37</v>
      </c>
      <c r="I177" s="54">
        <v>10.6</v>
      </c>
      <c r="J177" s="54">
        <v>300</v>
      </c>
      <c r="K177" s="55">
        <v>7.8</v>
      </c>
      <c r="L177" s="56">
        <v>38</v>
      </c>
      <c r="M177" s="54">
        <v>9.9</v>
      </c>
      <c r="N177" s="54">
        <v>150</v>
      </c>
      <c r="O177" s="57">
        <v>8.5</v>
      </c>
      <c r="P177" s="53" t="e">
        <v>#N/A</v>
      </c>
      <c r="Q177" s="54">
        <v>9.8000000000000007</v>
      </c>
      <c r="R177" s="55">
        <v>0</v>
      </c>
      <c r="S177" s="55">
        <v>6.9</v>
      </c>
      <c r="T177" s="57">
        <v>16.920000000000002</v>
      </c>
      <c r="U177" s="56">
        <v>37</v>
      </c>
      <c r="V177" s="54">
        <v>9.9</v>
      </c>
      <c r="W177" s="55">
        <v>0</v>
      </c>
      <c r="X177" s="55">
        <v>7.5</v>
      </c>
      <c r="Y177" s="57">
        <v>16.34</v>
      </c>
      <c r="Z177" s="53">
        <v>36</v>
      </c>
      <c r="AA177" s="54">
        <v>9.9</v>
      </c>
      <c r="AB177" s="55">
        <v>0</v>
      </c>
      <c r="AC177" s="55">
        <v>7.3</v>
      </c>
      <c r="AD177" s="57">
        <v>13.46</v>
      </c>
      <c r="AE177" s="56">
        <v>35</v>
      </c>
      <c r="AF177" s="54">
        <v>10.1</v>
      </c>
      <c r="AG177" s="55">
        <v>0</v>
      </c>
      <c r="AH177" s="55">
        <v>7.4</v>
      </c>
      <c r="AI177" s="57">
        <v>11.53</v>
      </c>
      <c r="AJ177" s="56">
        <v>37</v>
      </c>
      <c r="AK177" s="54">
        <v>10.1</v>
      </c>
      <c r="AL177" s="54">
        <v>0</v>
      </c>
      <c r="AM177" s="54">
        <v>7.9</v>
      </c>
      <c r="AN177" s="57">
        <v>15.38</v>
      </c>
      <c r="AO177" s="53">
        <v>38</v>
      </c>
      <c r="AP177" s="54">
        <v>10.199999999999999</v>
      </c>
      <c r="AQ177" s="54">
        <v>90</v>
      </c>
      <c r="AR177" s="54">
        <v>6.9</v>
      </c>
      <c r="AS177" s="57">
        <v>18.260000000000002</v>
      </c>
      <c r="AT177" s="56">
        <v>27</v>
      </c>
      <c r="AU177" s="57">
        <v>70</v>
      </c>
      <c r="AV177" s="56">
        <v>63.704425811767599</v>
      </c>
      <c r="AW177" s="57">
        <v>359.03115348815919</v>
      </c>
      <c r="AX177" s="8"/>
      <c r="AZ177" s="1">
        <v>90</v>
      </c>
    </row>
    <row r="178" spans="3:56" ht="15" customHeight="1" x14ac:dyDescent="0.25">
      <c r="C178" s="42"/>
      <c r="D178" s="43">
        <f>D172</f>
        <v>45702</v>
      </c>
      <c r="E178" s="44">
        <f t="shared" si="17"/>
        <v>13.750000000000028</v>
      </c>
      <c r="F178" s="45">
        <f t="shared" si="14"/>
        <v>45702.750000000393</v>
      </c>
      <c r="G178" s="52">
        <v>38</v>
      </c>
      <c r="H178" s="53">
        <v>38</v>
      </c>
      <c r="I178" s="54">
        <v>10.7</v>
      </c>
      <c r="J178" s="54">
        <v>300</v>
      </c>
      <c r="K178" s="55">
        <v>8</v>
      </c>
      <c r="L178" s="56">
        <v>37</v>
      </c>
      <c r="M178" s="54">
        <v>10</v>
      </c>
      <c r="N178" s="54">
        <v>200</v>
      </c>
      <c r="O178" s="57">
        <v>8.4</v>
      </c>
      <c r="P178" s="53" t="e">
        <v>#N/A</v>
      </c>
      <c r="Q178" s="54">
        <v>9.9</v>
      </c>
      <c r="R178" s="55">
        <v>0</v>
      </c>
      <c r="S178" s="55">
        <v>7</v>
      </c>
      <c r="T178" s="57">
        <v>17.11</v>
      </c>
      <c r="U178" s="56">
        <v>37</v>
      </c>
      <c r="V178" s="54">
        <v>10</v>
      </c>
      <c r="W178" s="55">
        <v>0</v>
      </c>
      <c r="X178" s="55">
        <v>7.1</v>
      </c>
      <c r="Y178" s="57">
        <v>16.53</v>
      </c>
      <c r="Z178" s="53">
        <v>37</v>
      </c>
      <c r="AA178" s="54">
        <v>10</v>
      </c>
      <c r="AB178" s="55">
        <v>0</v>
      </c>
      <c r="AC178" s="55">
        <v>7.2</v>
      </c>
      <c r="AD178" s="57">
        <v>13.46</v>
      </c>
      <c r="AE178" s="56">
        <v>36</v>
      </c>
      <c r="AF178" s="54">
        <v>10.1</v>
      </c>
      <c r="AG178" s="55">
        <v>0</v>
      </c>
      <c r="AH178" s="55">
        <v>7</v>
      </c>
      <c r="AI178" s="57">
        <v>12.11</v>
      </c>
      <c r="AJ178" s="56">
        <v>36</v>
      </c>
      <c r="AK178" s="54">
        <v>10.1</v>
      </c>
      <c r="AL178" s="54">
        <v>0</v>
      </c>
      <c r="AM178" s="54">
        <v>7.1</v>
      </c>
      <c r="AN178" s="57">
        <v>15.19</v>
      </c>
      <c r="AO178" s="53">
        <v>37</v>
      </c>
      <c r="AP178" s="54">
        <v>10.199999999999999</v>
      </c>
      <c r="AQ178" s="54">
        <v>100</v>
      </c>
      <c r="AR178" s="54">
        <v>6.8</v>
      </c>
      <c r="AS178" s="57">
        <v>18.07</v>
      </c>
      <c r="AT178" s="56">
        <v>26</v>
      </c>
      <c r="AU178" s="57">
        <v>60</v>
      </c>
      <c r="AV178" s="56">
        <v>64.078781127929702</v>
      </c>
      <c r="AW178" s="57">
        <v>361.07494144439698</v>
      </c>
      <c r="AX178" s="8"/>
      <c r="AZ178" s="1">
        <v>90</v>
      </c>
    </row>
    <row r="179" spans="3:56" ht="15" customHeight="1" x14ac:dyDescent="0.25">
      <c r="C179" s="42"/>
      <c r="D179" s="43">
        <f>D172</f>
        <v>45702</v>
      </c>
      <c r="E179" s="44">
        <f t="shared" si="17"/>
        <v>13.833333333333362</v>
      </c>
      <c r="F179" s="45">
        <f t="shared" si="14"/>
        <v>45702.833333333729</v>
      </c>
      <c r="G179" s="52">
        <v>29</v>
      </c>
      <c r="H179" s="53">
        <v>37</v>
      </c>
      <c r="I179" s="54">
        <v>11.4</v>
      </c>
      <c r="J179" s="54">
        <v>0</v>
      </c>
      <c r="K179" s="55">
        <v>6.4</v>
      </c>
      <c r="L179" s="56">
        <v>38</v>
      </c>
      <c r="M179" s="54">
        <v>10.9</v>
      </c>
      <c r="N179" s="54">
        <v>0</v>
      </c>
      <c r="O179" s="57">
        <v>5.9</v>
      </c>
      <c r="P179" s="53">
        <v>36</v>
      </c>
      <c r="Q179" s="54">
        <v>10.8</v>
      </c>
      <c r="R179" s="55">
        <v>0</v>
      </c>
      <c r="S179" s="55">
        <v>6.4</v>
      </c>
      <c r="T179" s="57">
        <v>17.690000000000001</v>
      </c>
      <c r="U179" s="56">
        <v>37</v>
      </c>
      <c r="V179" s="54">
        <v>0</v>
      </c>
      <c r="W179" s="55">
        <v>0</v>
      </c>
      <c r="X179" s="55">
        <v>6</v>
      </c>
      <c r="Y179" s="57">
        <v>17.5</v>
      </c>
      <c r="Z179" s="53">
        <v>35</v>
      </c>
      <c r="AA179" s="54">
        <v>0</v>
      </c>
      <c r="AB179" s="55">
        <v>0</v>
      </c>
      <c r="AC179" s="55">
        <v>5.0999999999999996</v>
      </c>
      <c r="AD179" s="57">
        <v>13</v>
      </c>
      <c r="AE179" s="56">
        <v>36</v>
      </c>
      <c r="AF179" s="54">
        <v>0</v>
      </c>
      <c r="AG179" s="55">
        <v>0</v>
      </c>
      <c r="AH179" s="55">
        <v>5.7</v>
      </c>
      <c r="AI179" s="57">
        <v>12.69</v>
      </c>
      <c r="AJ179" s="56">
        <v>36</v>
      </c>
      <c r="AK179" s="54">
        <v>0</v>
      </c>
      <c r="AL179" s="54">
        <v>0</v>
      </c>
      <c r="AM179" s="54">
        <v>5.7</v>
      </c>
      <c r="AN179" s="57">
        <v>15.76</v>
      </c>
      <c r="AO179" s="53">
        <v>35</v>
      </c>
      <c r="AP179" s="54">
        <v>5.3</v>
      </c>
      <c r="AQ179" s="54">
        <v>130</v>
      </c>
      <c r="AR179" s="54">
        <v>0</v>
      </c>
      <c r="AS179" s="57">
        <v>19.8</v>
      </c>
      <c r="AT179" s="56">
        <v>28</v>
      </c>
      <c r="AU179" s="57">
        <v>40</v>
      </c>
      <c r="AV179" s="56">
        <v>64.127609252929702</v>
      </c>
      <c r="AW179" s="57">
        <v>360.58292318979898</v>
      </c>
      <c r="AX179" s="8"/>
      <c r="AZ179" s="1">
        <v>90</v>
      </c>
    </row>
    <row r="180" spans="3:56" ht="15" customHeight="1" x14ac:dyDescent="0.25">
      <c r="C180" s="42"/>
      <c r="D180" s="43">
        <f>D172</f>
        <v>45702</v>
      </c>
      <c r="E180" s="44">
        <f t="shared" si="17"/>
        <v>13.916666666666696</v>
      </c>
      <c r="F180" s="45">
        <f t="shared" si="14"/>
        <v>45702.916666667064</v>
      </c>
      <c r="G180" s="52">
        <v>35</v>
      </c>
      <c r="H180" s="53">
        <v>37</v>
      </c>
      <c r="I180" s="54">
        <v>11.5</v>
      </c>
      <c r="J180" s="54">
        <v>350</v>
      </c>
      <c r="K180" s="55">
        <v>0</v>
      </c>
      <c r="L180" s="56">
        <v>38</v>
      </c>
      <c r="M180" s="54">
        <v>11.3</v>
      </c>
      <c r="N180" s="54">
        <v>250</v>
      </c>
      <c r="O180" s="57">
        <v>0</v>
      </c>
      <c r="P180" s="53">
        <v>35</v>
      </c>
      <c r="Q180" s="54">
        <v>10.4</v>
      </c>
      <c r="R180" s="55">
        <v>0</v>
      </c>
      <c r="S180" s="55">
        <v>6.7</v>
      </c>
      <c r="T180" s="57">
        <v>17.3</v>
      </c>
      <c r="U180" s="56">
        <v>35</v>
      </c>
      <c r="V180" s="54">
        <v>10.1</v>
      </c>
      <c r="W180" s="55">
        <v>0</v>
      </c>
      <c r="X180" s="55">
        <v>6.2</v>
      </c>
      <c r="Y180" s="57">
        <v>17.3</v>
      </c>
      <c r="Z180" s="53">
        <v>35</v>
      </c>
      <c r="AA180" s="54">
        <v>10</v>
      </c>
      <c r="AB180" s="55">
        <v>0</v>
      </c>
      <c r="AC180" s="55">
        <v>5.8</v>
      </c>
      <c r="AD180" s="57">
        <v>13.4</v>
      </c>
      <c r="AE180" s="56">
        <v>37</v>
      </c>
      <c r="AF180" s="54">
        <v>10.1</v>
      </c>
      <c r="AG180" s="55">
        <v>0</v>
      </c>
      <c r="AH180" s="55">
        <v>5.4</v>
      </c>
      <c r="AI180" s="57">
        <v>12.5</v>
      </c>
      <c r="AJ180" s="56">
        <v>37</v>
      </c>
      <c r="AK180" s="54">
        <v>10</v>
      </c>
      <c r="AL180" s="54">
        <v>0</v>
      </c>
      <c r="AM180" s="54">
        <v>6.1</v>
      </c>
      <c r="AN180" s="57">
        <v>15.3</v>
      </c>
      <c r="AO180" s="53">
        <v>35</v>
      </c>
      <c r="AP180" s="54">
        <v>10</v>
      </c>
      <c r="AQ180" s="54">
        <v>150</v>
      </c>
      <c r="AR180" s="54">
        <v>5.2</v>
      </c>
      <c r="AS180" s="57">
        <v>19.8</v>
      </c>
      <c r="AT180" s="56">
        <v>29</v>
      </c>
      <c r="AU180" s="57">
        <v>80</v>
      </c>
      <c r="AV180" s="56">
        <v>64.22119140625</v>
      </c>
      <c r="AW180" s="57">
        <v>360.02206287384035</v>
      </c>
      <c r="AX180" s="8"/>
      <c r="AZ180" s="1">
        <v>90</v>
      </c>
    </row>
    <row r="181" spans="3:56" ht="15" customHeight="1" x14ac:dyDescent="0.25">
      <c r="C181" s="42"/>
      <c r="D181" s="43">
        <f>D172</f>
        <v>45702</v>
      </c>
      <c r="E181" s="44">
        <f t="shared" si="17"/>
        <v>14.00000000000003</v>
      </c>
      <c r="F181" s="45">
        <f t="shared" si="14"/>
        <v>45703.0000000004</v>
      </c>
      <c r="G181" s="52">
        <v>37</v>
      </c>
      <c r="H181" s="53">
        <v>37</v>
      </c>
      <c r="I181" s="54">
        <v>11.4</v>
      </c>
      <c r="J181" s="54">
        <v>300</v>
      </c>
      <c r="K181" s="55">
        <v>0</v>
      </c>
      <c r="L181" s="56">
        <v>37</v>
      </c>
      <c r="M181" s="54">
        <v>11.2</v>
      </c>
      <c r="N181" s="54">
        <v>250</v>
      </c>
      <c r="O181" s="57">
        <v>0</v>
      </c>
      <c r="P181" s="53">
        <v>36</v>
      </c>
      <c r="Q181" s="54">
        <v>10.4</v>
      </c>
      <c r="R181" s="55">
        <v>0</v>
      </c>
      <c r="S181" s="55">
        <v>6.5</v>
      </c>
      <c r="T181" s="57">
        <v>0</v>
      </c>
      <c r="U181" s="56">
        <v>35</v>
      </c>
      <c r="V181" s="54">
        <v>10.1</v>
      </c>
      <c r="W181" s="55">
        <v>0</v>
      </c>
      <c r="X181" s="55">
        <v>6.7</v>
      </c>
      <c r="Y181" s="57">
        <v>17.690000000000001</v>
      </c>
      <c r="Z181" s="53">
        <v>35</v>
      </c>
      <c r="AA181" s="54">
        <v>10.1</v>
      </c>
      <c r="AB181" s="55">
        <v>0</v>
      </c>
      <c r="AC181" s="55">
        <v>5.9</v>
      </c>
      <c r="AD181" s="57">
        <v>14.42</v>
      </c>
      <c r="AE181" s="56">
        <v>36</v>
      </c>
      <c r="AF181" s="54">
        <v>10.1</v>
      </c>
      <c r="AG181" s="55">
        <v>0</v>
      </c>
      <c r="AH181" s="55">
        <v>5.5</v>
      </c>
      <c r="AI181" s="57">
        <v>11.52</v>
      </c>
      <c r="AJ181" s="56">
        <v>36</v>
      </c>
      <c r="AK181" s="54">
        <v>10</v>
      </c>
      <c r="AL181" s="54">
        <v>0</v>
      </c>
      <c r="AM181" s="54">
        <v>5.2</v>
      </c>
      <c r="AN181" s="57">
        <v>14.42</v>
      </c>
      <c r="AO181" s="53">
        <v>35</v>
      </c>
      <c r="AP181" s="54">
        <v>10</v>
      </c>
      <c r="AQ181" s="54">
        <v>60</v>
      </c>
      <c r="AR181" s="54">
        <v>0</v>
      </c>
      <c r="AS181" s="57">
        <v>20.190000000000001</v>
      </c>
      <c r="AT181" s="56">
        <v>29</v>
      </c>
      <c r="AU181" s="57">
        <v>90</v>
      </c>
      <c r="AV181" s="56">
        <v>64.217117309570298</v>
      </c>
      <c r="AW181" s="57">
        <v>360.45380020141602</v>
      </c>
      <c r="AX181" s="8"/>
      <c r="AZ181" s="1">
        <v>90</v>
      </c>
    </row>
    <row r="182" spans="3:56" ht="15" customHeight="1" x14ac:dyDescent="0.25">
      <c r="C182" s="42"/>
      <c r="D182" s="43">
        <f>D172</f>
        <v>45702</v>
      </c>
      <c r="E182" s="44">
        <f t="shared" si="17"/>
        <v>14.083333333333364</v>
      </c>
      <c r="F182" s="45">
        <f t="shared" si="14"/>
        <v>45703.083333333736</v>
      </c>
      <c r="G182" s="52">
        <v>40</v>
      </c>
      <c r="H182" s="53">
        <v>38</v>
      </c>
      <c r="I182" s="54">
        <v>10.8</v>
      </c>
      <c r="J182" s="54">
        <v>300</v>
      </c>
      <c r="K182" s="55">
        <v>0</v>
      </c>
      <c r="L182" s="56">
        <v>36</v>
      </c>
      <c r="M182" s="54">
        <v>11.1</v>
      </c>
      <c r="N182" s="54">
        <v>250</v>
      </c>
      <c r="O182" s="57">
        <v>0</v>
      </c>
      <c r="P182" s="53">
        <v>36</v>
      </c>
      <c r="Q182" s="54">
        <v>10.6</v>
      </c>
      <c r="R182" s="55">
        <v>0</v>
      </c>
      <c r="S182" s="55">
        <v>6.2</v>
      </c>
      <c r="T182" s="57">
        <v>17.690000000000001</v>
      </c>
      <c r="U182" s="56">
        <v>35</v>
      </c>
      <c r="V182" s="54">
        <v>10.3</v>
      </c>
      <c r="W182" s="55">
        <v>0</v>
      </c>
      <c r="X182" s="55">
        <v>6.5</v>
      </c>
      <c r="Y182" s="57">
        <v>16.53</v>
      </c>
      <c r="Z182" s="53">
        <v>35</v>
      </c>
      <c r="AA182" s="54">
        <v>10.1</v>
      </c>
      <c r="AB182" s="55">
        <v>0</v>
      </c>
      <c r="AC182" s="55">
        <v>6.2</v>
      </c>
      <c r="AD182" s="57">
        <v>13.84</v>
      </c>
      <c r="AE182" s="56">
        <v>36</v>
      </c>
      <c r="AF182" s="54">
        <v>10.1</v>
      </c>
      <c r="AG182" s="55">
        <v>0</v>
      </c>
      <c r="AH182" s="55">
        <v>5.9</v>
      </c>
      <c r="AI182" s="57">
        <v>12.5</v>
      </c>
      <c r="AJ182" s="56">
        <v>36</v>
      </c>
      <c r="AK182" s="54">
        <v>10.1</v>
      </c>
      <c r="AL182" s="54">
        <v>0</v>
      </c>
      <c r="AM182" s="54">
        <v>5.4</v>
      </c>
      <c r="AN182" s="57">
        <v>15.7</v>
      </c>
      <c r="AO182" s="53">
        <v>33</v>
      </c>
      <c r="AP182" s="54">
        <v>10.1</v>
      </c>
      <c r="AQ182" s="54">
        <v>100</v>
      </c>
      <c r="AR182" s="54">
        <v>0</v>
      </c>
      <c r="AS182" s="57">
        <v>19.23</v>
      </c>
      <c r="AT182" s="56">
        <v>29</v>
      </c>
      <c r="AU182" s="57">
        <v>80</v>
      </c>
      <c r="AV182" s="56">
        <v>64.2333984375</v>
      </c>
      <c r="AW182" s="57">
        <v>360.019410832723</v>
      </c>
      <c r="AX182" s="8"/>
      <c r="AZ182" s="1">
        <v>90</v>
      </c>
    </row>
    <row r="183" spans="3:56" ht="15" customHeight="1" x14ac:dyDescent="0.25">
      <c r="C183" s="42"/>
      <c r="D183" s="69">
        <f>D172</f>
        <v>45702</v>
      </c>
      <c r="E183" s="70">
        <f t="shared" si="17"/>
        <v>14.166666666666698</v>
      </c>
      <c r="F183" s="71">
        <f t="shared" si="14"/>
        <v>45703.166666667072</v>
      </c>
      <c r="G183" s="60">
        <v>38</v>
      </c>
      <c r="H183" s="61">
        <v>37</v>
      </c>
      <c r="I183" s="62">
        <v>10.5</v>
      </c>
      <c r="J183" s="62">
        <v>250</v>
      </c>
      <c r="K183" s="63">
        <v>0</v>
      </c>
      <c r="L183" s="64">
        <v>36</v>
      </c>
      <c r="M183" s="62">
        <v>11</v>
      </c>
      <c r="N183" s="62">
        <v>250</v>
      </c>
      <c r="O183" s="65">
        <v>0</v>
      </c>
      <c r="P183" s="61">
        <v>36</v>
      </c>
      <c r="Q183" s="62">
        <v>10.9</v>
      </c>
      <c r="R183" s="63">
        <v>0</v>
      </c>
      <c r="S183" s="63">
        <v>0</v>
      </c>
      <c r="T183" s="65">
        <v>18.2</v>
      </c>
      <c r="U183" s="64">
        <v>37</v>
      </c>
      <c r="V183" s="62">
        <v>10.5</v>
      </c>
      <c r="W183" s="63">
        <v>0</v>
      </c>
      <c r="X183" s="63">
        <v>6.4</v>
      </c>
      <c r="Y183" s="65">
        <v>16.3</v>
      </c>
      <c r="Z183" s="61">
        <v>36</v>
      </c>
      <c r="AA183" s="62">
        <v>10.1</v>
      </c>
      <c r="AB183" s="63">
        <v>0</v>
      </c>
      <c r="AC183" s="63">
        <v>6.1</v>
      </c>
      <c r="AD183" s="65">
        <v>13.4</v>
      </c>
      <c r="AE183" s="64">
        <v>35</v>
      </c>
      <c r="AF183" s="62">
        <v>10.1</v>
      </c>
      <c r="AG183" s="63">
        <v>0</v>
      </c>
      <c r="AH183" s="63">
        <v>6.2</v>
      </c>
      <c r="AI183" s="65">
        <v>14.4</v>
      </c>
      <c r="AJ183" s="64">
        <v>36</v>
      </c>
      <c r="AK183" s="62">
        <v>10.1</v>
      </c>
      <c r="AL183" s="62">
        <v>0</v>
      </c>
      <c r="AM183" s="62">
        <v>5.4</v>
      </c>
      <c r="AN183" s="65">
        <v>19.600000000000001</v>
      </c>
      <c r="AO183" s="61">
        <v>35</v>
      </c>
      <c r="AP183" s="62">
        <v>10.1</v>
      </c>
      <c r="AQ183" s="62">
        <v>10</v>
      </c>
      <c r="AR183" s="62">
        <v>0</v>
      </c>
      <c r="AS183" s="65">
        <v>15.3</v>
      </c>
      <c r="AT183" s="64">
        <v>29</v>
      </c>
      <c r="AU183" s="65">
        <v>80</v>
      </c>
      <c r="AV183" s="64">
        <v>64.188644409179702</v>
      </c>
      <c r="AW183" s="65">
        <v>360.16360435485842</v>
      </c>
      <c r="AX183" s="8"/>
      <c r="AZ183" s="1">
        <v>90</v>
      </c>
    </row>
    <row r="184" spans="3:56" ht="15" customHeight="1" x14ac:dyDescent="0.25">
      <c r="C184" s="42">
        <f>C172+1</f>
        <v>15</v>
      </c>
      <c r="D184" s="66">
        <f>DATE([2]Dash!$F$3,VLOOKUP([2]Dash!$E$3,[2]Abb!$C$3:$D$14,2,FALSE),C184)</f>
        <v>45703</v>
      </c>
      <c r="E184" s="67">
        <f>E183+2/24</f>
        <v>14.250000000000032</v>
      </c>
      <c r="F184" s="68">
        <f t="shared" si="14"/>
        <v>45703.250000000407</v>
      </c>
      <c r="G184" s="46">
        <v>0</v>
      </c>
      <c r="H184" s="47">
        <v>0</v>
      </c>
      <c r="I184" s="48">
        <v>0</v>
      </c>
      <c r="J184" s="48">
        <v>0</v>
      </c>
      <c r="K184" s="49">
        <v>0</v>
      </c>
      <c r="L184" s="50">
        <v>0</v>
      </c>
      <c r="M184" s="48">
        <v>0</v>
      </c>
      <c r="N184" s="48">
        <v>0</v>
      </c>
      <c r="O184" s="51">
        <v>0</v>
      </c>
      <c r="P184" s="47">
        <v>0</v>
      </c>
      <c r="Q184" s="48">
        <v>0</v>
      </c>
      <c r="R184" s="49">
        <v>0</v>
      </c>
      <c r="S184" s="49">
        <v>0</v>
      </c>
      <c r="T184" s="51">
        <v>0</v>
      </c>
      <c r="U184" s="50">
        <v>0</v>
      </c>
      <c r="V184" s="48">
        <v>0</v>
      </c>
      <c r="W184" s="49">
        <v>0</v>
      </c>
      <c r="X184" s="49">
        <v>0</v>
      </c>
      <c r="Y184" s="51">
        <v>0</v>
      </c>
      <c r="Z184" s="47">
        <v>0</v>
      </c>
      <c r="AA184" s="48">
        <v>0</v>
      </c>
      <c r="AB184" s="49">
        <v>0</v>
      </c>
      <c r="AC184" s="49">
        <v>0</v>
      </c>
      <c r="AD184" s="51">
        <v>0</v>
      </c>
      <c r="AE184" s="50">
        <v>0</v>
      </c>
      <c r="AF184" s="48">
        <v>0</v>
      </c>
      <c r="AG184" s="49">
        <v>0</v>
      </c>
      <c r="AH184" s="49">
        <v>0</v>
      </c>
      <c r="AI184" s="51">
        <v>0</v>
      </c>
      <c r="AJ184" s="50">
        <v>0</v>
      </c>
      <c r="AK184" s="48">
        <v>0</v>
      </c>
      <c r="AL184" s="48">
        <v>0</v>
      </c>
      <c r="AM184" s="48">
        <v>0</v>
      </c>
      <c r="AN184" s="51">
        <v>0</v>
      </c>
      <c r="AO184" s="47">
        <v>0</v>
      </c>
      <c r="AP184" s="48">
        <v>0</v>
      </c>
      <c r="AQ184" s="48">
        <v>0</v>
      </c>
      <c r="AR184" s="48">
        <v>0</v>
      </c>
      <c r="AS184" s="51">
        <v>0</v>
      </c>
      <c r="AT184" s="50">
        <v>0</v>
      </c>
      <c r="AU184" s="51">
        <v>0</v>
      </c>
      <c r="AV184" s="50">
        <v>64.200851440429702</v>
      </c>
      <c r="AW184" s="51">
        <v>357.47962493896483</v>
      </c>
      <c r="AX184" s="8"/>
      <c r="AZ184" s="1">
        <v>90</v>
      </c>
    </row>
    <row r="185" spans="3:56" ht="15" customHeight="1" x14ac:dyDescent="0.25">
      <c r="C185" s="42"/>
      <c r="D185" s="43">
        <f>D184</f>
        <v>45703</v>
      </c>
      <c r="E185" s="44">
        <f>E184+2/24</f>
        <v>14.333333333333366</v>
      </c>
      <c r="F185" s="45">
        <f t="shared" si="14"/>
        <v>45703.333333333743</v>
      </c>
      <c r="G185" s="52">
        <v>0</v>
      </c>
      <c r="H185" s="53">
        <v>39</v>
      </c>
      <c r="I185" s="54">
        <v>10.8</v>
      </c>
      <c r="J185" s="54">
        <v>200</v>
      </c>
      <c r="K185" s="55">
        <v>8.9</v>
      </c>
      <c r="L185" s="56">
        <v>39</v>
      </c>
      <c r="M185" s="54">
        <v>10.8</v>
      </c>
      <c r="N185" s="54">
        <v>250</v>
      </c>
      <c r="O185" s="57">
        <v>8.1</v>
      </c>
      <c r="P185" s="53">
        <v>38</v>
      </c>
      <c r="Q185" s="54">
        <v>10.8</v>
      </c>
      <c r="R185" s="55">
        <v>0</v>
      </c>
      <c r="S185" s="55">
        <v>7.6</v>
      </c>
      <c r="T185" s="57">
        <v>17.3</v>
      </c>
      <c r="U185" s="56">
        <v>37</v>
      </c>
      <c r="V185" s="54">
        <v>10.5</v>
      </c>
      <c r="W185" s="55">
        <v>0</v>
      </c>
      <c r="X185" s="55">
        <v>7</v>
      </c>
      <c r="Y185" s="57">
        <v>15.96</v>
      </c>
      <c r="Z185" s="53">
        <v>36</v>
      </c>
      <c r="AA185" s="54">
        <v>10.3</v>
      </c>
      <c r="AB185" s="55">
        <v>0</v>
      </c>
      <c r="AC185" s="55">
        <v>6.5</v>
      </c>
      <c r="AD185" s="57">
        <v>13.46</v>
      </c>
      <c r="AE185" s="56">
        <v>37</v>
      </c>
      <c r="AF185" s="54">
        <v>10.199999999999999</v>
      </c>
      <c r="AG185" s="55">
        <v>0</v>
      </c>
      <c r="AH185" s="55">
        <v>6.6</v>
      </c>
      <c r="AI185" s="57">
        <v>14.42</v>
      </c>
      <c r="AJ185" s="56">
        <v>35</v>
      </c>
      <c r="AK185" s="54">
        <v>10</v>
      </c>
      <c r="AL185" s="54">
        <v>0</v>
      </c>
      <c r="AM185" s="54">
        <v>5.9</v>
      </c>
      <c r="AN185" s="57">
        <v>14.42</v>
      </c>
      <c r="AO185" s="53">
        <v>35</v>
      </c>
      <c r="AP185" s="54">
        <v>10</v>
      </c>
      <c r="AQ185" s="54">
        <v>100</v>
      </c>
      <c r="AR185" s="54">
        <v>5.5</v>
      </c>
      <c r="AS185" s="57">
        <v>18.260000000000002</v>
      </c>
      <c r="AT185" s="56">
        <v>28</v>
      </c>
      <c r="AU185" s="57">
        <v>80</v>
      </c>
      <c r="AV185" s="56">
        <v>64.335128784179702</v>
      </c>
      <c r="AW185" s="57">
        <v>357.31891441345215</v>
      </c>
      <c r="AX185" s="8"/>
      <c r="AZ185" s="1">
        <v>90</v>
      </c>
    </row>
    <row r="186" spans="3:56" ht="15" customHeight="1" x14ac:dyDescent="0.25">
      <c r="C186" s="42"/>
      <c r="D186" s="43">
        <f>D184</f>
        <v>45703</v>
      </c>
      <c r="E186" s="44">
        <f t="shared" ref="E186:E195" si="18">E185+2/24</f>
        <v>14.4166666666667</v>
      </c>
      <c r="F186" s="45">
        <f t="shared" si="14"/>
        <v>45703.416666667079</v>
      </c>
      <c r="G186" s="52">
        <v>0</v>
      </c>
      <c r="H186" s="53">
        <v>38</v>
      </c>
      <c r="I186" s="54">
        <v>10.7</v>
      </c>
      <c r="J186" s="54">
        <v>200</v>
      </c>
      <c r="K186" s="55">
        <v>6.9</v>
      </c>
      <c r="L186" s="56">
        <v>39</v>
      </c>
      <c r="M186" s="54">
        <v>10.8</v>
      </c>
      <c r="N186" s="54">
        <v>250</v>
      </c>
      <c r="O186" s="57">
        <v>5.5</v>
      </c>
      <c r="P186" s="53">
        <v>37</v>
      </c>
      <c r="Q186" s="54">
        <v>10.8</v>
      </c>
      <c r="R186" s="55">
        <v>0</v>
      </c>
      <c r="S186" s="55">
        <v>6.8</v>
      </c>
      <c r="T186" s="57">
        <v>15.19</v>
      </c>
      <c r="U186" s="56">
        <v>36</v>
      </c>
      <c r="V186" s="54">
        <v>10.5</v>
      </c>
      <c r="W186" s="55">
        <v>0</v>
      </c>
      <c r="X186" s="55">
        <v>5.9</v>
      </c>
      <c r="Y186" s="57">
        <v>15.96</v>
      </c>
      <c r="Z186" s="53">
        <v>36</v>
      </c>
      <c r="AA186" s="54">
        <v>10.3</v>
      </c>
      <c r="AB186" s="55">
        <v>0</v>
      </c>
      <c r="AC186" s="55">
        <v>5.3</v>
      </c>
      <c r="AD186" s="57">
        <v>13.46</v>
      </c>
      <c r="AE186" s="56">
        <v>37</v>
      </c>
      <c r="AF186" s="54">
        <v>10.199999999999999</v>
      </c>
      <c r="AG186" s="55">
        <v>0</v>
      </c>
      <c r="AH186" s="55">
        <v>6</v>
      </c>
      <c r="AI186" s="57">
        <v>14.42</v>
      </c>
      <c r="AJ186" s="56">
        <v>34</v>
      </c>
      <c r="AK186" s="54">
        <v>10</v>
      </c>
      <c r="AL186" s="54">
        <v>0</v>
      </c>
      <c r="AM186" s="54">
        <v>5.3</v>
      </c>
      <c r="AN186" s="57">
        <v>14.42</v>
      </c>
      <c r="AO186" s="53">
        <v>34</v>
      </c>
      <c r="AP186" s="54">
        <v>10</v>
      </c>
      <c r="AQ186" s="54">
        <v>100</v>
      </c>
      <c r="AR186" s="54">
        <v>6.1</v>
      </c>
      <c r="AS186" s="57">
        <v>18.260000000000002</v>
      </c>
      <c r="AT186" s="56">
        <v>0</v>
      </c>
      <c r="AU186" s="57">
        <v>0</v>
      </c>
      <c r="AV186" s="56">
        <v>64.388015747070298</v>
      </c>
      <c r="AW186" s="57">
        <v>355.67937431335451</v>
      </c>
      <c r="AX186" s="8"/>
      <c r="AZ186" s="1">
        <v>90</v>
      </c>
    </row>
    <row r="187" spans="3:56" ht="15" customHeight="1" x14ac:dyDescent="0.25">
      <c r="C187" s="42"/>
      <c r="D187" s="43">
        <f>D184</f>
        <v>45703</v>
      </c>
      <c r="E187" s="44">
        <f t="shared" si="18"/>
        <v>14.500000000000034</v>
      </c>
      <c r="F187" s="45">
        <f t="shared" si="14"/>
        <v>45703.500000000415</v>
      </c>
      <c r="G187" s="52">
        <v>0</v>
      </c>
      <c r="H187" s="53">
        <v>39</v>
      </c>
      <c r="I187" s="54">
        <v>9.6999999999999993</v>
      </c>
      <c r="J187" s="54">
        <v>250</v>
      </c>
      <c r="K187" s="55">
        <v>6.7</v>
      </c>
      <c r="L187" s="56">
        <v>37</v>
      </c>
      <c r="M187" s="54">
        <v>10.5</v>
      </c>
      <c r="N187" s="54">
        <v>250</v>
      </c>
      <c r="O187" s="57">
        <v>5.4</v>
      </c>
      <c r="P187" s="53">
        <v>37</v>
      </c>
      <c r="Q187" s="54">
        <v>10.6</v>
      </c>
      <c r="R187" s="55">
        <v>0</v>
      </c>
      <c r="S187" s="55">
        <v>5.3</v>
      </c>
      <c r="T187" s="57">
        <v>10.57</v>
      </c>
      <c r="U187" s="56">
        <v>38</v>
      </c>
      <c r="V187" s="54">
        <v>10.5</v>
      </c>
      <c r="W187" s="55">
        <v>0</v>
      </c>
      <c r="X187" s="55">
        <v>6.1</v>
      </c>
      <c r="Y187" s="57">
        <v>15.38</v>
      </c>
      <c r="Z187" s="53">
        <v>37</v>
      </c>
      <c r="AA187" s="54">
        <v>10.199999999999999</v>
      </c>
      <c r="AB187" s="55">
        <v>0</v>
      </c>
      <c r="AC187" s="55">
        <v>5.3</v>
      </c>
      <c r="AD187" s="57">
        <v>13.84</v>
      </c>
      <c r="AE187" s="56">
        <v>36</v>
      </c>
      <c r="AF187" s="54">
        <v>10.1</v>
      </c>
      <c r="AG187" s="55">
        <v>0</v>
      </c>
      <c r="AH187" s="55">
        <v>6.3</v>
      </c>
      <c r="AI187" s="57">
        <v>14.61</v>
      </c>
      <c r="AJ187" s="56">
        <v>36</v>
      </c>
      <c r="AK187" s="54">
        <v>10</v>
      </c>
      <c r="AL187" s="54">
        <v>0</v>
      </c>
      <c r="AM187" s="54">
        <v>5.7</v>
      </c>
      <c r="AN187" s="57">
        <v>14.61</v>
      </c>
      <c r="AO187" s="53">
        <v>36</v>
      </c>
      <c r="AP187" s="54">
        <v>10</v>
      </c>
      <c r="AQ187" s="54">
        <v>100</v>
      </c>
      <c r="AR187" s="54">
        <v>6.4</v>
      </c>
      <c r="AS187" s="57">
        <v>18.27</v>
      </c>
      <c r="AT187" s="56">
        <v>0</v>
      </c>
      <c r="AU187" s="57">
        <v>0</v>
      </c>
      <c r="AV187" s="56">
        <v>64.168289184570298</v>
      </c>
      <c r="AW187" s="57">
        <v>355.43306363423665</v>
      </c>
      <c r="AX187" s="8"/>
      <c r="AZ187" s="1">
        <v>90</v>
      </c>
    </row>
    <row r="188" spans="3:56" ht="15" customHeight="1" x14ac:dyDescent="0.25">
      <c r="C188" s="42"/>
      <c r="D188" s="43">
        <f>D184</f>
        <v>45703</v>
      </c>
      <c r="E188" s="44">
        <f t="shared" si="18"/>
        <v>14.583333333333368</v>
      </c>
      <c r="F188" s="45">
        <f t="shared" si="14"/>
        <v>45703.58333333375</v>
      </c>
      <c r="G188" s="52">
        <v>41</v>
      </c>
      <c r="H188" s="53">
        <v>38</v>
      </c>
      <c r="I188" s="54">
        <v>10.8</v>
      </c>
      <c r="J188" s="54">
        <v>250</v>
      </c>
      <c r="K188" s="55">
        <v>6.3</v>
      </c>
      <c r="L188" s="56">
        <v>37</v>
      </c>
      <c r="M188" s="54">
        <v>10.7</v>
      </c>
      <c r="N188" s="54">
        <v>250</v>
      </c>
      <c r="O188" s="57">
        <v>5.5</v>
      </c>
      <c r="P188" s="53">
        <v>37</v>
      </c>
      <c r="Q188" s="54">
        <v>10.6</v>
      </c>
      <c r="R188" s="55">
        <v>0</v>
      </c>
      <c r="S188" s="55">
        <v>5.4</v>
      </c>
      <c r="T188" s="57">
        <v>9.61</v>
      </c>
      <c r="U188" s="56">
        <v>36</v>
      </c>
      <c r="V188" s="54">
        <v>10.6</v>
      </c>
      <c r="W188" s="55">
        <v>0</v>
      </c>
      <c r="X188" s="55">
        <v>6.3</v>
      </c>
      <c r="Y188" s="57">
        <v>15.38</v>
      </c>
      <c r="Z188" s="53">
        <v>37</v>
      </c>
      <c r="AA188" s="54">
        <v>10.199999999999999</v>
      </c>
      <c r="AB188" s="55">
        <v>0</v>
      </c>
      <c r="AC188" s="55">
        <v>5.3</v>
      </c>
      <c r="AD188" s="57">
        <v>13.46</v>
      </c>
      <c r="AE188" s="56">
        <v>36</v>
      </c>
      <c r="AF188" s="54">
        <v>10.199999999999999</v>
      </c>
      <c r="AG188" s="55">
        <v>0</v>
      </c>
      <c r="AH188" s="55">
        <v>6.1</v>
      </c>
      <c r="AI188" s="57">
        <v>14.42</v>
      </c>
      <c r="AJ188" s="56">
        <v>34</v>
      </c>
      <c r="AK188" s="54">
        <v>10.1</v>
      </c>
      <c r="AL188" s="54">
        <v>0</v>
      </c>
      <c r="AM188" s="54">
        <v>5.7</v>
      </c>
      <c r="AN188" s="57">
        <v>14.42</v>
      </c>
      <c r="AO188" s="53">
        <v>34</v>
      </c>
      <c r="AP188" s="54">
        <v>10.1</v>
      </c>
      <c r="AQ188" s="54">
        <v>100</v>
      </c>
      <c r="AR188" s="54">
        <v>6.1</v>
      </c>
      <c r="AS188" s="57">
        <v>18.260000000000002</v>
      </c>
      <c r="AT188" s="56">
        <v>26</v>
      </c>
      <c r="AU188" s="57">
        <v>70</v>
      </c>
      <c r="AV188" s="56">
        <v>63.623046875</v>
      </c>
      <c r="AW188" s="57">
        <v>357.30673720041909</v>
      </c>
      <c r="AX188" s="8"/>
      <c r="AZ188" s="1">
        <v>90</v>
      </c>
    </row>
    <row r="189" spans="3:56" ht="15" customHeight="1" x14ac:dyDescent="0.25">
      <c r="C189" s="42"/>
      <c r="D189" s="43">
        <f>D184</f>
        <v>45703</v>
      </c>
      <c r="E189" s="44">
        <f t="shared" si="18"/>
        <v>14.666666666666702</v>
      </c>
      <c r="F189" s="45">
        <f t="shared" si="14"/>
        <v>45703.666666667086</v>
      </c>
      <c r="G189" s="52">
        <v>0</v>
      </c>
      <c r="H189" s="53">
        <v>38</v>
      </c>
      <c r="I189" s="54">
        <v>10.8</v>
      </c>
      <c r="J189" s="54">
        <v>250</v>
      </c>
      <c r="K189" s="55">
        <v>6.7</v>
      </c>
      <c r="L189" s="56">
        <v>38</v>
      </c>
      <c r="M189" s="54">
        <v>10.8</v>
      </c>
      <c r="N189" s="54">
        <v>250</v>
      </c>
      <c r="O189" s="57">
        <v>6</v>
      </c>
      <c r="P189" s="53">
        <v>37</v>
      </c>
      <c r="Q189" s="54">
        <v>10.6</v>
      </c>
      <c r="R189" s="55">
        <v>0</v>
      </c>
      <c r="S189" s="55">
        <v>6.1</v>
      </c>
      <c r="T189" s="57">
        <v>8.65</v>
      </c>
      <c r="U189" s="56">
        <v>37</v>
      </c>
      <c r="V189" s="54">
        <v>10.6</v>
      </c>
      <c r="W189" s="55">
        <v>0</v>
      </c>
      <c r="X189" s="55">
        <v>6</v>
      </c>
      <c r="Y189" s="57">
        <v>15.96</v>
      </c>
      <c r="Z189" s="53">
        <v>35</v>
      </c>
      <c r="AA189" s="54">
        <v>10.4</v>
      </c>
      <c r="AB189" s="55">
        <v>0</v>
      </c>
      <c r="AC189" s="55">
        <v>6.3</v>
      </c>
      <c r="AD189" s="57">
        <v>13.84</v>
      </c>
      <c r="AE189" s="56">
        <v>36</v>
      </c>
      <c r="AF189" s="54">
        <v>10.199999999999999</v>
      </c>
      <c r="AG189" s="55">
        <v>0</v>
      </c>
      <c r="AH189" s="55">
        <v>5.9</v>
      </c>
      <c r="AI189" s="57">
        <v>14.61</v>
      </c>
      <c r="AJ189" s="56">
        <v>35</v>
      </c>
      <c r="AK189" s="54">
        <v>10.1</v>
      </c>
      <c r="AL189" s="54">
        <v>0</v>
      </c>
      <c r="AM189" s="54">
        <v>6</v>
      </c>
      <c r="AN189" s="57">
        <v>14.61</v>
      </c>
      <c r="AO189" s="53">
        <v>35</v>
      </c>
      <c r="AP189" s="54">
        <v>10.1</v>
      </c>
      <c r="AQ189" s="54">
        <v>100</v>
      </c>
      <c r="AR189" s="54">
        <v>6.3</v>
      </c>
      <c r="AS189" s="57">
        <v>18.260000000000002</v>
      </c>
      <c r="AT189" s="56">
        <v>26</v>
      </c>
      <c r="AU189" s="57">
        <v>70</v>
      </c>
      <c r="AV189" s="56">
        <v>63.58642578125</v>
      </c>
      <c r="AW189" s="57">
        <v>357.90617707570397</v>
      </c>
      <c r="AX189" s="8"/>
      <c r="AZ189" s="1">
        <v>90</v>
      </c>
      <c r="BD189" s="1">
        <f>23*1.4/85</f>
        <v>0.37882352941176467</v>
      </c>
    </row>
    <row r="190" spans="3:56" ht="15" customHeight="1" x14ac:dyDescent="0.25">
      <c r="C190" s="42"/>
      <c r="D190" s="43">
        <f>D184</f>
        <v>45703</v>
      </c>
      <c r="E190" s="44">
        <f t="shared" si="18"/>
        <v>14.750000000000036</v>
      </c>
      <c r="F190" s="45">
        <f t="shared" si="14"/>
        <v>45703.750000000422</v>
      </c>
      <c r="G190" s="52">
        <v>38</v>
      </c>
      <c r="H190" s="53">
        <v>38</v>
      </c>
      <c r="I190" s="54">
        <v>9.9</v>
      </c>
      <c r="J190" s="54">
        <v>200</v>
      </c>
      <c r="K190" s="55">
        <v>6.9</v>
      </c>
      <c r="L190" s="56">
        <v>36</v>
      </c>
      <c r="M190" s="54">
        <v>10.6</v>
      </c>
      <c r="N190" s="54">
        <v>250</v>
      </c>
      <c r="O190" s="57">
        <v>6.5</v>
      </c>
      <c r="P190" s="53">
        <v>35</v>
      </c>
      <c r="Q190" s="54">
        <v>10.8</v>
      </c>
      <c r="R190" s="55">
        <v>0</v>
      </c>
      <c r="S190" s="55">
        <v>6.1</v>
      </c>
      <c r="T190" s="57">
        <v>12.5</v>
      </c>
      <c r="U190" s="56">
        <v>34</v>
      </c>
      <c r="V190" s="54">
        <v>10.8</v>
      </c>
      <c r="W190" s="55">
        <v>0</v>
      </c>
      <c r="X190" s="55">
        <v>6.1</v>
      </c>
      <c r="Y190" s="57">
        <v>12.5</v>
      </c>
      <c r="Z190" s="53">
        <v>34</v>
      </c>
      <c r="AA190" s="54">
        <v>10.6</v>
      </c>
      <c r="AB190" s="55">
        <v>0</v>
      </c>
      <c r="AC190" s="55">
        <v>6.2</v>
      </c>
      <c r="AD190" s="57">
        <v>13.58</v>
      </c>
      <c r="AE190" s="56">
        <v>34</v>
      </c>
      <c r="AF190" s="54">
        <v>10.4</v>
      </c>
      <c r="AG190" s="55">
        <v>0</v>
      </c>
      <c r="AH190" s="55">
        <v>5.7</v>
      </c>
      <c r="AI190" s="57">
        <v>12.5</v>
      </c>
      <c r="AJ190" s="56">
        <v>34</v>
      </c>
      <c r="AK190" s="54">
        <v>10.199999999999999</v>
      </c>
      <c r="AL190" s="54">
        <v>0</v>
      </c>
      <c r="AM190" s="54">
        <v>5.4</v>
      </c>
      <c r="AN190" s="57">
        <v>15.38</v>
      </c>
      <c r="AO190" s="53">
        <v>31</v>
      </c>
      <c r="AP190" s="54">
        <v>10.199999999999999</v>
      </c>
      <c r="AQ190" s="54">
        <v>90</v>
      </c>
      <c r="AR190" s="54">
        <v>5.2</v>
      </c>
      <c r="AS190" s="57">
        <v>19.23</v>
      </c>
      <c r="AT190" s="56">
        <v>25</v>
      </c>
      <c r="AU190" s="57">
        <v>50</v>
      </c>
      <c r="AV190" s="56">
        <v>63.907878875732401</v>
      </c>
      <c r="AW190" s="57">
        <v>358.70478890736899</v>
      </c>
      <c r="AX190" s="8"/>
      <c r="AZ190" s="1">
        <v>90</v>
      </c>
    </row>
    <row r="191" spans="3:56" ht="15" customHeight="1" x14ac:dyDescent="0.25">
      <c r="C191" s="42"/>
      <c r="D191" s="43">
        <f>D184</f>
        <v>45703</v>
      </c>
      <c r="E191" s="44">
        <f t="shared" si="18"/>
        <v>14.833333333333369</v>
      </c>
      <c r="F191" s="45">
        <f t="shared" si="14"/>
        <v>45703.833333333758</v>
      </c>
      <c r="G191" s="52">
        <v>38</v>
      </c>
      <c r="H191" s="53">
        <v>38</v>
      </c>
      <c r="I191" s="54">
        <v>9.9</v>
      </c>
      <c r="J191" s="54">
        <v>200</v>
      </c>
      <c r="K191" s="55">
        <v>6.9</v>
      </c>
      <c r="L191" s="56">
        <v>36</v>
      </c>
      <c r="M191" s="54">
        <v>10.6</v>
      </c>
      <c r="N191" s="54">
        <v>250</v>
      </c>
      <c r="O191" s="57">
        <v>6.5</v>
      </c>
      <c r="P191" s="53">
        <v>35</v>
      </c>
      <c r="Q191" s="54">
        <v>10.8</v>
      </c>
      <c r="R191" s="55">
        <v>0</v>
      </c>
      <c r="S191" s="55">
        <v>6.1</v>
      </c>
      <c r="T191" s="57">
        <v>12.5</v>
      </c>
      <c r="U191" s="56">
        <v>34</v>
      </c>
      <c r="V191" s="54">
        <v>10.8</v>
      </c>
      <c r="W191" s="55">
        <v>0</v>
      </c>
      <c r="X191" s="55">
        <v>6.1</v>
      </c>
      <c r="Y191" s="57">
        <v>12.5</v>
      </c>
      <c r="Z191" s="53">
        <v>34</v>
      </c>
      <c r="AA191" s="54">
        <v>10.6</v>
      </c>
      <c r="AB191" s="55">
        <v>0</v>
      </c>
      <c r="AC191" s="55">
        <v>6.2</v>
      </c>
      <c r="AD191" s="57">
        <v>13.58</v>
      </c>
      <c r="AE191" s="56">
        <v>34</v>
      </c>
      <c r="AF191" s="54">
        <v>10.4</v>
      </c>
      <c r="AG191" s="55">
        <v>0</v>
      </c>
      <c r="AH191" s="55">
        <v>5.7</v>
      </c>
      <c r="AI191" s="57">
        <v>12.5</v>
      </c>
      <c r="AJ191" s="56">
        <v>34</v>
      </c>
      <c r="AK191" s="54">
        <v>10.199999999999999</v>
      </c>
      <c r="AL191" s="54">
        <v>0</v>
      </c>
      <c r="AM191" s="54">
        <v>5.4</v>
      </c>
      <c r="AN191" s="57">
        <v>15.38</v>
      </c>
      <c r="AO191" s="53">
        <v>31</v>
      </c>
      <c r="AP191" s="54">
        <v>10.199999999999999</v>
      </c>
      <c r="AQ191" s="54">
        <v>90</v>
      </c>
      <c r="AR191" s="54">
        <v>5.2</v>
      </c>
      <c r="AS191" s="57">
        <v>19.23</v>
      </c>
      <c r="AT191" s="56">
        <v>25</v>
      </c>
      <c r="AU191" s="57">
        <v>50</v>
      </c>
      <c r="AV191" s="56">
        <v>63.627117156982401</v>
      </c>
      <c r="AW191" s="57">
        <v>359.04308897654215</v>
      </c>
      <c r="AX191" s="8"/>
      <c r="AZ191" s="1">
        <v>90</v>
      </c>
    </row>
    <row r="192" spans="3:56" ht="15" customHeight="1" x14ac:dyDescent="0.25">
      <c r="C192" s="42"/>
      <c r="D192" s="43">
        <f>D184</f>
        <v>45703</v>
      </c>
      <c r="E192" s="44">
        <f t="shared" si="18"/>
        <v>14.916666666666703</v>
      </c>
      <c r="F192" s="45">
        <f t="shared" si="14"/>
        <v>45703.916666667094</v>
      </c>
      <c r="G192" s="52">
        <v>40</v>
      </c>
      <c r="H192" s="53">
        <v>35</v>
      </c>
      <c r="I192" s="54">
        <v>9.9</v>
      </c>
      <c r="J192" s="54">
        <v>200</v>
      </c>
      <c r="K192" s="55">
        <v>6.5</v>
      </c>
      <c r="L192" s="56">
        <v>36</v>
      </c>
      <c r="M192" s="54">
        <v>10.5</v>
      </c>
      <c r="N192" s="54">
        <v>250</v>
      </c>
      <c r="O192" s="57">
        <v>6.5</v>
      </c>
      <c r="P192" s="53">
        <v>35</v>
      </c>
      <c r="Q192" s="54">
        <v>10.7</v>
      </c>
      <c r="R192" s="55">
        <v>0</v>
      </c>
      <c r="S192" s="55">
        <v>6.4</v>
      </c>
      <c r="T192" s="57">
        <v>15.38</v>
      </c>
      <c r="U192" s="56">
        <v>35</v>
      </c>
      <c r="V192" s="54">
        <v>10.7</v>
      </c>
      <c r="W192" s="55">
        <v>0</v>
      </c>
      <c r="X192" s="55">
        <v>6.4</v>
      </c>
      <c r="Y192" s="57">
        <v>9.61</v>
      </c>
      <c r="Z192" s="53">
        <v>34</v>
      </c>
      <c r="AA192" s="54">
        <v>10.6</v>
      </c>
      <c r="AB192" s="55">
        <v>0</v>
      </c>
      <c r="AC192" s="55">
        <v>6.1</v>
      </c>
      <c r="AD192" s="57">
        <v>12.11</v>
      </c>
      <c r="AE192" s="56">
        <v>34</v>
      </c>
      <c r="AF192" s="54">
        <v>10.4</v>
      </c>
      <c r="AG192" s="55">
        <v>0</v>
      </c>
      <c r="AH192" s="55">
        <v>5.4</v>
      </c>
      <c r="AI192" s="57">
        <v>13.07</v>
      </c>
      <c r="AJ192" s="56">
        <v>34</v>
      </c>
      <c r="AK192" s="54">
        <v>10.199999999999999</v>
      </c>
      <c r="AL192" s="54">
        <v>0</v>
      </c>
      <c r="AM192" s="54">
        <v>5.2</v>
      </c>
      <c r="AN192" s="57">
        <v>15.76</v>
      </c>
      <c r="AO192" s="53">
        <v>33</v>
      </c>
      <c r="AP192" s="54">
        <v>10.199999999999999</v>
      </c>
      <c r="AQ192" s="54">
        <v>100</v>
      </c>
      <c r="AR192" s="54">
        <v>5.3</v>
      </c>
      <c r="AS192" s="57">
        <v>18.84</v>
      </c>
      <c r="AT192" s="56">
        <v>26</v>
      </c>
      <c r="AU192" s="57">
        <v>60</v>
      </c>
      <c r="AV192" s="56">
        <v>63.4033203125</v>
      </c>
      <c r="AW192" s="57">
        <v>358.99221191406252</v>
      </c>
      <c r="AX192" s="8"/>
      <c r="AZ192" s="1">
        <v>90</v>
      </c>
    </row>
    <row r="193" spans="3:52" ht="15" customHeight="1" x14ac:dyDescent="0.25">
      <c r="C193" s="42"/>
      <c r="D193" s="43">
        <f>D184</f>
        <v>45703</v>
      </c>
      <c r="E193" s="44">
        <f t="shared" si="18"/>
        <v>15.000000000000037</v>
      </c>
      <c r="F193" s="45">
        <f t="shared" si="14"/>
        <v>45704.000000000429</v>
      </c>
      <c r="G193" s="52">
        <v>38</v>
      </c>
      <c r="H193" s="53">
        <v>38</v>
      </c>
      <c r="I193" s="54">
        <v>10.6</v>
      </c>
      <c r="J193" s="54">
        <v>200</v>
      </c>
      <c r="K193" s="55">
        <v>6.7</v>
      </c>
      <c r="L193" s="56">
        <v>37</v>
      </c>
      <c r="M193" s="54">
        <v>10.6</v>
      </c>
      <c r="N193" s="54">
        <v>250</v>
      </c>
      <c r="O193" s="57">
        <v>6.9</v>
      </c>
      <c r="P193" s="53">
        <v>35</v>
      </c>
      <c r="Q193" s="54">
        <v>10.6</v>
      </c>
      <c r="R193" s="55">
        <v>0</v>
      </c>
      <c r="S193" s="55">
        <v>6.2</v>
      </c>
      <c r="T193" s="57">
        <v>16.34</v>
      </c>
      <c r="U193" s="56">
        <v>35</v>
      </c>
      <c r="V193" s="54">
        <v>10.6</v>
      </c>
      <c r="W193" s="55">
        <v>0</v>
      </c>
      <c r="X193" s="55">
        <v>6.2</v>
      </c>
      <c r="Y193" s="57">
        <v>13.07</v>
      </c>
      <c r="Z193" s="53">
        <v>34</v>
      </c>
      <c r="AA193" s="54">
        <v>10.5</v>
      </c>
      <c r="AB193" s="55">
        <v>0</v>
      </c>
      <c r="AC193" s="55">
        <v>6.3</v>
      </c>
      <c r="AD193" s="57">
        <v>12.11</v>
      </c>
      <c r="AE193" s="56">
        <v>34</v>
      </c>
      <c r="AF193" s="54">
        <v>10.4</v>
      </c>
      <c r="AG193" s="55">
        <v>0</v>
      </c>
      <c r="AH193" s="55">
        <v>5.2</v>
      </c>
      <c r="AI193" s="57">
        <v>12.5</v>
      </c>
      <c r="AJ193" s="56">
        <v>34</v>
      </c>
      <c r="AK193" s="54">
        <v>10.3</v>
      </c>
      <c r="AL193" s="54">
        <v>0</v>
      </c>
      <c r="AM193" s="54">
        <v>5.4</v>
      </c>
      <c r="AN193" s="57">
        <v>15.38</v>
      </c>
      <c r="AO193" s="53">
        <v>33</v>
      </c>
      <c r="AP193" s="54">
        <v>10.199999999999999</v>
      </c>
      <c r="AQ193" s="54">
        <v>100</v>
      </c>
      <c r="AR193" s="54">
        <v>5.0999999999999996</v>
      </c>
      <c r="AS193" s="57">
        <v>18.649999999999999</v>
      </c>
      <c r="AT193" s="56">
        <v>28</v>
      </c>
      <c r="AU193" s="57">
        <v>70</v>
      </c>
      <c r="AV193" s="56">
        <v>63.496906280517599</v>
      </c>
      <c r="AW193" s="57">
        <v>360.32467670440673</v>
      </c>
      <c r="AX193" s="8"/>
      <c r="AZ193" s="1">
        <v>90</v>
      </c>
    </row>
    <row r="194" spans="3:52" ht="15" customHeight="1" x14ac:dyDescent="0.25">
      <c r="C194" s="42"/>
      <c r="D194" s="43">
        <f>D184</f>
        <v>45703</v>
      </c>
      <c r="E194" s="44">
        <f t="shared" si="18"/>
        <v>15.083333333333371</v>
      </c>
      <c r="F194" s="45">
        <f t="shared" si="14"/>
        <v>45704.083333333765</v>
      </c>
      <c r="G194" s="52">
        <v>38</v>
      </c>
      <c r="H194" s="53">
        <v>38</v>
      </c>
      <c r="I194" s="54">
        <v>11</v>
      </c>
      <c r="J194" s="54">
        <v>200</v>
      </c>
      <c r="K194" s="55">
        <v>7</v>
      </c>
      <c r="L194" s="56">
        <v>38</v>
      </c>
      <c r="M194" s="54">
        <v>10.6</v>
      </c>
      <c r="N194" s="54">
        <v>300</v>
      </c>
      <c r="O194" s="57">
        <v>6.7</v>
      </c>
      <c r="P194" s="53">
        <v>35</v>
      </c>
      <c r="Q194" s="54">
        <v>10.5</v>
      </c>
      <c r="R194" s="55">
        <v>0</v>
      </c>
      <c r="S194" s="55">
        <v>6.2</v>
      </c>
      <c r="T194" s="57">
        <v>16.34</v>
      </c>
      <c r="U194" s="56">
        <v>34</v>
      </c>
      <c r="V194" s="54">
        <v>10.6</v>
      </c>
      <c r="W194" s="55">
        <v>0</v>
      </c>
      <c r="X194" s="55">
        <v>6.2</v>
      </c>
      <c r="Y194" s="57">
        <v>14.42</v>
      </c>
      <c r="Z194" s="53">
        <v>34</v>
      </c>
      <c r="AA194" s="54">
        <v>10.6</v>
      </c>
      <c r="AB194" s="55">
        <v>0</v>
      </c>
      <c r="AC194" s="55">
        <v>6.5</v>
      </c>
      <c r="AD194" s="57">
        <v>9.61</v>
      </c>
      <c r="AE194" s="56">
        <v>34</v>
      </c>
      <c r="AF194" s="54">
        <v>10.4</v>
      </c>
      <c r="AG194" s="55">
        <v>0</v>
      </c>
      <c r="AH194" s="55">
        <v>5.2</v>
      </c>
      <c r="AI194" s="57">
        <v>13.07</v>
      </c>
      <c r="AJ194" s="56">
        <v>34</v>
      </c>
      <c r="AK194" s="54">
        <v>10.3</v>
      </c>
      <c r="AL194" s="54">
        <v>0</v>
      </c>
      <c r="AM194" s="54">
        <v>5.0999999999999996</v>
      </c>
      <c r="AN194" s="57">
        <v>16.34</v>
      </c>
      <c r="AO194" s="53">
        <v>33</v>
      </c>
      <c r="AP194" s="54">
        <v>10.199999999999999</v>
      </c>
      <c r="AQ194" s="54">
        <v>100</v>
      </c>
      <c r="AR194" s="54">
        <v>5.4</v>
      </c>
      <c r="AS194" s="57">
        <v>18.260000000000002</v>
      </c>
      <c r="AT194" s="56">
        <v>28</v>
      </c>
      <c r="AU194" s="57">
        <v>70</v>
      </c>
      <c r="AV194" s="56">
        <v>63.623046875</v>
      </c>
      <c r="AW194" s="57">
        <v>359.63831005096438</v>
      </c>
      <c r="AX194" s="8"/>
      <c r="AZ194" s="1">
        <v>90</v>
      </c>
    </row>
    <row r="195" spans="3:52" ht="15" customHeight="1" x14ac:dyDescent="0.25">
      <c r="C195" s="42"/>
      <c r="D195" s="69">
        <f>D184</f>
        <v>45703</v>
      </c>
      <c r="E195" s="70">
        <f t="shared" si="18"/>
        <v>15.166666666666705</v>
      </c>
      <c r="F195" s="71">
        <f t="shared" si="14"/>
        <v>45704.166666667101</v>
      </c>
      <c r="G195" s="60">
        <v>0</v>
      </c>
      <c r="H195" s="61">
        <v>38</v>
      </c>
      <c r="I195" s="62">
        <v>11</v>
      </c>
      <c r="J195" s="62">
        <v>300</v>
      </c>
      <c r="K195" s="63">
        <v>7.1</v>
      </c>
      <c r="L195" s="64">
        <v>38</v>
      </c>
      <c r="M195" s="62">
        <v>10.7</v>
      </c>
      <c r="N195" s="62">
        <v>300</v>
      </c>
      <c r="O195" s="65">
        <v>6.5</v>
      </c>
      <c r="P195" s="61">
        <v>36</v>
      </c>
      <c r="Q195" s="62">
        <v>10.6</v>
      </c>
      <c r="R195" s="63">
        <v>0</v>
      </c>
      <c r="S195" s="63">
        <v>6.3</v>
      </c>
      <c r="T195" s="65">
        <v>16.75</v>
      </c>
      <c r="U195" s="64">
        <v>34</v>
      </c>
      <c r="V195" s="62">
        <v>10.6</v>
      </c>
      <c r="W195" s="63">
        <v>0</v>
      </c>
      <c r="X195" s="63">
        <v>6.3</v>
      </c>
      <c r="Y195" s="65">
        <v>15</v>
      </c>
      <c r="Z195" s="61">
        <v>35</v>
      </c>
      <c r="AA195" s="62">
        <v>10.6</v>
      </c>
      <c r="AB195" s="63">
        <v>0</v>
      </c>
      <c r="AC195" s="63">
        <v>6.2</v>
      </c>
      <c r="AD195" s="65">
        <v>13.46</v>
      </c>
      <c r="AE195" s="64">
        <v>35</v>
      </c>
      <c r="AF195" s="62">
        <v>10.4</v>
      </c>
      <c r="AG195" s="63">
        <v>0</v>
      </c>
      <c r="AH195" s="63">
        <v>5.0999999999999996</v>
      </c>
      <c r="AI195" s="65">
        <v>4.8</v>
      </c>
      <c r="AJ195" s="64">
        <v>34</v>
      </c>
      <c r="AK195" s="62">
        <v>10.3</v>
      </c>
      <c r="AL195" s="62">
        <v>0</v>
      </c>
      <c r="AM195" s="62">
        <v>5.3</v>
      </c>
      <c r="AN195" s="65">
        <v>15.19</v>
      </c>
      <c r="AO195" s="61">
        <v>34</v>
      </c>
      <c r="AP195" s="62">
        <v>10.199999999999999</v>
      </c>
      <c r="AQ195" s="62">
        <v>100</v>
      </c>
      <c r="AR195" s="62">
        <v>5.3</v>
      </c>
      <c r="AS195" s="65">
        <v>19</v>
      </c>
      <c r="AT195" s="64">
        <v>28</v>
      </c>
      <c r="AU195" s="65">
        <v>70</v>
      </c>
      <c r="AV195" s="64">
        <v>63.0615234375</v>
      </c>
      <c r="AW195" s="65">
        <v>358.6006218592326</v>
      </c>
      <c r="AX195" s="8"/>
      <c r="AZ195" s="1">
        <v>90</v>
      </c>
    </row>
    <row r="196" spans="3:52" ht="15" customHeight="1" x14ac:dyDescent="0.25">
      <c r="C196" s="42">
        <f>C184+1</f>
        <v>16</v>
      </c>
      <c r="D196" s="66">
        <f>DATE([2]Dash!$F$3,VLOOKUP([2]Dash!$E$3,[2]Abb!$C$3:$D$14,2,FALSE),C196)</f>
        <v>45704</v>
      </c>
      <c r="E196" s="67">
        <f>E195+2/24</f>
        <v>15.250000000000039</v>
      </c>
      <c r="F196" s="68">
        <f t="shared" si="14"/>
        <v>45704.250000000437</v>
      </c>
      <c r="G196" s="46">
        <v>0</v>
      </c>
      <c r="H196" s="47">
        <v>38</v>
      </c>
      <c r="I196" s="48">
        <v>11.3</v>
      </c>
      <c r="J196" s="48">
        <v>250</v>
      </c>
      <c r="K196" s="49">
        <v>6.8</v>
      </c>
      <c r="L196" s="50">
        <v>37</v>
      </c>
      <c r="M196" s="48">
        <v>10.5</v>
      </c>
      <c r="N196" s="48">
        <v>250</v>
      </c>
      <c r="O196" s="51">
        <v>6.7</v>
      </c>
      <c r="P196" s="47">
        <v>36</v>
      </c>
      <c r="Q196" s="48">
        <v>10.5</v>
      </c>
      <c r="R196" s="49">
        <v>0</v>
      </c>
      <c r="S196" s="49">
        <v>6.3</v>
      </c>
      <c r="T196" s="51">
        <v>15.76</v>
      </c>
      <c r="U196" s="50">
        <v>34</v>
      </c>
      <c r="V196" s="48">
        <v>10.6</v>
      </c>
      <c r="W196" s="49">
        <v>0</v>
      </c>
      <c r="X196" s="49">
        <v>6.4</v>
      </c>
      <c r="Y196" s="51">
        <v>14.42</v>
      </c>
      <c r="Z196" s="47">
        <v>34</v>
      </c>
      <c r="AA196" s="48">
        <v>10.4</v>
      </c>
      <c r="AB196" s="49">
        <v>0</v>
      </c>
      <c r="AC196" s="49">
        <v>5.6</v>
      </c>
      <c r="AD196" s="51">
        <v>13.46</v>
      </c>
      <c r="AE196" s="50">
        <v>34</v>
      </c>
      <c r="AF196" s="48">
        <v>10.4</v>
      </c>
      <c r="AG196" s="49">
        <v>0</v>
      </c>
      <c r="AH196" s="49">
        <v>5.6</v>
      </c>
      <c r="AI196" s="51">
        <v>13.46</v>
      </c>
      <c r="AJ196" s="50">
        <v>34</v>
      </c>
      <c r="AK196" s="48">
        <v>10.5</v>
      </c>
      <c r="AL196" s="48">
        <v>0</v>
      </c>
      <c r="AM196" s="48">
        <v>5.0999999999999996</v>
      </c>
      <c r="AN196" s="51">
        <v>9.61</v>
      </c>
      <c r="AO196" s="47">
        <v>33</v>
      </c>
      <c r="AP196" s="48">
        <v>10.199999999999999</v>
      </c>
      <c r="AQ196" s="48">
        <v>110</v>
      </c>
      <c r="AR196" s="48">
        <v>5.0999999999999996</v>
      </c>
      <c r="AS196" s="51">
        <v>17.3</v>
      </c>
      <c r="AT196" s="50">
        <v>0</v>
      </c>
      <c r="AU196" s="51">
        <v>0</v>
      </c>
      <c r="AV196" s="50">
        <v>63.863117218017599</v>
      </c>
      <c r="AW196" s="51">
        <v>358.62847258249917</v>
      </c>
      <c r="AX196" s="8"/>
      <c r="AZ196" s="1">
        <v>90</v>
      </c>
    </row>
    <row r="197" spans="3:52" ht="15" customHeight="1" x14ac:dyDescent="0.25">
      <c r="C197" s="42"/>
      <c r="D197" s="43">
        <f>D196</f>
        <v>45704</v>
      </c>
      <c r="E197" s="44">
        <f>E196+2/24</f>
        <v>15.333333333333373</v>
      </c>
      <c r="F197" s="45">
        <f t="shared" si="14"/>
        <v>45704.333333333772</v>
      </c>
      <c r="G197" s="52">
        <v>0</v>
      </c>
      <c r="H197" s="53">
        <v>43</v>
      </c>
      <c r="I197" s="54">
        <v>11.2</v>
      </c>
      <c r="J197" s="54">
        <v>350</v>
      </c>
      <c r="K197" s="55">
        <v>5.9</v>
      </c>
      <c r="L197" s="56">
        <v>44</v>
      </c>
      <c r="M197" s="54">
        <v>10.3</v>
      </c>
      <c r="N197" s="54">
        <v>200</v>
      </c>
      <c r="O197" s="57">
        <v>6.9</v>
      </c>
      <c r="P197" s="53">
        <v>37</v>
      </c>
      <c r="Q197" s="54">
        <v>10.7</v>
      </c>
      <c r="R197" s="55">
        <v>0</v>
      </c>
      <c r="S197" s="55">
        <v>6.9</v>
      </c>
      <c r="T197" s="57">
        <v>15.3</v>
      </c>
      <c r="U197" s="56">
        <v>36</v>
      </c>
      <c r="V197" s="54">
        <v>10.6</v>
      </c>
      <c r="W197" s="55">
        <v>0</v>
      </c>
      <c r="X197" s="55">
        <v>6.5</v>
      </c>
      <c r="Y197" s="57">
        <v>14.4</v>
      </c>
      <c r="Z197" s="53">
        <v>37</v>
      </c>
      <c r="AA197" s="54">
        <v>10.6</v>
      </c>
      <c r="AB197" s="55">
        <v>0</v>
      </c>
      <c r="AC197" s="55">
        <v>6.5</v>
      </c>
      <c r="AD197" s="57">
        <v>12.5</v>
      </c>
      <c r="AE197" s="56">
        <v>35</v>
      </c>
      <c r="AF197" s="54">
        <v>10.5</v>
      </c>
      <c r="AG197" s="55">
        <v>0</v>
      </c>
      <c r="AH197" s="55">
        <v>6.5</v>
      </c>
      <c r="AI197" s="57">
        <v>13.4</v>
      </c>
      <c r="AJ197" s="56">
        <v>34</v>
      </c>
      <c r="AK197" s="54">
        <v>10.5</v>
      </c>
      <c r="AL197" s="54">
        <v>0</v>
      </c>
      <c r="AM197" s="54">
        <v>6.5</v>
      </c>
      <c r="AN197" s="57">
        <v>5.76</v>
      </c>
      <c r="AO197" s="53">
        <v>45</v>
      </c>
      <c r="AP197" s="54">
        <v>10.199999999999999</v>
      </c>
      <c r="AQ197" s="54">
        <v>130</v>
      </c>
      <c r="AR197" s="54">
        <v>5.7</v>
      </c>
      <c r="AS197" s="57">
        <v>19.2</v>
      </c>
      <c r="AT197" s="56">
        <v>0</v>
      </c>
      <c r="AU197" s="57">
        <v>0</v>
      </c>
      <c r="AV197" s="56">
        <v>64.078781127929702</v>
      </c>
      <c r="AW197" s="57">
        <v>356.87475840250653</v>
      </c>
      <c r="AX197" s="8"/>
      <c r="AZ197" s="1">
        <v>90</v>
      </c>
    </row>
    <row r="198" spans="3:52" ht="15" customHeight="1" x14ac:dyDescent="0.25">
      <c r="C198" s="42"/>
      <c r="D198" s="43">
        <f>D196</f>
        <v>45704</v>
      </c>
      <c r="E198" s="44">
        <f t="shared" ref="E198:E207" si="19">E197+2/24</f>
        <v>15.416666666666707</v>
      </c>
      <c r="F198" s="45">
        <f t="shared" si="14"/>
        <v>45704.416666667108</v>
      </c>
      <c r="G198" s="52">
        <v>45</v>
      </c>
      <c r="H198" s="53">
        <v>34</v>
      </c>
      <c r="I198" s="54">
        <v>11.8</v>
      </c>
      <c r="J198" s="54">
        <v>500</v>
      </c>
      <c r="K198" s="55">
        <v>5.4</v>
      </c>
      <c r="L198" s="56">
        <v>38</v>
      </c>
      <c r="M198" s="54">
        <v>10.7</v>
      </c>
      <c r="N198" s="54">
        <v>350</v>
      </c>
      <c r="O198" s="57">
        <v>6.3</v>
      </c>
      <c r="P198" s="53">
        <v>38</v>
      </c>
      <c r="Q198" s="54">
        <v>10.6</v>
      </c>
      <c r="R198" s="55">
        <v>0</v>
      </c>
      <c r="S198" s="55">
        <v>6.3</v>
      </c>
      <c r="T198" s="57">
        <v>15.7</v>
      </c>
      <c r="U198" s="56">
        <v>37</v>
      </c>
      <c r="V198" s="54">
        <v>10.4</v>
      </c>
      <c r="W198" s="55">
        <v>0</v>
      </c>
      <c r="X198" s="55">
        <v>6.2</v>
      </c>
      <c r="Y198" s="57">
        <v>14.6</v>
      </c>
      <c r="Z198" s="53">
        <v>38</v>
      </c>
      <c r="AA198" s="54">
        <v>10.5</v>
      </c>
      <c r="AB198" s="55">
        <v>0</v>
      </c>
      <c r="AC198" s="55">
        <v>6.1</v>
      </c>
      <c r="AD198" s="57">
        <v>12.6</v>
      </c>
      <c r="AE198" s="56">
        <v>35</v>
      </c>
      <c r="AF198" s="54">
        <v>10.4</v>
      </c>
      <c r="AG198" s="55">
        <v>0</v>
      </c>
      <c r="AH198" s="55">
        <v>6.5</v>
      </c>
      <c r="AI198" s="57">
        <v>13.8</v>
      </c>
      <c r="AJ198" s="56">
        <v>34</v>
      </c>
      <c r="AK198" s="54">
        <v>10.4</v>
      </c>
      <c r="AL198" s="54">
        <v>0</v>
      </c>
      <c r="AM198" s="54">
        <v>6.5</v>
      </c>
      <c r="AN198" s="57">
        <v>6.15</v>
      </c>
      <c r="AO198" s="53">
        <v>35</v>
      </c>
      <c r="AP198" s="54">
        <v>10.199999999999999</v>
      </c>
      <c r="AQ198" s="54">
        <v>130</v>
      </c>
      <c r="AR198" s="54">
        <v>5.5</v>
      </c>
      <c r="AS198" s="57">
        <v>18.8</v>
      </c>
      <c r="AT198" s="56">
        <v>33</v>
      </c>
      <c r="AU198" s="57">
        <v>90</v>
      </c>
      <c r="AV198" s="56">
        <v>64.29443359375</v>
      </c>
      <c r="AW198" s="57">
        <v>352.44827899932864</v>
      </c>
      <c r="AX198" s="8"/>
      <c r="AZ198" s="1">
        <v>90</v>
      </c>
    </row>
    <row r="199" spans="3:52" ht="15" customHeight="1" x14ac:dyDescent="0.25">
      <c r="C199" s="42"/>
      <c r="D199" s="43">
        <f>D196</f>
        <v>45704</v>
      </c>
      <c r="E199" s="44">
        <f t="shared" si="19"/>
        <v>15.500000000000041</v>
      </c>
      <c r="F199" s="45">
        <f t="shared" si="14"/>
        <v>45704.500000000444</v>
      </c>
      <c r="G199" s="52">
        <v>43</v>
      </c>
      <c r="H199" s="53">
        <v>42</v>
      </c>
      <c r="I199" s="54">
        <v>11.4</v>
      </c>
      <c r="J199" s="54">
        <v>300</v>
      </c>
      <c r="K199" s="55">
        <v>5.5</v>
      </c>
      <c r="L199" s="56">
        <v>40</v>
      </c>
      <c r="M199" s="54">
        <v>10.8</v>
      </c>
      <c r="N199" s="54">
        <v>300</v>
      </c>
      <c r="O199" s="57">
        <v>6.4</v>
      </c>
      <c r="P199" s="53">
        <v>38</v>
      </c>
      <c r="Q199" s="54">
        <v>10.4</v>
      </c>
      <c r="R199" s="55">
        <v>0</v>
      </c>
      <c r="S199" s="55">
        <v>6.5</v>
      </c>
      <c r="T199" s="57">
        <v>15.3</v>
      </c>
      <c r="U199" s="56">
        <v>37</v>
      </c>
      <c r="V199" s="54">
        <v>10.4</v>
      </c>
      <c r="W199" s="55">
        <v>0</v>
      </c>
      <c r="X199" s="55">
        <v>6.3</v>
      </c>
      <c r="Y199" s="57">
        <v>14.4</v>
      </c>
      <c r="Z199" s="53">
        <v>37</v>
      </c>
      <c r="AA199" s="54">
        <v>10.5</v>
      </c>
      <c r="AB199" s="55">
        <v>0</v>
      </c>
      <c r="AC199" s="55">
        <v>6.1</v>
      </c>
      <c r="AD199" s="57">
        <v>13.07</v>
      </c>
      <c r="AE199" s="56">
        <v>36</v>
      </c>
      <c r="AF199" s="54">
        <v>10.5</v>
      </c>
      <c r="AG199" s="55">
        <v>0</v>
      </c>
      <c r="AH199" s="55">
        <v>6.4</v>
      </c>
      <c r="AI199" s="57">
        <v>13.4</v>
      </c>
      <c r="AJ199" s="56">
        <v>37</v>
      </c>
      <c r="AK199" s="54">
        <v>10.5</v>
      </c>
      <c r="AL199" s="54">
        <v>0</v>
      </c>
      <c r="AM199" s="54">
        <v>6.4</v>
      </c>
      <c r="AN199" s="57">
        <v>23955</v>
      </c>
      <c r="AO199" s="53">
        <v>36</v>
      </c>
      <c r="AP199" s="54">
        <v>10.4</v>
      </c>
      <c r="AQ199" s="54">
        <v>110</v>
      </c>
      <c r="AR199" s="54">
        <v>5.5</v>
      </c>
      <c r="AS199" s="57">
        <v>17.3</v>
      </c>
      <c r="AT199" s="56">
        <v>32</v>
      </c>
      <c r="AU199" s="57">
        <v>80</v>
      </c>
      <c r="AV199" s="56">
        <v>64.156082153320298</v>
      </c>
      <c r="AW199" s="57">
        <v>355.12876167297361</v>
      </c>
      <c r="AX199" s="8"/>
      <c r="AZ199" s="1">
        <v>90</v>
      </c>
    </row>
    <row r="200" spans="3:52" ht="15" customHeight="1" x14ac:dyDescent="0.25">
      <c r="C200" s="42"/>
      <c r="D200" s="43">
        <f>D196</f>
        <v>45704</v>
      </c>
      <c r="E200" s="44">
        <f t="shared" si="19"/>
        <v>15.583333333333375</v>
      </c>
      <c r="F200" s="45">
        <f t="shared" si="14"/>
        <v>45704.58333333378</v>
      </c>
      <c r="G200" s="52">
        <v>43</v>
      </c>
      <c r="H200" s="53">
        <v>42</v>
      </c>
      <c r="I200" s="54">
        <v>11.3</v>
      </c>
      <c r="J200" s="54">
        <v>300</v>
      </c>
      <c r="K200" s="55">
        <v>5.4</v>
      </c>
      <c r="L200" s="56">
        <v>40</v>
      </c>
      <c r="M200" s="54">
        <v>10.8</v>
      </c>
      <c r="N200" s="54">
        <v>350</v>
      </c>
      <c r="O200" s="57">
        <v>6.5</v>
      </c>
      <c r="P200" s="53">
        <v>38</v>
      </c>
      <c r="Q200" s="54">
        <v>10.5</v>
      </c>
      <c r="R200" s="55">
        <v>0</v>
      </c>
      <c r="S200" s="55">
        <v>6.5</v>
      </c>
      <c r="T200" s="57">
        <v>16.5</v>
      </c>
      <c r="U200" s="56">
        <v>38</v>
      </c>
      <c r="V200" s="54">
        <v>10.4</v>
      </c>
      <c r="W200" s="55">
        <v>0</v>
      </c>
      <c r="X200" s="55">
        <v>6.2</v>
      </c>
      <c r="Y200" s="57">
        <v>14</v>
      </c>
      <c r="Z200" s="53">
        <v>35</v>
      </c>
      <c r="AA200" s="54">
        <v>10.5</v>
      </c>
      <c r="AB200" s="55">
        <v>0</v>
      </c>
      <c r="AC200" s="55">
        <v>6.3</v>
      </c>
      <c r="AD200" s="57">
        <v>13</v>
      </c>
      <c r="AE200" s="56">
        <v>35</v>
      </c>
      <c r="AF200" s="54">
        <v>10.5</v>
      </c>
      <c r="AG200" s="55">
        <v>0</v>
      </c>
      <c r="AH200" s="55">
        <v>6.2</v>
      </c>
      <c r="AI200" s="57">
        <v>13.6</v>
      </c>
      <c r="AJ200" s="56">
        <v>37</v>
      </c>
      <c r="AK200" s="54">
        <v>10.5</v>
      </c>
      <c r="AL200" s="54">
        <v>0</v>
      </c>
      <c r="AM200" s="54">
        <v>6.3</v>
      </c>
      <c r="AN200" s="57">
        <v>9.06</v>
      </c>
      <c r="AO200" s="53">
        <v>35</v>
      </c>
      <c r="AP200" s="54">
        <v>10.4</v>
      </c>
      <c r="AQ200" s="54">
        <v>120</v>
      </c>
      <c r="AR200" s="54">
        <v>5.2</v>
      </c>
      <c r="AS200" s="57">
        <v>17.100000000000001</v>
      </c>
      <c r="AT200" s="56">
        <v>28</v>
      </c>
      <c r="AU200" s="57">
        <v>80</v>
      </c>
      <c r="AV200" s="56">
        <v>63.582355499267599</v>
      </c>
      <c r="AW200" s="57">
        <v>358.48090298970538</v>
      </c>
      <c r="AX200" s="8"/>
      <c r="AZ200" s="1">
        <v>90</v>
      </c>
    </row>
    <row r="201" spans="3:52" ht="15" customHeight="1" x14ac:dyDescent="0.25">
      <c r="C201" s="42"/>
      <c r="D201" s="43">
        <f>D196</f>
        <v>45704</v>
      </c>
      <c r="E201" s="44">
        <f t="shared" si="19"/>
        <v>15.666666666666709</v>
      </c>
      <c r="F201" s="45">
        <f t="shared" si="14"/>
        <v>45704.666666667115</v>
      </c>
      <c r="G201" s="52">
        <v>39</v>
      </c>
      <c r="H201" s="53">
        <v>38</v>
      </c>
      <c r="I201" s="54">
        <v>11.4</v>
      </c>
      <c r="J201" s="54">
        <v>350</v>
      </c>
      <c r="K201" s="55">
        <v>5.7</v>
      </c>
      <c r="L201" s="56">
        <v>37</v>
      </c>
      <c r="M201" s="54">
        <v>10.9</v>
      </c>
      <c r="N201" s="54">
        <v>350</v>
      </c>
      <c r="O201" s="57">
        <v>6.1</v>
      </c>
      <c r="P201" s="53">
        <v>37</v>
      </c>
      <c r="Q201" s="54">
        <v>10.8</v>
      </c>
      <c r="R201" s="55">
        <v>0</v>
      </c>
      <c r="S201" s="55">
        <v>6.7</v>
      </c>
      <c r="T201" s="57">
        <v>16.7</v>
      </c>
      <c r="U201" s="56">
        <v>37</v>
      </c>
      <c r="V201" s="54">
        <v>10.6</v>
      </c>
      <c r="W201" s="55">
        <v>0</v>
      </c>
      <c r="X201" s="55">
        <v>6</v>
      </c>
      <c r="Y201" s="57">
        <v>14.6</v>
      </c>
      <c r="Z201" s="53">
        <v>36</v>
      </c>
      <c r="AA201" s="54">
        <v>10.6</v>
      </c>
      <c r="AB201" s="55">
        <v>0</v>
      </c>
      <c r="AC201" s="55">
        <v>6.5</v>
      </c>
      <c r="AD201" s="57">
        <v>13.4</v>
      </c>
      <c r="AE201" s="56">
        <v>38</v>
      </c>
      <c r="AF201" s="54">
        <v>10.5</v>
      </c>
      <c r="AG201" s="55">
        <v>0</v>
      </c>
      <c r="AH201" s="55">
        <v>5.9</v>
      </c>
      <c r="AI201" s="57">
        <v>13</v>
      </c>
      <c r="AJ201" s="56">
        <v>36</v>
      </c>
      <c r="AK201" s="54">
        <v>10.5</v>
      </c>
      <c r="AL201" s="54">
        <v>0</v>
      </c>
      <c r="AM201" s="54">
        <v>6.2</v>
      </c>
      <c r="AN201" s="57">
        <v>8.65</v>
      </c>
      <c r="AO201" s="53">
        <v>36</v>
      </c>
      <c r="AP201" s="54">
        <v>10.4</v>
      </c>
      <c r="AQ201" s="54">
        <v>100</v>
      </c>
      <c r="AR201" s="54">
        <v>5.3</v>
      </c>
      <c r="AS201" s="57">
        <v>16.899999999999999</v>
      </c>
      <c r="AT201" s="56">
        <v>25</v>
      </c>
      <c r="AU201" s="57">
        <v>70</v>
      </c>
      <c r="AV201" s="56">
        <v>63.1103515625</v>
      </c>
      <c r="AW201" s="57">
        <v>360.82236169179282</v>
      </c>
      <c r="AX201" s="8"/>
      <c r="AZ201" s="1">
        <v>90</v>
      </c>
    </row>
    <row r="202" spans="3:52" ht="15" customHeight="1" x14ac:dyDescent="0.25">
      <c r="C202" s="42"/>
      <c r="D202" s="43">
        <f>D196</f>
        <v>45704</v>
      </c>
      <c r="E202" s="44">
        <f t="shared" si="19"/>
        <v>15.750000000000043</v>
      </c>
      <c r="F202" s="45">
        <f t="shared" si="14"/>
        <v>45704.750000000451</v>
      </c>
      <c r="G202" s="52">
        <v>42</v>
      </c>
      <c r="H202" s="53">
        <v>39</v>
      </c>
      <c r="I202" s="54">
        <v>11</v>
      </c>
      <c r="J202" s="54">
        <v>350</v>
      </c>
      <c r="K202" s="55">
        <v>5.5</v>
      </c>
      <c r="L202" s="56">
        <v>40</v>
      </c>
      <c r="M202" s="54">
        <v>11.3</v>
      </c>
      <c r="N202" s="54">
        <v>250</v>
      </c>
      <c r="O202" s="57">
        <v>6.3</v>
      </c>
      <c r="P202" s="53">
        <v>38</v>
      </c>
      <c r="Q202" s="54">
        <v>10.9</v>
      </c>
      <c r="R202" s="55">
        <v>0</v>
      </c>
      <c r="S202" s="55">
        <v>6.4</v>
      </c>
      <c r="T202" s="57">
        <v>16.5</v>
      </c>
      <c r="U202" s="56">
        <v>37</v>
      </c>
      <c r="V202" s="54">
        <v>10.7</v>
      </c>
      <c r="W202" s="55">
        <v>0</v>
      </c>
      <c r="X202" s="55">
        <v>6.3</v>
      </c>
      <c r="Y202" s="57">
        <v>14.4</v>
      </c>
      <c r="Z202" s="53">
        <v>36</v>
      </c>
      <c r="AA202" s="54">
        <v>10.6</v>
      </c>
      <c r="AB202" s="55">
        <v>0</v>
      </c>
      <c r="AC202" s="55">
        <v>6.2</v>
      </c>
      <c r="AD202" s="57">
        <v>13</v>
      </c>
      <c r="AE202" s="56">
        <v>38</v>
      </c>
      <c r="AF202" s="54">
        <v>10.5</v>
      </c>
      <c r="AG202" s="55">
        <v>0</v>
      </c>
      <c r="AH202" s="55">
        <v>6.3</v>
      </c>
      <c r="AI202" s="57">
        <v>13.4</v>
      </c>
      <c r="AJ202" s="56">
        <v>36</v>
      </c>
      <c r="AK202" s="54">
        <v>10.5</v>
      </c>
      <c r="AL202" s="54">
        <v>0</v>
      </c>
      <c r="AM202" s="54">
        <v>6</v>
      </c>
      <c r="AN202" s="57">
        <v>8.65</v>
      </c>
      <c r="AO202" s="53">
        <v>37</v>
      </c>
      <c r="AP202" s="54">
        <v>10.4</v>
      </c>
      <c r="AQ202" s="54">
        <v>110</v>
      </c>
      <c r="AR202" s="54">
        <v>5.0999999999999996</v>
      </c>
      <c r="AS202" s="57">
        <v>17.100000000000001</v>
      </c>
      <c r="AT202" s="56">
        <v>28</v>
      </c>
      <c r="AU202" s="57">
        <v>80</v>
      </c>
      <c r="AV202" s="56">
        <v>63.51318359375</v>
      </c>
      <c r="AW202" s="57">
        <v>360.98861923217771</v>
      </c>
      <c r="AX202" s="8"/>
      <c r="AZ202" s="1">
        <v>90</v>
      </c>
    </row>
    <row r="203" spans="3:52" ht="15" customHeight="1" x14ac:dyDescent="0.25">
      <c r="C203" s="42"/>
      <c r="D203" s="43">
        <f>D196</f>
        <v>45704</v>
      </c>
      <c r="E203" s="44">
        <f t="shared" si="19"/>
        <v>15.833333333333377</v>
      </c>
      <c r="F203" s="45">
        <f t="shared" si="14"/>
        <v>45704.833333333787</v>
      </c>
      <c r="G203" s="52"/>
      <c r="H203" s="53"/>
      <c r="I203" s="54"/>
      <c r="J203" s="54"/>
      <c r="K203" s="55"/>
      <c r="L203" s="56"/>
      <c r="M203" s="54"/>
      <c r="N203" s="54"/>
      <c r="O203" s="57"/>
      <c r="P203" s="53"/>
      <c r="Q203" s="54"/>
      <c r="R203" s="55"/>
      <c r="S203" s="55"/>
      <c r="T203" s="57"/>
      <c r="U203" s="56"/>
      <c r="V203" s="54"/>
      <c r="W203" s="55"/>
      <c r="X203" s="55"/>
      <c r="Y203" s="57"/>
      <c r="Z203" s="53"/>
      <c r="AA203" s="54"/>
      <c r="AB203" s="55"/>
      <c r="AC203" s="55"/>
      <c r="AD203" s="57"/>
      <c r="AE203" s="56"/>
      <c r="AF203" s="54"/>
      <c r="AG203" s="55"/>
      <c r="AH203" s="55"/>
      <c r="AI203" s="57"/>
      <c r="AJ203" s="56"/>
      <c r="AK203" s="54"/>
      <c r="AL203" s="54"/>
      <c r="AM203" s="54"/>
      <c r="AN203" s="57"/>
      <c r="AO203" s="53"/>
      <c r="AP203" s="54"/>
      <c r="AQ203" s="54"/>
      <c r="AR203" s="54"/>
      <c r="AS203" s="57"/>
      <c r="AT203" s="56"/>
      <c r="AU203" s="57"/>
      <c r="AV203" s="56">
        <v>63.41552734375</v>
      </c>
      <c r="AW203" s="57">
        <v>361.04190750122069</v>
      </c>
      <c r="AX203" s="8"/>
      <c r="AZ203" s="1">
        <v>90</v>
      </c>
    </row>
    <row r="204" spans="3:52" ht="15" customHeight="1" x14ac:dyDescent="0.25">
      <c r="C204" s="42"/>
      <c r="D204" s="43">
        <f>D196</f>
        <v>45704</v>
      </c>
      <c r="E204" s="44">
        <f t="shared" si="19"/>
        <v>15.91666666666671</v>
      </c>
      <c r="F204" s="45">
        <f t="shared" si="14"/>
        <v>45704.916666667123</v>
      </c>
      <c r="G204" s="52"/>
      <c r="H204" s="53"/>
      <c r="I204" s="54"/>
      <c r="J204" s="54"/>
      <c r="K204" s="55"/>
      <c r="L204" s="56"/>
      <c r="M204" s="54"/>
      <c r="N204" s="54"/>
      <c r="O204" s="57"/>
      <c r="P204" s="53"/>
      <c r="Q204" s="54"/>
      <c r="R204" s="55"/>
      <c r="S204" s="55"/>
      <c r="T204" s="57"/>
      <c r="U204" s="56"/>
      <c r="V204" s="54"/>
      <c r="W204" s="55"/>
      <c r="X204" s="55"/>
      <c r="Y204" s="57"/>
      <c r="Z204" s="53"/>
      <c r="AA204" s="54"/>
      <c r="AB204" s="55"/>
      <c r="AC204" s="55"/>
      <c r="AD204" s="57"/>
      <c r="AE204" s="56"/>
      <c r="AF204" s="54"/>
      <c r="AG204" s="55"/>
      <c r="AH204" s="55"/>
      <c r="AI204" s="57"/>
      <c r="AJ204" s="56"/>
      <c r="AK204" s="54"/>
      <c r="AL204" s="54"/>
      <c r="AM204" s="54"/>
      <c r="AN204" s="57"/>
      <c r="AO204" s="53"/>
      <c r="AP204" s="54"/>
      <c r="AQ204" s="54"/>
      <c r="AR204" s="54"/>
      <c r="AS204" s="57"/>
      <c r="AT204" s="56"/>
      <c r="AU204" s="57"/>
      <c r="AV204" s="56">
        <v>62.772624969482401</v>
      </c>
      <c r="AW204" s="57">
        <v>361.69089997609456</v>
      </c>
      <c r="AX204" s="8"/>
      <c r="AZ204" s="1">
        <v>90</v>
      </c>
    </row>
    <row r="205" spans="3:52" ht="15" customHeight="1" x14ac:dyDescent="0.25">
      <c r="C205" s="42"/>
      <c r="D205" s="43">
        <f>D196</f>
        <v>45704</v>
      </c>
      <c r="E205" s="44">
        <f t="shared" si="19"/>
        <v>16.000000000000043</v>
      </c>
      <c r="F205" s="45">
        <f t="shared" si="14"/>
        <v>45705.000000000458</v>
      </c>
      <c r="G205" s="52"/>
      <c r="H205" s="53"/>
      <c r="I205" s="54"/>
      <c r="J205" s="54"/>
      <c r="K205" s="55"/>
      <c r="L205" s="56"/>
      <c r="M205" s="54"/>
      <c r="N205" s="54"/>
      <c r="O205" s="57"/>
      <c r="P205" s="53"/>
      <c r="Q205" s="54"/>
      <c r="R205" s="55"/>
      <c r="S205" s="55"/>
      <c r="T205" s="57"/>
      <c r="U205" s="56"/>
      <c r="V205" s="54"/>
      <c r="W205" s="55"/>
      <c r="X205" s="55"/>
      <c r="Y205" s="57"/>
      <c r="Z205" s="53"/>
      <c r="AA205" s="54"/>
      <c r="AB205" s="55"/>
      <c r="AC205" s="55"/>
      <c r="AD205" s="57"/>
      <c r="AE205" s="56"/>
      <c r="AF205" s="54"/>
      <c r="AG205" s="55"/>
      <c r="AH205" s="55"/>
      <c r="AI205" s="57"/>
      <c r="AJ205" s="56"/>
      <c r="AK205" s="54"/>
      <c r="AL205" s="54"/>
      <c r="AM205" s="54"/>
      <c r="AN205" s="57"/>
      <c r="AO205" s="53"/>
      <c r="AP205" s="54"/>
      <c r="AQ205" s="54"/>
      <c r="AR205" s="54"/>
      <c r="AS205" s="57"/>
      <c r="AT205" s="56"/>
      <c r="AU205" s="57"/>
      <c r="AV205" s="56">
        <v>63.163249969482401</v>
      </c>
      <c r="AW205" s="57">
        <v>360.71240876515708</v>
      </c>
      <c r="AX205" s="8"/>
      <c r="AZ205" s="1">
        <v>90</v>
      </c>
    </row>
    <row r="206" spans="3:52" ht="15" customHeight="1" x14ac:dyDescent="0.25">
      <c r="C206" s="42"/>
      <c r="D206" s="43">
        <f>D196</f>
        <v>45704</v>
      </c>
      <c r="E206" s="44">
        <f t="shared" si="19"/>
        <v>16.083333333333375</v>
      </c>
      <c r="F206" s="45">
        <f t="shared" si="14"/>
        <v>45705.083333333794</v>
      </c>
      <c r="G206" s="52"/>
      <c r="H206" s="53"/>
      <c r="I206" s="54"/>
      <c r="J206" s="54"/>
      <c r="K206" s="55"/>
      <c r="L206" s="56"/>
      <c r="M206" s="54"/>
      <c r="N206" s="54"/>
      <c r="O206" s="57"/>
      <c r="P206" s="53"/>
      <c r="Q206" s="54"/>
      <c r="R206" s="55"/>
      <c r="S206" s="55"/>
      <c r="T206" s="57"/>
      <c r="U206" s="56"/>
      <c r="V206" s="54"/>
      <c r="W206" s="55"/>
      <c r="X206" s="55"/>
      <c r="Y206" s="57"/>
      <c r="Z206" s="53"/>
      <c r="AA206" s="54"/>
      <c r="AB206" s="55"/>
      <c r="AC206" s="55"/>
      <c r="AD206" s="57"/>
      <c r="AE206" s="56"/>
      <c r="AF206" s="54"/>
      <c r="AG206" s="55"/>
      <c r="AH206" s="55"/>
      <c r="AI206" s="57"/>
      <c r="AJ206" s="56"/>
      <c r="AK206" s="54"/>
      <c r="AL206" s="54"/>
      <c r="AM206" s="54"/>
      <c r="AN206" s="57"/>
      <c r="AO206" s="53"/>
      <c r="AP206" s="54"/>
      <c r="AQ206" s="54"/>
      <c r="AR206" s="54"/>
      <c r="AS206" s="57"/>
      <c r="AT206" s="56"/>
      <c r="AU206" s="57"/>
      <c r="AV206" s="56">
        <v>63.370769500732401</v>
      </c>
      <c r="AW206" s="57">
        <v>360.76268374125164</v>
      </c>
      <c r="AX206" s="8"/>
      <c r="AZ206" s="1">
        <v>90</v>
      </c>
    </row>
    <row r="207" spans="3:52" ht="15" customHeight="1" x14ac:dyDescent="0.25">
      <c r="C207" s="42"/>
      <c r="D207" s="69">
        <f>D196</f>
        <v>45704</v>
      </c>
      <c r="E207" s="70">
        <f t="shared" si="19"/>
        <v>16.166666666666707</v>
      </c>
      <c r="F207" s="71">
        <f t="shared" si="14"/>
        <v>45705.16666666713</v>
      </c>
      <c r="G207" s="60"/>
      <c r="H207" s="61"/>
      <c r="I207" s="62"/>
      <c r="J207" s="62"/>
      <c r="K207" s="63"/>
      <c r="L207" s="64"/>
      <c r="M207" s="62"/>
      <c r="N207" s="62"/>
      <c r="O207" s="65"/>
      <c r="P207" s="61"/>
      <c r="Q207" s="62"/>
      <c r="R207" s="63"/>
      <c r="S207" s="63"/>
      <c r="T207" s="65"/>
      <c r="U207" s="64"/>
      <c r="V207" s="62"/>
      <c r="W207" s="63"/>
      <c r="X207" s="63"/>
      <c r="Y207" s="65"/>
      <c r="Z207" s="61"/>
      <c r="AA207" s="62"/>
      <c r="AB207" s="63"/>
      <c r="AC207" s="63"/>
      <c r="AD207" s="65"/>
      <c r="AE207" s="64"/>
      <c r="AF207" s="62"/>
      <c r="AG207" s="63"/>
      <c r="AH207" s="63"/>
      <c r="AI207" s="65"/>
      <c r="AJ207" s="64"/>
      <c r="AK207" s="62"/>
      <c r="AL207" s="62"/>
      <c r="AM207" s="62"/>
      <c r="AN207" s="65"/>
      <c r="AO207" s="61"/>
      <c r="AP207" s="62"/>
      <c r="AQ207" s="62"/>
      <c r="AR207" s="62"/>
      <c r="AS207" s="65"/>
      <c r="AT207" s="64"/>
      <c r="AU207" s="65"/>
      <c r="AV207" s="64">
        <v>63.216144561767599</v>
      </c>
      <c r="AW207" s="65">
        <v>359.60684312184651</v>
      </c>
      <c r="AX207" s="8"/>
      <c r="AZ207" s="1">
        <v>90</v>
      </c>
    </row>
    <row r="208" spans="3:52" ht="15" customHeight="1" x14ac:dyDescent="0.25">
      <c r="C208" s="42">
        <f>C196+1</f>
        <v>17</v>
      </c>
      <c r="D208" s="66">
        <f>DATE([2]Dash!$F$3,VLOOKUP([2]Dash!$E$3,[2]Abb!$C$3:$D$14,2,FALSE),C208)</f>
        <v>45705</v>
      </c>
      <c r="E208" s="67">
        <f>E207+2/24</f>
        <v>16.250000000000039</v>
      </c>
      <c r="F208" s="68">
        <f t="shared" si="14"/>
        <v>45705.250000000466</v>
      </c>
      <c r="G208" s="46"/>
      <c r="H208" s="47"/>
      <c r="I208" s="48"/>
      <c r="J208" s="48"/>
      <c r="K208" s="49"/>
      <c r="L208" s="50"/>
      <c r="M208" s="48"/>
      <c r="N208" s="48"/>
      <c r="O208" s="51"/>
      <c r="P208" s="47"/>
      <c r="Q208" s="48"/>
      <c r="R208" s="49"/>
      <c r="S208" s="49"/>
      <c r="T208" s="51"/>
      <c r="U208" s="50"/>
      <c r="V208" s="48"/>
      <c r="W208" s="49"/>
      <c r="X208" s="49"/>
      <c r="Y208" s="51"/>
      <c r="Z208" s="47"/>
      <c r="AA208" s="48"/>
      <c r="AB208" s="49"/>
      <c r="AC208" s="49"/>
      <c r="AD208" s="51"/>
      <c r="AE208" s="50"/>
      <c r="AF208" s="48"/>
      <c r="AG208" s="49"/>
      <c r="AH208" s="49"/>
      <c r="AI208" s="51"/>
      <c r="AJ208" s="50"/>
      <c r="AK208" s="48"/>
      <c r="AL208" s="48"/>
      <c r="AM208" s="48"/>
      <c r="AN208" s="51"/>
      <c r="AO208" s="47"/>
      <c r="AP208" s="48"/>
      <c r="AQ208" s="48"/>
      <c r="AR208" s="48"/>
      <c r="AS208" s="51"/>
      <c r="AT208" s="50"/>
      <c r="AU208" s="51"/>
      <c r="AV208" s="50">
        <v>0</v>
      </c>
      <c r="AW208" s="51">
        <v>257.77211074829103</v>
      </c>
      <c r="AX208" s="8"/>
      <c r="AZ208" s="1">
        <v>90</v>
      </c>
    </row>
    <row r="209" spans="3:52" ht="15" customHeight="1" x14ac:dyDescent="0.25">
      <c r="C209" s="42"/>
      <c r="D209" s="43">
        <f>D208</f>
        <v>45705</v>
      </c>
      <c r="E209" s="44">
        <f>E208+2/24</f>
        <v>16.333333333333371</v>
      </c>
      <c r="F209" s="45">
        <f t="shared" si="14"/>
        <v>45705.333333333801</v>
      </c>
      <c r="G209" s="52">
        <v>0</v>
      </c>
      <c r="H209" s="53">
        <v>30</v>
      </c>
      <c r="I209" s="54">
        <v>10.6</v>
      </c>
      <c r="J209" s="54">
        <v>200</v>
      </c>
      <c r="K209" s="55">
        <v>5.9</v>
      </c>
      <c r="L209" s="56">
        <v>37</v>
      </c>
      <c r="M209" s="54">
        <v>11</v>
      </c>
      <c r="N209" s="54">
        <v>200</v>
      </c>
      <c r="O209" s="57">
        <v>5.8</v>
      </c>
      <c r="P209" s="53">
        <v>40</v>
      </c>
      <c r="Q209" s="54">
        <v>10.8</v>
      </c>
      <c r="R209" s="55">
        <v>0</v>
      </c>
      <c r="S209" s="55">
        <v>6</v>
      </c>
      <c r="T209" s="57">
        <v>15.7</v>
      </c>
      <c r="U209" s="56">
        <v>37</v>
      </c>
      <c r="V209" s="54">
        <v>10.8</v>
      </c>
      <c r="W209" s="55">
        <v>0</v>
      </c>
      <c r="X209" s="55">
        <v>5.6</v>
      </c>
      <c r="Y209" s="57">
        <v>14.3</v>
      </c>
      <c r="Z209" s="53">
        <v>39</v>
      </c>
      <c r="AA209" s="54">
        <v>10.6</v>
      </c>
      <c r="AB209" s="55">
        <v>0</v>
      </c>
      <c r="AC209" s="55">
        <v>6</v>
      </c>
      <c r="AD209" s="57">
        <v>13.4</v>
      </c>
      <c r="AE209" s="56">
        <v>37</v>
      </c>
      <c r="AF209" s="54">
        <v>10.6</v>
      </c>
      <c r="AG209" s="55">
        <v>0</v>
      </c>
      <c r="AH209" s="55">
        <v>5</v>
      </c>
      <c r="AI209" s="57">
        <v>13.07</v>
      </c>
      <c r="AJ209" s="56">
        <v>39</v>
      </c>
      <c r="AK209" s="54">
        <v>10.5</v>
      </c>
      <c r="AL209" s="54">
        <v>0</v>
      </c>
      <c r="AM209" s="54">
        <v>6.1</v>
      </c>
      <c r="AN209" s="57">
        <v>15.1</v>
      </c>
      <c r="AO209" s="53">
        <v>36</v>
      </c>
      <c r="AP209" s="54">
        <v>10.4</v>
      </c>
      <c r="AQ209" s="54">
        <v>60</v>
      </c>
      <c r="AR209" s="54">
        <v>5</v>
      </c>
      <c r="AS209" s="57">
        <v>14.4</v>
      </c>
      <c r="AT209" s="56">
        <v>0</v>
      </c>
      <c r="AU209" s="57">
        <v>0</v>
      </c>
      <c r="AV209" s="56">
        <v>63.716632843017599</v>
      </c>
      <c r="AW209" s="57">
        <v>0</v>
      </c>
      <c r="AX209" s="8"/>
      <c r="AZ209" s="1">
        <v>90</v>
      </c>
    </row>
    <row r="210" spans="3:52" ht="15" customHeight="1" x14ac:dyDescent="0.25">
      <c r="C210" s="42"/>
      <c r="D210" s="43">
        <f>D208</f>
        <v>45705</v>
      </c>
      <c r="E210" s="44">
        <f t="shared" ref="E210:E219" si="20">E209+2/24</f>
        <v>16.416666666666703</v>
      </c>
      <c r="F210" s="45">
        <f t="shared" ref="F210:F273" si="21">F209+(E210-E209)</f>
        <v>45705.416666667137</v>
      </c>
      <c r="G210" s="52">
        <v>43</v>
      </c>
      <c r="H210" s="53">
        <v>37</v>
      </c>
      <c r="I210" s="54">
        <v>10.6</v>
      </c>
      <c r="J210" s="54">
        <v>150</v>
      </c>
      <c r="K210" s="55">
        <v>6.2</v>
      </c>
      <c r="L210" s="56">
        <v>37</v>
      </c>
      <c r="M210" s="54">
        <v>11</v>
      </c>
      <c r="N210" s="54">
        <v>250</v>
      </c>
      <c r="O210" s="57">
        <v>5.9</v>
      </c>
      <c r="P210" s="53">
        <v>39</v>
      </c>
      <c r="Q210" s="54">
        <v>10.8</v>
      </c>
      <c r="R210" s="55">
        <v>0</v>
      </c>
      <c r="S210" s="55">
        <v>6.1</v>
      </c>
      <c r="T210" s="57">
        <v>16.344000000000001</v>
      </c>
      <c r="U210" s="56">
        <v>39</v>
      </c>
      <c r="V210" s="54">
        <v>10.7</v>
      </c>
      <c r="W210" s="55">
        <v>0</v>
      </c>
      <c r="X210" s="55">
        <v>6</v>
      </c>
      <c r="Y210" s="57">
        <v>14.03</v>
      </c>
      <c r="Z210" s="53">
        <v>37</v>
      </c>
      <c r="AA210" s="54">
        <v>10.5</v>
      </c>
      <c r="AB210" s="55">
        <v>0</v>
      </c>
      <c r="AC210" s="55">
        <v>6.1</v>
      </c>
      <c r="AD210" s="57">
        <v>13.82</v>
      </c>
      <c r="AE210" s="56">
        <v>39</v>
      </c>
      <c r="AF210" s="54">
        <v>10.6</v>
      </c>
      <c r="AG210" s="55">
        <v>0</v>
      </c>
      <c r="AH210" s="55">
        <v>5.0999999999999996</v>
      </c>
      <c r="AI210" s="57">
        <v>12.8</v>
      </c>
      <c r="AJ210" s="56">
        <v>38</v>
      </c>
      <c r="AK210" s="54">
        <v>10.4</v>
      </c>
      <c r="AL210" s="54">
        <v>0</v>
      </c>
      <c r="AM210" s="54">
        <v>5.8</v>
      </c>
      <c r="AN210" s="57">
        <v>15.4</v>
      </c>
      <c r="AO210" s="53">
        <v>34</v>
      </c>
      <c r="AP210" s="54">
        <v>10.4</v>
      </c>
      <c r="AQ210" s="54">
        <v>90</v>
      </c>
      <c r="AR210" s="54">
        <v>4.8</v>
      </c>
      <c r="AS210" s="57">
        <v>14.8</v>
      </c>
      <c r="AT210" s="56">
        <v>27</v>
      </c>
      <c r="AU210" s="57">
        <v>60</v>
      </c>
      <c r="AV210" s="56">
        <v>63.826496124267599</v>
      </c>
      <c r="AW210" s="57">
        <v>0</v>
      </c>
      <c r="AX210" s="8"/>
      <c r="AZ210" s="1">
        <v>90</v>
      </c>
    </row>
    <row r="211" spans="3:52" ht="15" customHeight="1" x14ac:dyDescent="0.25">
      <c r="C211" s="42"/>
      <c r="D211" s="43">
        <f>D208</f>
        <v>45705</v>
      </c>
      <c r="E211" s="44">
        <f t="shared" si="20"/>
        <v>16.500000000000036</v>
      </c>
      <c r="F211" s="45">
        <f t="shared" si="21"/>
        <v>45705.500000000473</v>
      </c>
      <c r="G211" s="52">
        <v>42</v>
      </c>
      <c r="H211" s="53">
        <v>38</v>
      </c>
      <c r="I211" s="54">
        <v>10.7</v>
      </c>
      <c r="J211" s="54">
        <v>200</v>
      </c>
      <c r="K211" s="55">
        <v>6</v>
      </c>
      <c r="L211" s="56">
        <v>37</v>
      </c>
      <c r="M211" s="54">
        <v>10.9</v>
      </c>
      <c r="N211" s="54">
        <v>250</v>
      </c>
      <c r="O211" s="57">
        <v>6.1</v>
      </c>
      <c r="P211" s="53">
        <v>39</v>
      </c>
      <c r="Q211" s="54">
        <v>10.8</v>
      </c>
      <c r="R211" s="55">
        <v>0</v>
      </c>
      <c r="S211" s="55">
        <v>6.4</v>
      </c>
      <c r="T211" s="57">
        <v>13.4</v>
      </c>
      <c r="U211" s="56">
        <v>40</v>
      </c>
      <c r="V211" s="54">
        <v>10.8</v>
      </c>
      <c r="W211" s="55">
        <v>0</v>
      </c>
      <c r="X211" s="55">
        <v>6.2</v>
      </c>
      <c r="Y211" s="57">
        <v>15.3</v>
      </c>
      <c r="Z211" s="53">
        <v>38</v>
      </c>
      <c r="AA211" s="54">
        <v>10.5</v>
      </c>
      <c r="AB211" s="55">
        <v>0</v>
      </c>
      <c r="AC211" s="55">
        <v>6.4</v>
      </c>
      <c r="AD211" s="57">
        <v>13.4</v>
      </c>
      <c r="AE211" s="56">
        <v>38</v>
      </c>
      <c r="AF211" s="54">
        <v>10.6</v>
      </c>
      <c r="AG211" s="55">
        <v>0</v>
      </c>
      <c r="AH211" s="55">
        <v>5.4</v>
      </c>
      <c r="AI211" s="57">
        <v>12.5</v>
      </c>
      <c r="AJ211" s="56">
        <v>39</v>
      </c>
      <c r="AK211" s="54">
        <v>10.5</v>
      </c>
      <c r="AL211" s="54">
        <v>0</v>
      </c>
      <c r="AM211" s="54">
        <v>6.3</v>
      </c>
      <c r="AN211" s="57">
        <v>15.3</v>
      </c>
      <c r="AO211" s="53">
        <v>35</v>
      </c>
      <c r="AP211" s="54">
        <v>10.4</v>
      </c>
      <c r="AQ211" s="54">
        <v>100</v>
      </c>
      <c r="AR211" s="54">
        <v>4.9000000000000004</v>
      </c>
      <c r="AS211" s="57">
        <v>14.4</v>
      </c>
      <c r="AT211" s="56">
        <v>27</v>
      </c>
      <c r="AU211" s="57">
        <v>60</v>
      </c>
      <c r="AV211" s="56">
        <v>63.777667999267599</v>
      </c>
      <c r="AW211" s="57">
        <v>0</v>
      </c>
      <c r="AX211" s="8"/>
      <c r="AZ211" s="1">
        <v>90</v>
      </c>
    </row>
    <row r="212" spans="3:52" ht="15" customHeight="1" x14ac:dyDescent="0.25">
      <c r="C212" s="42"/>
      <c r="D212" s="43">
        <f>D208</f>
        <v>45705</v>
      </c>
      <c r="E212" s="44">
        <f t="shared" si="20"/>
        <v>16.583333333333368</v>
      </c>
      <c r="F212" s="45">
        <f t="shared" si="21"/>
        <v>45705.583333333809</v>
      </c>
      <c r="G212" s="52">
        <v>0</v>
      </c>
      <c r="H212" s="53">
        <v>38</v>
      </c>
      <c r="I212" s="54">
        <v>10.6</v>
      </c>
      <c r="J212" s="54">
        <v>200</v>
      </c>
      <c r="K212" s="55">
        <v>6.3</v>
      </c>
      <c r="L212" s="56">
        <v>38</v>
      </c>
      <c r="M212" s="54">
        <v>10.9</v>
      </c>
      <c r="N212" s="54">
        <v>250</v>
      </c>
      <c r="O212" s="57">
        <v>6</v>
      </c>
      <c r="P212" s="53">
        <v>38</v>
      </c>
      <c r="Q212" s="54">
        <v>10.7</v>
      </c>
      <c r="R212" s="55">
        <v>0</v>
      </c>
      <c r="S212" s="55">
        <v>6.2</v>
      </c>
      <c r="T212" s="57">
        <v>14.14</v>
      </c>
      <c r="U212" s="56">
        <v>39</v>
      </c>
      <c r="V212" s="54">
        <v>10.8</v>
      </c>
      <c r="W212" s="55">
        <v>0</v>
      </c>
      <c r="X212" s="55">
        <v>6.4</v>
      </c>
      <c r="Y212" s="57">
        <v>1.9</v>
      </c>
      <c r="Z212" s="53">
        <v>37</v>
      </c>
      <c r="AA212" s="54">
        <v>10.6</v>
      </c>
      <c r="AB212" s="55">
        <v>0</v>
      </c>
      <c r="AC212" s="55">
        <v>6.2</v>
      </c>
      <c r="AD212" s="57">
        <v>14.03</v>
      </c>
      <c r="AE212" s="56">
        <v>36</v>
      </c>
      <c r="AF212" s="54">
        <v>10.5</v>
      </c>
      <c r="AG212" s="55">
        <v>0</v>
      </c>
      <c r="AH212" s="55">
        <v>5.8</v>
      </c>
      <c r="AI212" s="57">
        <v>12.6</v>
      </c>
      <c r="AJ212" s="56">
        <v>38</v>
      </c>
      <c r="AK212" s="54">
        <v>10.5</v>
      </c>
      <c r="AL212" s="54">
        <v>0</v>
      </c>
      <c r="AM212" s="54">
        <v>6.5</v>
      </c>
      <c r="AN212" s="57">
        <v>15</v>
      </c>
      <c r="AO212" s="53">
        <v>35</v>
      </c>
      <c r="AP212" s="54">
        <v>10.4</v>
      </c>
      <c r="AQ212" s="54">
        <v>100</v>
      </c>
      <c r="AR212" s="54">
        <v>5.2</v>
      </c>
      <c r="AS212" s="57">
        <v>15.1</v>
      </c>
      <c r="AT212" s="56">
        <v>0</v>
      </c>
      <c r="AU212" s="57">
        <v>0</v>
      </c>
      <c r="AV212" s="56">
        <v>0</v>
      </c>
      <c r="AW212" s="57">
        <v>0</v>
      </c>
      <c r="AX212" s="8"/>
      <c r="AZ212" s="1">
        <v>90</v>
      </c>
    </row>
    <row r="213" spans="3:52" ht="15" customHeight="1" x14ac:dyDescent="0.25">
      <c r="C213" s="42"/>
      <c r="D213" s="43">
        <f>D208</f>
        <v>45705</v>
      </c>
      <c r="E213" s="44">
        <f t="shared" si="20"/>
        <v>16.6666666666667</v>
      </c>
      <c r="F213" s="45">
        <f t="shared" si="21"/>
        <v>45705.666666667144</v>
      </c>
      <c r="G213" s="52">
        <v>0</v>
      </c>
      <c r="H213" s="53">
        <v>38</v>
      </c>
      <c r="I213" s="54">
        <v>10.4</v>
      </c>
      <c r="J213" s="54">
        <v>200</v>
      </c>
      <c r="K213" s="55">
        <v>6.2</v>
      </c>
      <c r="L213" s="56">
        <v>40</v>
      </c>
      <c r="M213" s="54">
        <v>10.8</v>
      </c>
      <c r="N213" s="54">
        <v>250</v>
      </c>
      <c r="O213" s="57">
        <v>6</v>
      </c>
      <c r="P213" s="53">
        <v>37</v>
      </c>
      <c r="Q213" s="54">
        <v>10.7</v>
      </c>
      <c r="R213" s="55">
        <v>0</v>
      </c>
      <c r="S213" s="55">
        <v>5.9</v>
      </c>
      <c r="T213" s="57">
        <v>13.4</v>
      </c>
      <c r="U213" s="56">
        <v>38</v>
      </c>
      <c r="V213" s="54">
        <v>10.8</v>
      </c>
      <c r="W213" s="55">
        <v>0</v>
      </c>
      <c r="X213" s="55">
        <v>5.7</v>
      </c>
      <c r="Y213" s="57">
        <v>16.3</v>
      </c>
      <c r="Z213" s="53">
        <v>35</v>
      </c>
      <c r="AA213" s="54">
        <v>10.6</v>
      </c>
      <c r="AB213" s="55">
        <v>0</v>
      </c>
      <c r="AC213" s="55">
        <v>5.8</v>
      </c>
      <c r="AD213" s="57">
        <v>14.4</v>
      </c>
      <c r="AE213" s="56">
        <v>36</v>
      </c>
      <c r="AF213" s="54">
        <v>10.5</v>
      </c>
      <c r="AG213" s="55">
        <v>0</v>
      </c>
      <c r="AH213" s="55">
        <v>5.9</v>
      </c>
      <c r="AI213" s="57">
        <v>12.5</v>
      </c>
      <c r="AJ213" s="56">
        <v>37</v>
      </c>
      <c r="AK213" s="54">
        <v>10.4</v>
      </c>
      <c r="AL213" s="54">
        <v>0</v>
      </c>
      <c r="AM213" s="54">
        <v>5.6</v>
      </c>
      <c r="AN213" s="57">
        <v>14.4</v>
      </c>
      <c r="AO213" s="53">
        <v>35</v>
      </c>
      <c r="AP213" s="54">
        <v>10.4</v>
      </c>
      <c r="AQ213" s="54">
        <v>120</v>
      </c>
      <c r="AR213" s="54">
        <v>5.3</v>
      </c>
      <c r="AS213" s="57">
        <v>16.3</v>
      </c>
      <c r="AT213" s="56">
        <v>0</v>
      </c>
      <c r="AU213" s="57">
        <v>0</v>
      </c>
      <c r="AV213" s="56">
        <v>63.802082061767599</v>
      </c>
      <c r="AW213" s="57">
        <v>0</v>
      </c>
      <c r="AX213" s="8"/>
      <c r="AZ213" s="1">
        <v>90</v>
      </c>
    </row>
    <row r="214" spans="3:52" ht="15" customHeight="1" x14ac:dyDescent="0.25">
      <c r="C214" s="42"/>
      <c r="D214" s="43">
        <f>D208</f>
        <v>45705</v>
      </c>
      <c r="E214" s="44">
        <f t="shared" si="20"/>
        <v>16.750000000000032</v>
      </c>
      <c r="F214" s="45">
        <f t="shared" si="21"/>
        <v>45705.75000000048</v>
      </c>
      <c r="G214" s="52">
        <v>41</v>
      </c>
      <c r="H214" s="53">
        <v>39</v>
      </c>
      <c r="I214" s="54">
        <v>10.5</v>
      </c>
      <c r="J214" s="54">
        <v>200</v>
      </c>
      <c r="K214" s="55">
        <v>6.1</v>
      </c>
      <c r="L214" s="56">
        <v>38</v>
      </c>
      <c r="M214" s="54">
        <v>10.6</v>
      </c>
      <c r="N214" s="54">
        <v>250</v>
      </c>
      <c r="O214" s="57">
        <v>5.9</v>
      </c>
      <c r="P214" s="53">
        <v>36</v>
      </c>
      <c r="Q214" s="54">
        <v>10.199999999999999</v>
      </c>
      <c r="R214" s="55">
        <v>0</v>
      </c>
      <c r="S214" s="55">
        <v>5.8</v>
      </c>
      <c r="T214" s="57">
        <v>13.4</v>
      </c>
      <c r="U214" s="56">
        <v>37</v>
      </c>
      <c r="V214" s="54">
        <v>10.8</v>
      </c>
      <c r="W214" s="55">
        <v>0</v>
      </c>
      <c r="X214" s="55">
        <v>5.8</v>
      </c>
      <c r="Y214" s="57">
        <v>15.9</v>
      </c>
      <c r="Z214" s="53">
        <v>36</v>
      </c>
      <c r="AA214" s="54">
        <v>10.6</v>
      </c>
      <c r="AB214" s="55">
        <v>0</v>
      </c>
      <c r="AC214" s="55">
        <v>5.7</v>
      </c>
      <c r="AD214" s="57">
        <v>14.4</v>
      </c>
      <c r="AE214" s="56">
        <v>36</v>
      </c>
      <c r="AF214" s="54">
        <v>10.5</v>
      </c>
      <c r="AG214" s="55">
        <v>0</v>
      </c>
      <c r="AH214" s="55">
        <v>6</v>
      </c>
      <c r="AI214" s="57">
        <v>12.8</v>
      </c>
      <c r="AJ214" s="56">
        <v>37</v>
      </c>
      <c r="AK214" s="54">
        <v>10.4</v>
      </c>
      <c r="AL214" s="54">
        <v>0</v>
      </c>
      <c r="AM214" s="54">
        <v>5.8</v>
      </c>
      <c r="AN214" s="57">
        <v>15.1</v>
      </c>
      <c r="AO214" s="53">
        <v>35</v>
      </c>
      <c r="AP214" s="54">
        <v>10</v>
      </c>
      <c r="AQ214" s="54">
        <v>120</v>
      </c>
      <c r="AR214" s="54">
        <v>5.6</v>
      </c>
      <c r="AS214" s="57">
        <v>16.3</v>
      </c>
      <c r="AT214" s="56">
        <v>28</v>
      </c>
      <c r="AU214" s="57">
        <v>80</v>
      </c>
      <c r="AV214" s="56">
        <v>63.6962890625</v>
      </c>
      <c r="AW214" s="57">
        <v>0</v>
      </c>
      <c r="AX214" s="8"/>
      <c r="AZ214" s="1">
        <v>90</v>
      </c>
    </row>
    <row r="215" spans="3:52" ht="15" customHeight="1" x14ac:dyDescent="0.25">
      <c r="C215" s="42"/>
      <c r="D215" s="43">
        <f>D208</f>
        <v>45705</v>
      </c>
      <c r="E215" s="44">
        <f t="shared" si="20"/>
        <v>16.833333333333364</v>
      </c>
      <c r="F215" s="45">
        <f t="shared" si="21"/>
        <v>45705.833333333816</v>
      </c>
      <c r="G215" s="52">
        <v>39</v>
      </c>
      <c r="H215" s="53">
        <v>40</v>
      </c>
      <c r="I215" s="54">
        <v>10.1</v>
      </c>
      <c r="J215" s="54">
        <v>250</v>
      </c>
      <c r="K215" s="55">
        <v>2.4</v>
      </c>
      <c r="L215" s="56">
        <v>37</v>
      </c>
      <c r="M215" s="54">
        <v>10.8</v>
      </c>
      <c r="N215" s="54">
        <v>250</v>
      </c>
      <c r="O215" s="57">
        <v>6.8</v>
      </c>
      <c r="P215" s="53">
        <v>37</v>
      </c>
      <c r="Q215" s="54">
        <v>10.8</v>
      </c>
      <c r="R215" s="55">
        <v>0</v>
      </c>
      <c r="S215" s="55">
        <v>6.7</v>
      </c>
      <c r="T215" s="57">
        <v>13.46</v>
      </c>
      <c r="U215" s="56">
        <v>36</v>
      </c>
      <c r="V215" s="54">
        <v>10.8</v>
      </c>
      <c r="W215" s="55">
        <v>0</v>
      </c>
      <c r="X215" s="55">
        <v>6.5</v>
      </c>
      <c r="Y215" s="57">
        <v>16.34</v>
      </c>
      <c r="Z215" s="53">
        <v>36</v>
      </c>
      <c r="AA215" s="54">
        <v>10.8</v>
      </c>
      <c r="AB215" s="55">
        <v>0</v>
      </c>
      <c r="AC215" s="55">
        <v>6.7</v>
      </c>
      <c r="AD215" s="57">
        <v>14.42</v>
      </c>
      <c r="AE215" s="56">
        <v>34</v>
      </c>
      <c r="AF215" s="54">
        <v>10.7</v>
      </c>
      <c r="AG215" s="55">
        <v>0</v>
      </c>
      <c r="AH215" s="55">
        <v>5.9</v>
      </c>
      <c r="AI215" s="57">
        <v>12.5</v>
      </c>
      <c r="AJ215" s="56">
        <v>34</v>
      </c>
      <c r="AK215" s="54">
        <v>10.6</v>
      </c>
      <c r="AL215" s="54">
        <v>0</v>
      </c>
      <c r="AM215" s="54">
        <v>6.2</v>
      </c>
      <c r="AN215" s="57">
        <v>14.42</v>
      </c>
      <c r="AO215" s="53">
        <v>34</v>
      </c>
      <c r="AP215" s="54">
        <v>10.5</v>
      </c>
      <c r="AQ215" s="54">
        <v>110</v>
      </c>
      <c r="AR215" s="54">
        <v>5.4</v>
      </c>
      <c r="AS215" s="57">
        <v>14.42</v>
      </c>
      <c r="AT215" s="56">
        <v>30</v>
      </c>
      <c r="AU215" s="57">
        <v>80</v>
      </c>
      <c r="AV215" s="56">
        <v>63.798015594482401</v>
      </c>
      <c r="AW215" s="57">
        <v>0</v>
      </c>
      <c r="AX215" s="8"/>
      <c r="AZ215" s="1">
        <v>90</v>
      </c>
    </row>
    <row r="216" spans="3:52" ht="15" customHeight="1" x14ac:dyDescent="0.25">
      <c r="C216" s="42"/>
      <c r="D216" s="43">
        <f>D208</f>
        <v>45705</v>
      </c>
      <c r="E216" s="44">
        <f t="shared" si="20"/>
        <v>16.916666666666696</v>
      </c>
      <c r="F216" s="45">
        <f t="shared" si="21"/>
        <v>45705.916666667152</v>
      </c>
      <c r="G216" s="52">
        <v>37</v>
      </c>
      <c r="H216" s="53">
        <v>39</v>
      </c>
      <c r="I216" s="54">
        <v>9.9</v>
      </c>
      <c r="J216" s="54">
        <v>200</v>
      </c>
      <c r="K216" s="55">
        <v>6.9</v>
      </c>
      <c r="L216" s="56">
        <v>38</v>
      </c>
      <c r="M216" s="54">
        <v>10.8</v>
      </c>
      <c r="N216" s="54">
        <v>250</v>
      </c>
      <c r="O216" s="57">
        <v>6.7</v>
      </c>
      <c r="P216" s="53">
        <v>37</v>
      </c>
      <c r="Q216" s="54">
        <v>10.7</v>
      </c>
      <c r="R216" s="55">
        <v>0</v>
      </c>
      <c r="S216" s="55">
        <v>6.8</v>
      </c>
      <c r="T216" s="57">
        <v>14.42</v>
      </c>
      <c r="U216" s="56">
        <v>36</v>
      </c>
      <c r="V216" s="54">
        <v>10.7</v>
      </c>
      <c r="W216" s="55">
        <v>0</v>
      </c>
      <c r="X216" s="55">
        <v>6.6</v>
      </c>
      <c r="Y216" s="57">
        <v>16.34</v>
      </c>
      <c r="Z216" s="53">
        <v>36</v>
      </c>
      <c r="AA216" s="54">
        <v>10.8</v>
      </c>
      <c r="AB216" s="55">
        <v>0</v>
      </c>
      <c r="AC216" s="55">
        <v>6.5</v>
      </c>
      <c r="AD216" s="57">
        <v>14.8</v>
      </c>
      <c r="AE216" s="56">
        <v>34</v>
      </c>
      <c r="AF216" s="54">
        <v>10.7</v>
      </c>
      <c r="AG216" s="55">
        <v>0</v>
      </c>
      <c r="AH216" s="55">
        <v>5.9</v>
      </c>
      <c r="AI216" s="57">
        <v>13.07</v>
      </c>
      <c r="AJ216" s="56">
        <v>34</v>
      </c>
      <c r="AK216" s="54">
        <v>10.6</v>
      </c>
      <c r="AL216" s="54">
        <v>0</v>
      </c>
      <c r="AM216" s="54">
        <v>6.3</v>
      </c>
      <c r="AN216" s="57">
        <v>14.8</v>
      </c>
      <c r="AO216" s="53">
        <v>34</v>
      </c>
      <c r="AP216" s="54">
        <v>10.5</v>
      </c>
      <c r="AQ216" s="54">
        <v>110</v>
      </c>
      <c r="AR216" s="54">
        <v>5.6</v>
      </c>
      <c r="AS216" s="57">
        <v>14.23</v>
      </c>
      <c r="AT216" s="56">
        <v>30</v>
      </c>
      <c r="AU216" s="57">
        <v>100</v>
      </c>
      <c r="AV216" s="56">
        <v>63.724773406982401</v>
      </c>
      <c r="AW216" s="57">
        <v>0</v>
      </c>
      <c r="AX216" s="8"/>
      <c r="AZ216" s="1">
        <v>90</v>
      </c>
    </row>
    <row r="217" spans="3:52" ht="15" customHeight="1" x14ac:dyDescent="0.25">
      <c r="C217" s="42"/>
      <c r="D217" s="43">
        <f>D208</f>
        <v>45705</v>
      </c>
      <c r="E217" s="44">
        <f t="shared" si="20"/>
        <v>17.000000000000028</v>
      </c>
      <c r="F217" s="45">
        <f t="shared" si="21"/>
        <v>45706.000000000487</v>
      </c>
      <c r="G217" s="52">
        <v>39</v>
      </c>
      <c r="H217" s="53">
        <v>40</v>
      </c>
      <c r="I217" s="54">
        <v>9.8000000000000007</v>
      </c>
      <c r="J217" s="54">
        <v>200</v>
      </c>
      <c r="K217" s="55">
        <v>6.8</v>
      </c>
      <c r="L217" s="56">
        <v>38</v>
      </c>
      <c r="M217" s="54">
        <v>10.5</v>
      </c>
      <c r="N217" s="54">
        <v>250</v>
      </c>
      <c r="O217" s="57">
        <v>6.4</v>
      </c>
      <c r="P217" s="53">
        <v>36</v>
      </c>
      <c r="Q217" s="54">
        <v>10.8</v>
      </c>
      <c r="R217" s="55">
        <v>0</v>
      </c>
      <c r="S217" s="55">
        <v>6.4</v>
      </c>
      <c r="T217" s="57">
        <v>14.8</v>
      </c>
      <c r="U217" s="56">
        <v>37</v>
      </c>
      <c r="V217" s="54">
        <v>10.7</v>
      </c>
      <c r="W217" s="55">
        <v>0</v>
      </c>
      <c r="X217" s="55">
        <v>6.2</v>
      </c>
      <c r="Y217" s="57">
        <v>15.38</v>
      </c>
      <c r="Z217" s="53">
        <v>37</v>
      </c>
      <c r="AA217" s="54">
        <v>10.7</v>
      </c>
      <c r="AB217" s="55">
        <v>0</v>
      </c>
      <c r="AC217" s="55">
        <v>6.4</v>
      </c>
      <c r="AD217" s="57">
        <v>14.42</v>
      </c>
      <c r="AE217" s="56">
        <v>35</v>
      </c>
      <c r="AF217" s="54">
        <v>10.7</v>
      </c>
      <c r="AG217" s="55">
        <v>0</v>
      </c>
      <c r="AH217" s="55">
        <v>5.8</v>
      </c>
      <c r="AI217" s="57">
        <v>16.38</v>
      </c>
      <c r="AJ217" s="56">
        <v>36</v>
      </c>
      <c r="AK217" s="54">
        <v>10.7</v>
      </c>
      <c r="AL217" s="54">
        <v>0</v>
      </c>
      <c r="AM217" s="54">
        <v>5.9</v>
      </c>
      <c r="AN217" s="57">
        <v>10.57</v>
      </c>
      <c r="AO217" s="53">
        <v>34</v>
      </c>
      <c r="AP217" s="54">
        <v>10.6</v>
      </c>
      <c r="AQ217" s="54">
        <v>140</v>
      </c>
      <c r="AR217" s="54">
        <v>5.4</v>
      </c>
      <c r="AS217" s="57">
        <v>14.42</v>
      </c>
      <c r="AT217" s="56">
        <v>29</v>
      </c>
      <c r="AU217" s="57">
        <v>100</v>
      </c>
      <c r="AV217" s="56">
        <v>63.802082061767599</v>
      </c>
      <c r="AW217" s="57">
        <v>0</v>
      </c>
      <c r="AX217" s="8"/>
      <c r="AZ217" s="1">
        <v>90</v>
      </c>
    </row>
    <row r="218" spans="3:52" ht="15" customHeight="1" x14ac:dyDescent="0.25">
      <c r="C218" s="42"/>
      <c r="D218" s="43">
        <f>D208</f>
        <v>45705</v>
      </c>
      <c r="E218" s="44">
        <f t="shared" si="20"/>
        <v>17.083333333333361</v>
      </c>
      <c r="F218" s="45">
        <f t="shared" si="21"/>
        <v>45706.083333333823</v>
      </c>
      <c r="G218" s="52">
        <v>39</v>
      </c>
      <c r="H218" s="53">
        <v>40</v>
      </c>
      <c r="I218" s="54">
        <v>10.8</v>
      </c>
      <c r="J218" s="54">
        <v>200</v>
      </c>
      <c r="K218" s="55">
        <v>6.8</v>
      </c>
      <c r="L218" s="56">
        <v>39</v>
      </c>
      <c r="M218" s="54">
        <v>10.7</v>
      </c>
      <c r="N218" s="54">
        <v>250</v>
      </c>
      <c r="O218" s="57">
        <v>6.5</v>
      </c>
      <c r="P218" s="53">
        <v>37</v>
      </c>
      <c r="Q218" s="54">
        <v>10.8</v>
      </c>
      <c r="R218" s="55">
        <v>0</v>
      </c>
      <c r="S218" s="55">
        <v>6.5</v>
      </c>
      <c r="T218" s="57">
        <v>18.84</v>
      </c>
      <c r="U218" s="56">
        <v>37</v>
      </c>
      <c r="V218" s="54">
        <v>10.7</v>
      </c>
      <c r="W218" s="55">
        <v>0</v>
      </c>
      <c r="X218" s="55">
        <v>6.5</v>
      </c>
      <c r="Y218" s="57">
        <v>11.53</v>
      </c>
      <c r="Z218" s="53">
        <v>37</v>
      </c>
      <c r="AA218" s="54">
        <v>10.7</v>
      </c>
      <c r="AB218" s="55">
        <v>0</v>
      </c>
      <c r="AC218" s="55">
        <v>6.7</v>
      </c>
      <c r="AD218" s="57">
        <v>14.42</v>
      </c>
      <c r="AE218" s="56">
        <v>35</v>
      </c>
      <c r="AF218" s="54">
        <v>10.7</v>
      </c>
      <c r="AG218" s="55">
        <v>0</v>
      </c>
      <c r="AH218" s="55">
        <v>6.1</v>
      </c>
      <c r="AI218" s="57">
        <v>15.96</v>
      </c>
      <c r="AJ218" s="56">
        <v>36</v>
      </c>
      <c r="AK218" s="54">
        <v>10.7</v>
      </c>
      <c r="AL218" s="54">
        <v>0</v>
      </c>
      <c r="AM218" s="54">
        <v>6.1</v>
      </c>
      <c r="AN218" s="57">
        <v>12.5</v>
      </c>
      <c r="AO218" s="53">
        <v>34</v>
      </c>
      <c r="AP218" s="54">
        <v>10.6</v>
      </c>
      <c r="AQ218" s="54">
        <v>140</v>
      </c>
      <c r="AR218" s="54">
        <v>5.2</v>
      </c>
      <c r="AS218" s="57">
        <v>12.5</v>
      </c>
      <c r="AT218" s="56">
        <v>29</v>
      </c>
      <c r="AU218" s="57">
        <v>100</v>
      </c>
      <c r="AV218" s="56">
        <v>63.6962890625</v>
      </c>
      <c r="AW218" s="57">
        <v>0</v>
      </c>
      <c r="AX218" s="8"/>
      <c r="AZ218" s="1">
        <v>90</v>
      </c>
    </row>
    <row r="219" spans="3:52" ht="15" customHeight="1" x14ac:dyDescent="0.25">
      <c r="C219" s="42"/>
      <c r="D219" s="69">
        <f>D208</f>
        <v>45705</v>
      </c>
      <c r="E219" s="70">
        <f t="shared" si="20"/>
        <v>17.166666666666693</v>
      </c>
      <c r="F219" s="71">
        <f t="shared" si="21"/>
        <v>45706.166666667159</v>
      </c>
      <c r="G219" s="60">
        <v>38</v>
      </c>
      <c r="H219" s="61">
        <v>40</v>
      </c>
      <c r="I219" s="62">
        <v>10</v>
      </c>
      <c r="J219" s="62">
        <v>200</v>
      </c>
      <c r="K219" s="63">
        <v>7.2</v>
      </c>
      <c r="L219" s="64">
        <v>39</v>
      </c>
      <c r="M219" s="62">
        <v>10.3</v>
      </c>
      <c r="N219" s="62">
        <v>250</v>
      </c>
      <c r="O219" s="65">
        <v>6.8</v>
      </c>
      <c r="P219" s="61">
        <v>37</v>
      </c>
      <c r="Q219" s="62">
        <v>10.7</v>
      </c>
      <c r="R219" s="63">
        <v>0</v>
      </c>
      <c r="S219" s="63">
        <v>6.5</v>
      </c>
      <c r="T219" s="65">
        <v>18.260000000000002</v>
      </c>
      <c r="U219" s="64">
        <v>37</v>
      </c>
      <c r="V219" s="62">
        <v>10.6</v>
      </c>
      <c r="W219" s="63">
        <v>0</v>
      </c>
      <c r="X219" s="63">
        <v>6.4</v>
      </c>
      <c r="Y219" s="65">
        <v>13.46</v>
      </c>
      <c r="Z219" s="61">
        <v>37</v>
      </c>
      <c r="AA219" s="62">
        <v>10.6</v>
      </c>
      <c r="AB219" s="63">
        <v>0</v>
      </c>
      <c r="AC219" s="63">
        <v>6.5</v>
      </c>
      <c r="AD219" s="65">
        <v>15.38</v>
      </c>
      <c r="AE219" s="64">
        <v>36</v>
      </c>
      <c r="AF219" s="62">
        <v>10.6</v>
      </c>
      <c r="AG219" s="63">
        <v>0</v>
      </c>
      <c r="AH219" s="63">
        <v>6.4</v>
      </c>
      <c r="AI219" s="65">
        <v>16.34</v>
      </c>
      <c r="AJ219" s="64">
        <v>36</v>
      </c>
      <c r="AK219" s="62">
        <v>10.6</v>
      </c>
      <c r="AL219" s="62">
        <v>0</v>
      </c>
      <c r="AM219" s="62">
        <v>6.5</v>
      </c>
      <c r="AN219" s="65">
        <v>15.38</v>
      </c>
      <c r="AO219" s="61">
        <v>35</v>
      </c>
      <c r="AP219" s="62">
        <v>10.6</v>
      </c>
      <c r="AQ219" s="62">
        <v>160</v>
      </c>
      <c r="AR219" s="62">
        <v>5.6</v>
      </c>
      <c r="AS219" s="65">
        <v>9.61</v>
      </c>
      <c r="AT219" s="64">
        <v>30</v>
      </c>
      <c r="AU219" s="65">
        <v>100</v>
      </c>
      <c r="AV219" s="64">
        <v>63.688152313232401</v>
      </c>
      <c r="AW219" s="65">
        <v>0</v>
      </c>
      <c r="AX219" s="8"/>
      <c r="AZ219" s="1">
        <v>90</v>
      </c>
    </row>
    <row r="220" spans="3:52" ht="15" customHeight="1" x14ac:dyDescent="0.25">
      <c r="C220" s="42">
        <f>C208+1</f>
        <v>18</v>
      </c>
      <c r="D220" s="66">
        <f>DATE([2]Dash!$F$3,VLOOKUP([2]Dash!$E$3,[2]Abb!$C$3:$D$14,2,FALSE),C220)</f>
        <v>45706</v>
      </c>
      <c r="E220" s="67">
        <f>E219+2/24</f>
        <v>17.250000000000025</v>
      </c>
      <c r="F220" s="68">
        <f t="shared" si="21"/>
        <v>45706.250000000495</v>
      </c>
      <c r="G220" s="46">
        <v>0</v>
      </c>
      <c r="H220" s="47">
        <v>40</v>
      </c>
      <c r="I220" s="48">
        <v>10</v>
      </c>
      <c r="J220" s="48">
        <v>200</v>
      </c>
      <c r="K220" s="49">
        <v>6.9</v>
      </c>
      <c r="L220" s="50">
        <v>39</v>
      </c>
      <c r="M220" s="48">
        <v>10.3</v>
      </c>
      <c r="N220" s="48">
        <v>250</v>
      </c>
      <c r="O220" s="51">
        <v>6.7</v>
      </c>
      <c r="P220" s="47">
        <v>37</v>
      </c>
      <c r="Q220" s="48">
        <v>10.8</v>
      </c>
      <c r="R220" s="49">
        <v>0</v>
      </c>
      <c r="S220" s="49">
        <v>6.3</v>
      </c>
      <c r="T220" s="51">
        <v>17.690000000000001</v>
      </c>
      <c r="U220" s="50">
        <v>37</v>
      </c>
      <c r="V220" s="48">
        <v>10.6</v>
      </c>
      <c r="W220" s="49">
        <v>0</v>
      </c>
      <c r="X220" s="49">
        <v>6.3</v>
      </c>
      <c r="Y220" s="51">
        <v>14.8</v>
      </c>
      <c r="Z220" s="47">
        <v>36</v>
      </c>
      <c r="AA220" s="48">
        <v>10.6</v>
      </c>
      <c r="AB220" s="49">
        <v>0</v>
      </c>
      <c r="AC220" s="49">
        <v>6.5</v>
      </c>
      <c r="AD220" s="51">
        <v>14.42</v>
      </c>
      <c r="AE220" s="50">
        <v>36</v>
      </c>
      <c r="AF220" s="48">
        <v>10.6</v>
      </c>
      <c r="AG220" s="49">
        <v>0</v>
      </c>
      <c r="AH220" s="49">
        <v>6.3</v>
      </c>
      <c r="AI220" s="51">
        <v>13.46</v>
      </c>
      <c r="AJ220" s="50">
        <v>35</v>
      </c>
      <c r="AK220" s="48">
        <v>10.5</v>
      </c>
      <c r="AL220" s="48">
        <v>0</v>
      </c>
      <c r="AM220" s="48">
        <v>6.3</v>
      </c>
      <c r="AN220" s="51">
        <v>13.46</v>
      </c>
      <c r="AO220" s="47">
        <v>36</v>
      </c>
      <c r="AP220" s="48">
        <v>10.5</v>
      </c>
      <c r="AQ220" s="48">
        <v>160</v>
      </c>
      <c r="AR220" s="48">
        <v>5.6</v>
      </c>
      <c r="AS220" s="51">
        <v>11.5</v>
      </c>
      <c r="AT220" s="50">
        <v>30</v>
      </c>
      <c r="AU220" s="51">
        <v>110</v>
      </c>
      <c r="AV220" s="50">
        <v>63.724773406982401</v>
      </c>
      <c r="AW220" s="51">
        <v>0</v>
      </c>
      <c r="AX220" s="8"/>
      <c r="AZ220" s="1">
        <v>90</v>
      </c>
    </row>
    <row r="221" spans="3:52" ht="15" customHeight="1" x14ac:dyDescent="0.25">
      <c r="C221" s="42"/>
      <c r="D221" s="43">
        <f>D220</f>
        <v>45706</v>
      </c>
      <c r="E221" s="44">
        <f>E220+2/24</f>
        <v>17.333333333333357</v>
      </c>
      <c r="F221" s="45">
        <f t="shared" si="21"/>
        <v>45706.333333333831</v>
      </c>
      <c r="G221" s="52">
        <v>43</v>
      </c>
      <c r="H221" s="53">
        <v>39</v>
      </c>
      <c r="I221" s="54">
        <v>9.5</v>
      </c>
      <c r="J221" s="54">
        <v>200</v>
      </c>
      <c r="K221" s="55">
        <v>5.6</v>
      </c>
      <c r="L221" s="56">
        <v>40</v>
      </c>
      <c r="M221" s="54">
        <v>10</v>
      </c>
      <c r="N221" s="54">
        <v>200</v>
      </c>
      <c r="O221" s="57">
        <v>5.4</v>
      </c>
      <c r="P221" s="53">
        <v>39</v>
      </c>
      <c r="Q221" s="54">
        <v>10.3</v>
      </c>
      <c r="R221" s="55">
        <v>0</v>
      </c>
      <c r="S221" s="55">
        <v>5.8</v>
      </c>
      <c r="T221" s="57">
        <v>17.88</v>
      </c>
      <c r="U221" s="56">
        <v>39</v>
      </c>
      <c r="V221" s="54">
        <v>10.5</v>
      </c>
      <c r="W221" s="55">
        <v>0</v>
      </c>
      <c r="X221" s="55">
        <v>6.2</v>
      </c>
      <c r="Y221" s="57">
        <v>15</v>
      </c>
      <c r="Z221" s="53">
        <v>38</v>
      </c>
      <c r="AA221" s="54">
        <v>10.7</v>
      </c>
      <c r="AB221" s="55">
        <v>0</v>
      </c>
      <c r="AC221" s="55">
        <v>6.2</v>
      </c>
      <c r="AD221" s="57">
        <v>14.42</v>
      </c>
      <c r="AE221" s="56">
        <v>37</v>
      </c>
      <c r="AF221" s="54">
        <v>10.6</v>
      </c>
      <c r="AG221" s="55">
        <v>0</v>
      </c>
      <c r="AH221" s="55">
        <v>6.4</v>
      </c>
      <c r="AI221" s="57">
        <v>14.42</v>
      </c>
      <c r="AJ221" s="56">
        <v>38</v>
      </c>
      <c r="AK221" s="54">
        <v>10.7</v>
      </c>
      <c r="AL221" s="54">
        <v>0</v>
      </c>
      <c r="AM221" s="54">
        <v>5.6</v>
      </c>
      <c r="AN221" s="57">
        <v>12.6</v>
      </c>
      <c r="AO221" s="53">
        <v>35</v>
      </c>
      <c r="AP221" s="54">
        <v>10.8</v>
      </c>
      <c r="AQ221" s="54">
        <v>200</v>
      </c>
      <c r="AR221" s="54">
        <v>5.9</v>
      </c>
      <c r="AS221" s="57">
        <v>10.57</v>
      </c>
      <c r="AT221" s="56">
        <v>28</v>
      </c>
      <c r="AU221" s="57">
        <v>120</v>
      </c>
      <c r="AV221" s="56">
        <v>63.7451171875</v>
      </c>
      <c r="AW221" s="57">
        <v>0</v>
      </c>
      <c r="AX221" s="8"/>
      <c r="AZ221" s="1">
        <v>90</v>
      </c>
    </row>
    <row r="222" spans="3:52" ht="15" customHeight="1" x14ac:dyDescent="0.25">
      <c r="C222" s="42"/>
      <c r="D222" s="43">
        <f>D220</f>
        <v>45706</v>
      </c>
      <c r="E222" s="44">
        <f t="shared" ref="E222:E231" si="22">E221+2/24</f>
        <v>17.416666666666689</v>
      </c>
      <c r="F222" s="45">
        <f t="shared" si="21"/>
        <v>45706.416666667166</v>
      </c>
      <c r="G222" s="52">
        <v>41</v>
      </c>
      <c r="H222" s="53">
        <v>42</v>
      </c>
      <c r="I222" s="54">
        <v>9.8000000000000007</v>
      </c>
      <c r="J222" s="54">
        <v>150</v>
      </c>
      <c r="K222" s="55">
        <v>5.4</v>
      </c>
      <c r="L222" s="56">
        <v>42</v>
      </c>
      <c r="M222" s="54">
        <v>9.9</v>
      </c>
      <c r="N222" s="54">
        <v>150</v>
      </c>
      <c r="O222" s="57">
        <v>6.3</v>
      </c>
      <c r="P222" s="53">
        <v>40</v>
      </c>
      <c r="Q222" s="54">
        <v>10.199999999999999</v>
      </c>
      <c r="R222" s="55">
        <v>0</v>
      </c>
      <c r="S222" s="55">
        <v>6.1</v>
      </c>
      <c r="T222" s="57">
        <v>17.690000000000001</v>
      </c>
      <c r="U222" s="56">
        <v>38</v>
      </c>
      <c r="V222" s="54">
        <v>10.3</v>
      </c>
      <c r="W222" s="55">
        <v>0</v>
      </c>
      <c r="X222" s="55">
        <v>6.4</v>
      </c>
      <c r="Y222" s="57">
        <v>14.42</v>
      </c>
      <c r="Z222" s="53">
        <v>40</v>
      </c>
      <c r="AA222" s="54">
        <v>10.5</v>
      </c>
      <c r="AB222" s="55">
        <v>0</v>
      </c>
      <c r="AC222" s="55">
        <v>5.7</v>
      </c>
      <c r="AD222" s="57">
        <v>14.61</v>
      </c>
      <c r="AE222" s="56">
        <v>38</v>
      </c>
      <c r="AF222" s="54">
        <v>10.5</v>
      </c>
      <c r="AG222" s="55">
        <v>0</v>
      </c>
      <c r="AH222" s="55">
        <v>6</v>
      </c>
      <c r="AI222" s="57">
        <v>14.3</v>
      </c>
      <c r="AJ222" s="56">
        <v>38</v>
      </c>
      <c r="AK222" s="54">
        <v>10.5</v>
      </c>
      <c r="AL222" s="54">
        <v>0</v>
      </c>
      <c r="AM222" s="54">
        <v>5.3</v>
      </c>
      <c r="AN222" s="57">
        <v>12.3</v>
      </c>
      <c r="AO222" s="53">
        <v>34</v>
      </c>
      <c r="AP222" s="54">
        <v>10.6</v>
      </c>
      <c r="AQ222" s="54">
        <v>170</v>
      </c>
      <c r="AR222" s="54">
        <v>5.7</v>
      </c>
      <c r="AS222" s="57">
        <v>10.38</v>
      </c>
      <c r="AT222" s="56">
        <v>26</v>
      </c>
      <c r="AU222" s="57">
        <v>110</v>
      </c>
      <c r="AV222" s="56">
        <v>63.944499969482401</v>
      </c>
      <c r="AW222" s="57">
        <v>0</v>
      </c>
      <c r="AX222" s="8"/>
      <c r="AZ222" s="1">
        <v>90</v>
      </c>
    </row>
    <row r="223" spans="3:52" ht="15" customHeight="1" x14ac:dyDescent="0.25">
      <c r="C223" s="42"/>
      <c r="D223" s="43">
        <f>D220</f>
        <v>45706</v>
      </c>
      <c r="E223" s="44">
        <f t="shared" si="22"/>
        <v>17.500000000000021</v>
      </c>
      <c r="F223" s="45">
        <f t="shared" si="21"/>
        <v>45706.500000000502</v>
      </c>
      <c r="G223" s="52">
        <v>0</v>
      </c>
      <c r="H223" s="53">
        <v>40</v>
      </c>
      <c r="I223" s="54">
        <v>10.1</v>
      </c>
      <c r="J223" s="54">
        <v>150</v>
      </c>
      <c r="K223" s="55">
        <v>5.3</v>
      </c>
      <c r="L223" s="56">
        <v>40</v>
      </c>
      <c r="M223" s="54">
        <v>10</v>
      </c>
      <c r="N223" s="54">
        <v>150</v>
      </c>
      <c r="O223" s="57">
        <v>5.7</v>
      </c>
      <c r="P223" s="53">
        <v>39</v>
      </c>
      <c r="Q223" s="54">
        <v>10.3</v>
      </c>
      <c r="R223" s="55">
        <v>0</v>
      </c>
      <c r="S223" s="55">
        <v>6.3</v>
      </c>
      <c r="T223" s="57">
        <v>17.3</v>
      </c>
      <c r="U223" s="56">
        <v>37</v>
      </c>
      <c r="V223" s="54">
        <v>10.4</v>
      </c>
      <c r="W223" s="55">
        <v>0</v>
      </c>
      <c r="X223" s="55">
        <v>6.3</v>
      </c>
      <c r="Y223" s="57">
        <v>15</v>
      </c>
      <c r="Z223" s="53">
        <v>38</v>
      </c>
      <c r="AA223" s="54">
        <v>10.5</v>
      </c>
      <c r="AB223" s="55">
        <v>0</v>
      </c>
      <c r="AC223" s="55">
        <v>5.9</v>
      </c>
      <c r="AD223" s="57">
        <v>14.8</v>
      </c>
      <c r="AE223" s="56">
        <v>36</v>
      </c>
      <c r="AF223" s="54">
        <v>10.5</v>
      </c>
      <c r="AG223" s="55">
        <v>0</v>
      </c>
      <c r="AH223" s="55">
        <v>6.1</v>
      </c>
      <c r="AI223" s="57">
        <v>14.03</v>
      </c>
      <c r="AJ223" s="56">
        <v>37</v>
      </c>
      <c r="AK223" s="54">
        <v>10.5</v>
      </c>
      <c r="AL223" s="54">
        <v>0</v>
      </c>
      <c r="AM223" s="54">
        <v>6.3</v>
      </c>
      <c r="AN223" s="57">
        <v>13.07</v>
      </c>
      <c r="AO223" s="53">
        <v>35</v>
      </c>
      <c r="AP223" s="54">
        <v>10.6</v>
      </c>
      <c r="AQ223" s="54">
        <v>160</v>
      </c>
      <c r="AR223" s="54">
        <v>5.3</v>
      </c>
      <c r="AS223" s="57">
        <v>10.57</v>
      </c>
      <c r="AT223" s="56">
        <v>28</v>
      </c>
      <c r="AU223" s="57">
        <v>90</v>
      </c>
      <c r="AV223" s="56">
        <v>63.826496124267599</v>
      </c>
      <c r="AW223" s="57">
        <v>0</v>
      </c>
      <c r="AX223" s="8"/>
      <c r="AZ223" s="1">
        <v>90</v>
      </c>
    </row>
    <row r="224" spans="3:52" ht="15" customHeight="1" x14ac:dyDescent="0.25">
      <c r="C224" s="42"/>
      <c r="D224" s="43">
        <f>D220</f>
        <v>45706</v>
      </c>
      <c r="E224" s="44">
        <f t="shared" si="22"/>
        <v>17.583333333333353</v>
      </c>
      <c r="F224" s="45">
        <f t="shared" si="21"/>
        <v>45706.583333333838</v>
      </c>
      <c r="G224" s="52">
        <v>0</v>
      </c>
      <c r="H224" s="53">
        <v>39</v>
      </c>
      <c r="I224" s="54">
        <v>11.2</v>
      </c>
      <c r="J224" s="54">
        <v>200</v>
      </c>
      <c r="K224" s="55">
        <v>5.4</v>
      </c>
      <c r="L224" s="56">
        <v>36</v>
      </c>
      <c r="M224" s="54">
        <v>9.98</v>
      </c>
      <c r="N224" s="54">
        <v>200</v>
      </c>
      <c r="O224" s="57">
        <v>5.6</v>
      </c>
      <c r="P224" s="53">
        <v>37</v>
      </c>
      <c r="Q224" s="54">
        <v>10.1</v>
      </c>
      <c r="R224" s="55">
        <v>0</v>
      </c>
      <c r="S224" s="55">
        <v>5.8</v>
      </c>
      <c r="T224" s="57">
        <v>17.88</v>
      </c>
      <c r="U224" s="56">
        <v>38</v>
      </c>
      <c r="V224" s="54">
        <v>10.3</v>
      </c>
      <c r="W224" s="55">
        <v>0</v>
      </c>
      <c r="X224" s="55">
        <v>5.7</v>
      </c>
      <c r="Y224" s="57">
        <v>15</v>
      </c>
      <c r="Z224" s="53">
        <v>37</v>
      </c>
      <c r="AA224" s="54">
        <v>10.4</v>
      </c>
      <c r="AB224" s="55">
        <v>0</v>
      </c>
      <c r="AC224" s="55">
        <v>5.6</v>
      </c>
      <c r="AD224" s="57">
        <v>14.42</v>
      </c>
      <c r="AE224" s="56">
        <v>38</v>
      </c>
      <c r="AF224" s="54">
        <v>10.5</v>
      </c>
      <c r="AG224" s="55">
        <v>0</v>
      </c>
      <c r="AH224" s="55">
        <v>6</v>
      </c>
      <c r="AI224" s="57">
        <v>14.42</v>
      </c>
      <c r="AJ224" s="56">
        <v>37</v>
      </c>
      <c r="AK224" s="54">
        <v>10.6</v>
      </c>
      <c r="AL224" s="54">
        <v>0</v>
      </c>
      <c r="AM224" s="54">
        <v>5.6</v>
      </c>
      <c r="AN224" s="57">
        <v>12.3</v>
      </c>
      <c r="AO224" s="53">
        <v>38</v>
      </c>
      <c r="AP224" s="54">
        <v>10.6</v>
      </c>
      <c r="AQ224" s="54">
        <v>170</v>
      </c>
      <c r="AR224" s="54">
        <v>5.7</v>
      </c>
      <c r="AS224" s="57">
        <v>10.57</v>
      </c>
      <c r="AT224" s="56">
        <v>24</v>
      </c>
      <c r="AU224" s="57">
        <v>110</v>
      </c>
      <c r="AV224" s="56">
        <v>63.920085906982401</v>
      </c>
      <c r="AW224" s="57">
        <v>0</v>
      </c>
      <c r="AX224" s="8"/>
      <c r="AZ224" s="1">
        <v>90</v>
      </c>
    </row>
    <row r="225" spans="3:52" ht="15" customHeight="1" x14ac:dyDescent="0.25">
      <c r="C225" s="42"/>
      <c r="D225" s="43">
        <f>D220</f>
        <v>45706</v>
      </c>
      <c r="E225" s="44">
        <f t="shared" si="22"/>
        <v>17.666666666666686</v>
      </c>
      <c r="F225" s="45">
        <f t="shared" si="21"/>
        <v>45706.666666667174</v>
      </c>
      <c r="G225" s="52">
        <v>44</v>
      </c>
      <c r="H225" s="53">
        <v>39</v>
      </c>
      <c r="I225" s="54">
        <v>11.3</v>
      </c>
      <c r="J225" s="54">
        <v>200</v>
      </c>
      <c r="K225" s="55">
        <v>5.7</v>
      </c>
      <c r="L225" s="56">
        <v>40</v>
      </c>
      <c r="M225" s="54">
        <v>10.1</v>
      </c>
      <c r="N225" s="54">
        <v>250</v>
      </c>
      <c r="O225" s="57">
        <v>6</v>
      </c>
      <c r="P225" s="53">
        <v>36</v>
      </c>
      <c r="Q225" s="54">
        <v>10</v>
      </c>
      <c r="R225" s="55">
        <v>0</v>
      </c>
      <c r="S225" s="55">
        <v>5.9</v>
      </c>
      <c r="T225" s="57">
        <v>17.88</v>
      </c>
      <c r="U225" s="56">
        <v>41</v>
      </c>
      <c r="V225" s="54">
        <v>10.199999999999999</v>
      </c>
      <c r="W225" s="55">
        <v>0</v>
      </c>
      <c r="X225" s="55">
        <v>5.9</v>
      </c>
      <c r="Y225" s="57">
        <v>16.34</v>
      </c>
      <c r="Z225" s="53">
        <v>40</v>
      </c>
      <c r="AA225" s="54">
        <v>10.3</v>
      </c>
      <c r="AB225" s="55">
        <v>0</v>
      </c>
      <c r="AC225" s="55">
        <v>5.7</v>
      </c>
      <c r="AD225" s="57">
        <v>15</v>
      </c>
      <c r="AE225" s="56">
        <v>38</v>
      </c>
      <c r="AF225" s="54">
        <v>10.8</v>
      </c>
      <c r="AG225" s="55">
        <v>0</v>
      </c>
      <c r="AH225" s="55">
        <v>5.7</v>
      </c>
      <c r="AI225" s="57">
        <v>15.35</v>
      </c>
      <c r="AJ225" s="56">
        <v>38</v>
      </c>
      <c r="AK225" s="54">
        <v>10.6</v>
      </c>
      <c r="AL225" s="54">
        <v>0</v>
      </c>
      <c r="AM225" s="54">
        <v>6</v>
      </c>
      <c r="AN225" s="57">
        <v>12.5</v>
      </c>
      <c r="AO225" s="53">
        <v>36</v>
      </c>
      <c r="AP225" s="54">
        <v>10.5</v>
      </c>
      <c r="AQ225" s="54">
        <v>200</v>
      </c>
      <c r="AR225" s="54">
        <v>6.1</v>
      </c>
      <c r="AS225" s="57">
        <v>10.57</v>
      </c>
      <c r="AT225" s="56">
        <v>28</v>
      </c>
      <c r="AU225" s="57">
        <v>140</v>
      </c>
      <c r="AV225" s="56">
        <v>59.696453094482401</v>
      </c>
      <c r="AW225" s="57">
        <v>86.791449610392249</v>
      </c>
      <c r="AX225" s="8"/>
      <c r="AZ225" s="1">
        <v>90</v>
      </c>
    </row>
    <row r="226" spans="3:52" ht="15" customHeight="1" x14ac:dyDescent="0.25">
      <c r="C226" s="42"/>
      <c r="D226" s="43">
        <f>D220</f>
        <v>45706</v>
      </c>
      <c r="E226" s="44">
        <f t="shared" si="22"/>
        <v>17.750000000000018</v>
      </c>
      <c r="F226" s="45">
        <f t="shared" si="21"/>
        <v>45706.750000000509</v>
      </c>
      <c r="G226" s="52">
        <v>38</v>
      </c>
      <c r="H226" s="53">
        <v>43</v>
      </c>
      <c r="I226" s="54">
        <v>10.8</v>
      </c>
      <c r="J226" s="54">
        <v>200</v>
      </c>
      <c r="K226" s="55">
        <v>5.6</v>
      </c>
      <c r="L226" s="56">
        <v>40</v>
      </c>
      <c r="M226" s="54">
        <v>10.4</v>
      </c>
      <c r="N226" s="54">
        <v>250</v>
      </c>
      <c r="O226" s="57">
        <v>6.1</v>
      </c>
      <c r="P226" s="53">
        <v>38</v>
      </c>
      <c r="Q226" s="54">
        <v>10.1</v>
      </c>
      <c r="R226" s="55">
        <v>0</v>
      </c>
      <c r="S226" s="55">
        <v>5.7</v>
      </c>
      <c r="T226" s="57">
        <v>17.88</v>
      </c>
      <c r="U226" s="56">
        <v>39</v>
      </c>
      <c r="V226" s="54">
        <v>10.199999999999999</v>
      </c>
      <c r="W226" s="55">
        <v>0</v>
      </c>
      <c r="X226" s="55">
        <v>5.8</v>
      </c>
      <c r="Y226" s="57">
        <v>15</v>
      </c>
      <c r="Z226" s="53">
        <v>38</v>
      </c>
      <c r="AA226" s="54">
        <v>10.3</v>
      </c>
      <c r="AB226" s="55">
        <v>0</v>
      </c>
      <c r="AC226" s="55">
        <v>5.6</v>
      </c>
      <c r="AD226" s="57">
        <v>15</v>
      </c>
      <c r="AE226" s="56">
        <v>38</v>
      </c>
      <c r="AF226" s="54">
        <v>10.7</v>
      </c>
      <c r="AG226" s="55">
        <v>0</v>
      </c>
      <c r="AH226" s="55">
        <v>5.3</v>
      </c>
      <c r="AI226" s="57">
        <v>15.35</v>
      </c>
      <c r="AJ226" s="56">
        <v>37</v>
      </c>
      <c r="AK226" s="54">
        <v>10.6</v>
      </c>
      <c r="AL226" s="54">
        <v>0</v>
      </c>
      <c r="AM226" s="54">
        <v>5.8</v>
      </c>
      <c r="AN226" s="57">
        <v>12.3</v>
      </c>
      <c r="AO226" s="53">
        <v>35</v>
      </c>
      <c r="AP226" s="54">
        <v>10.5</v>
      </c>
      <c r="AQ226" s="54">
        <v>200</v>
      </c>
      <c r="AR226" s="54">
        <v>6</v>
      </c>
      <c r="AS226" s="57">
        <v>10.57</v>
      </c>
      <c r="AT226" s="56">
        <v>28</v>
      </c>
      <c r="AU226" s="57">
        <v>160</v>
      </c>
      <c r="AV226" s="56">
        <v>56.2744140625</v>
      </c>
      <c r="AW226" s="57">
        <v>328.44244303452626</v>
      </c>
      <c r="AX226" s="8"/>
      <c r="AZ226" s="1">
        <v>90</v>
      </c>
    </row>
    <row r="227" spans="3:52" ht="15" customHeight="1" x14ac:dyDescent="0.25">
      <c r="C227" s="42"/>
      <c r="D227" s="43">
        <f>D220</f>
        <v>45706</v>
      </c>
      <c r="E227" s="44">
        <f t="shared" si="22"/>
        <v>17.83333333333335</v>
      </c>
      <c r="F227" s="45">
        <f t="shared" si="21"/>
        <v>45706.833333333845</v>
      </c>
      <c r="G227" s="52">
        <v>42</v>
      </c>
      <c r="H227" s="53">
        <v>40</v>
      </c>
      <c r="I227" s="54">
        <v>10.3</v>
      </c>
      <c r="J227" s="54">
        <v>200</v>
      </c>
      <c r="K227" s="55">
        <v>7</v>
      </c>
      <c r="L227" s="56">
        <v>40</v>
      </c>
      <c r="M227" s="54">
        <v>10.4</v>
      </c>
      <c r="N227" s="54">
        <v>200</v>
      </c>
      <c r="O227" s="57">
        <v>6.9</v>
      </c>
      <c r="P227" s="53">
        <v>39</v>
      </c>
      <c r="Q227" s="54">
        <v>10.4</v>
      </c>
      <c r="R227" s="55">
        <v>0</v>
      </c>
      <c r="S227" s="55">
        <v>6.7</v>
      </c>
      <c r="T227" s="57">
        <v>17.3</v>
      </c>
      <c r="U227" s="56">
        <v>39</v>
      </c>
      <c r="V227" s="54">
        <v>10.3</v>
      </c>
      <c r="W227" s="55">
        <v>0</v>
      </c>
      <c r="X227" s="55">
        <v>6.8</v>
      </c>
      <c r="Y227" s="57">
        <v>16.36</v>
      </c>
      <c r="Z227" s="53">
        <v>37</v>
      </c>
      <c r="AA227" s="54">
        <v>10.3</v>
      </c>
      <c r="AB227" s="55">
        <v>0</v>
      </c>
      <c r="AC227" s="55">
        <v>6.7</v>
      </c>
      <c r="AD227" s="57">
        <v>14.42</v>
      </c>
      <c r="AE227" s="56">
        <v>36</v>
      </c>
      <c r="AF227" s="54">
        <v>10.6</v>
      </c>
      <c r="AG227" s="55">
        <v>0</v>
      </c>
      <c r="AH227" s="55">
        <v>6.2</v>
      </c>
      <c r="AI227" s="57">
        <v>14.42</v>
      </c>
      <c r="AJ227" s="56">
        <v>35</v>
      </c>
      <c r="AK227" s="54">
        <v>10.7</v>
      </c>
      <c r="AL227" s="54">
        <v>0</v>
      </c>
      <c r="AM227" s="54">
        <v>5.7</v>
      </c>
      <c r="AN227" s="57">
        <v>13.84</v>
      </c>
      <c r="AO227" s="53">
        <v>36</v>
      </c>
      <c r="AP227" s="54">
        <v>10.7</v>
      </c>
      <c r="AQ227" s="54">
        <v>170</v>
      </c>
      <c r="AR227" s="54">
        <v>5.3</v>
      </c>
      <c r="AS227" s="57">
        <v>10.57</v>
      </c>
      <c r="AT227" s="56">
        <v>30</v>
      </c>
      <c r="AU227" s="57">
        <v>130</v>
      </c>
      <c r="AV227" s="56">
        <v>55.179851531982401</v>
      </c>
      <c r="AW227" s="57">
        <v>290.30454273303042</v>
      </c>
      <c r="AX227" s="8"/>
      <c r="AZ227" s="1">
        <v>90</v>
      </c>
    </row>
    <row r="228" spans="3:52" ht="15" customHeight="1" x14ac:dyDescent="0.25">
      <c r="C228" s="42"/>
      <c r="D228" s="43">
        <f>D220</f>
        <v>45706</v>
      </c>
      <c r="E228" s="44">
        <f t="shared" si="22"/>
        <v>17.916666666666682</v>
      </c>
      <c r="F228" s="45">
        <f t="shared" si="21"/>
        <v>45706.916666667181</v>
      </c>
      <c r="G228" s="52">
        <v>38</v>
      </c>
      <c r="H228" s="53">
        <v>40</v>
      </c>
      <c r="I228" s="54">
        <v>10.199999999999999</v>
      </c>
      <c r="J228" s="54">
        <v>200</v>
      </c>
      <c r="K228" s="55">
        <v>6.8</v>
      </c>
      <c r="L228" s="56">
        <v>39</v>
      </c>
      <c r="M228" s="54">
        <v>10.4</v>
      </c>
      <c r="N228" s="54">
        <v>200</v>
      </c>
      <c r="O228" s="57">
        <v>6.7</v>
      </c>
      <c r="P228" s="53">
        <v>39</v>
      </c>
      <c r="Q228" s="54">
        <v>10.4</v>
      </c>
      <c r="R228" s="55">
        <v>0</v>
      </c>
      <c r="S228" s="55">
        <v>6.5</v>
      </c>
      <c r="T228" s="57">
        <v>17.690000000000001</v>
      </c>
      <c r="U228" s="56">
        <v>38</v>
      </c>
      <c r="V228" s="54">
        <v>10.3</v>
      </c>
      <c r="W228" s="55">
        <v>0</v>
      </c>
      <c r="X228" s="55">
        <v>6.7</v>
      </c>
      <c r="Y228" s="57">
        <v>16.34</v>
      </c>
      <c r="Z228" s="53">
        <v>37</v>
      </c>
      <c r="AA228" s="54">
        <v>10.3</v>
      </c>
      <c r="AB228" s="55">
        <v>0</v>
      </c>
      <c r="AC228" s="55">
        <v>6.5</v>
      </c>
      <c r="AD228" s="57">
        <v>14.8</v>
      </c>
      <c r="AE228" s="56">
        <v>36</v>
      </c>
      <c r="AF228" s="54">
        <v>10.6</v>
      </c>
      <c r="AG228" s="55">
        <v>0</v>
      </c>
      <c r="AH228" s="55">
        <v>6.7</v>
      </c>
      <c r="AI228" s="57">
        <v>14.42</v>
      </c>
      <c r="AJ228" s="56">
        <v>35</v>
      </c>
      <c r="AK228" s="54">
        <v>10.7</v>
      </c>
      <c r="AL228" s="54">
        <v>0</v>
      </c>
      <c r="AM228" s="54">
        <v>5.6</v>
      </c>
      <c r="AN228" s="57">
        <v>13.46</v>
      </c>
      <c r="AO228" s="53">
        <v>35</v>
      </c>
      <c r="AP228" s="54">
        <v>10.7</v>
      </c>
      <c r="AQ228" s="54">
        <v>170</v>
      </c>
      <c r="AR228" s="54">
        <v>5.2</v>
      </c>
      <c r="AS228" s="57">
        <v>10.57</v>
      </c>
      <c r="AT228" s="56">
        <v>30</v>
      </c>
      <c r="AU228" s="57">
        <v>120</v>
      </c>
      <c r="AV228" s="56">
        <v>55.289714813232401</v>
      </c>
      <c r="AW228" s="57">
        <v>286.37321526453212</v>
      </c>
      <c r="AX228" s="8"/>
      <c r="AZ228" s="1">
        <v>90</v>
      </c>
    </row>
    <row r="229" spans="3:52" ht="15" customHeight="1" x14ac:dyDescent="0.25">
      <c r="C229" s="42"/>
      <c r="D229" s="43">
        <f>D220</f>
        <v>45706</v>
      </c>
      <c r="E229" s="44">
        <f t="shared" si="22"/>
        <v>18.000000000000014</v>
      </c>
      <c r="F229" s="45">
        <f t="shared" si="21"/>
        <v>45707.000000000517</v>
      </c>
      <c r="G229" s="52">
        <v>39</v>
      </c>
      <c r="H229" s="53">
        <v>38</v>
      </c>
      <c r="I229" s="54">
        <v>9.5</v>
      </c>
      <c r="J229" s="54">
        <v>200</v>
      </c>
      <c r="K229" s="55">
        <v>6.4</v>
      </c>
      <c r="L229" s="56">
        <v>38</v>
      </c>
      <c r="M229" s="54">
        <v>10.199999999999999</v>
      </c>
      <c r="N229" s="54">
        <v>200</v>
      </c>
      <c r="O229" s="57">
        <v>6.4</v>
      </c>
      <c r="P229" s="53">
        <v>38</v>
      </c>
      <c r="Q229" s="54">
        <v>10.199999999999999</v>
      </c>
      <c r="R229" s="55">
        <v>0</v>
      </c>
      <c r="S229" s="55">
        <v>6.4</v>
      </c>
      <c r="T229" s="57">
        <v>16.920000000000002</v>
      </c>
      <c r="U229" s="56">
        <v>39</v>
      </c>
      <c r="V229" s="54">
        <v>10.199999999999999</v>
      </c>
      <c r="W229" s="55">
        <v>0</v>
      </c>
      <c r="X229" s="55">
        <v>6.4</v>
      </c>
      <c r="Y229" s="57">
        <v>16.7</v>
      </c>
      <c r="Z229" s="53">
        <v>38</v>
      </c>
      <c r="AA229" s="54">
        <v>10.199999999999999</v>
      </c>
      <c r="AB229" s="55">
        <v>0</v>
      </c>
      <c r="AC229" s="55">
        <v>6.5</v>
      </c>
      <c r="AD229" s="57">
        <v>14.47</v>
      </c>
      <c r="AE229" s="56">
        <v>36</v>
      </c>
      <c r="AF229" s="54">
        <v>10.4</v>
      </c>
      <c r="AG229" s="55">
        <v>0</v>
      </c>
      <c r="AH229" s="55">
        <v>6.5</v>
      </c>
      <c r="AI229" s="57">
        <v>14.61</v>
      </c>
      <c r="AJ229" s="56">
        <v>36</v>
      </c>
      <c r="AK229" s="54">
        <v>10.5</v>
      </c>
      <c r="AL229" s="54">
        <v>0</v>
      </c>
      <c r="AM229" s="54">
        <v>5.4</v>
      </c>
      <c r="AN229" s="57">
        <v>13.84</v>
      </c>
      <c r="AO229" s="53">
        <v>37</v>
      </c>
      <c r="AP229" s="54">
        <v>10.6</v>
      </c>
      <c r="AQ229" s="54">
        <v>170</v>
      </c>
      <c r="AR229" s="54">
        <v>5.4</v>
      </c>
      <c r="AS229" s="57">
        <v>10.57</v>
      </c>
      <c r="AT229" s="56">
        <v>30</v>
      </c>
      <c r="AU229" s="57">
        <v>120</v>
      </c>
      <c r="AV229" s="56">
        <v>55.293781280517599</v>
      </c>
      <c r="AW229" s="57">
        <v>285.70107523069407</v>
      </c>
      <c r="AX229" s="8"/>
      <c r="AZ229" s="1">
        <v>90</v>
      </c>
    </row>
    <row r="230" spans="3:52" ht="15" customHeight="1" x14ac:dyDescent="0.25">
      <c r="C230" s="42"/>
      <c r="D230" s="43">
        <f>D220</f>
        <v>45706</v>
      </c>
      <c r="E230" s="44">
        <f t="shared" si="22"/>
        <v>18.083333333333346</v>
      </c>
      <c r="F230" s="45">
        <f t="shared" si="21"/>
        <v>45707.083333333852</v>
      </c>
      <c r="G230" s="52">
        <v>40</v>
      </c>
      <c r="H230" s="53">
        <v>39</v>
      </c>
      <c r="I230" s="54">
        <v>9.8000000000000007</v>
      </c>
      <c r="J230" s="54">
        <v>200</v>
      </c>
      <c r="K230" s="55">
        <v>6.7</v>
      </c>
      <c r="L230" s="56">
        <v>39</v>
      </c>
      <c r="M230" s="54">
        <v>10.199999999999999</v>
      </c>
      <c r="N230" s="54">
        <v>200</v>
      </c>
      <c r="O230" s="57">
        <v>6.4</v>
      </c>
      <c r="P230" s="53">
        <v>38</v>
      </c>
      <c r="Q230" s="54">
        <v>10.199999999999999</v>
      </c>
      <c r="R230" s="55">
        <v>0</v>
      </c>
      <c r="S230" s="55">
        <v>6.7</v>
      </c>
      <c r="T230" s="57">
        <v>17.8</v>
      </c>
      <c r="U230" s="56">
        <v>39</v>
      </c>
      <c r="V230" s="54">
        <v>10.199999999999999</v>
      </c>
      <c r="W230" s="55">
        <v>0</v>
      </c>
      <c r="X230" s="55">
        <v>6.7</v>
      </c>
      <c r="Y230" s="57">
        <v>16.7</v>
      </c>
      <c r="Z230" s="53">
        <v>38</v>
      </c>
      <c r="AA230" s="54">
        <v>10.3</v>
      </c>
      <c r="AB230" s="55">
        <v>0</v>
      </c>
      <c r="AC230" s="55">
        <v>6.7</v>
      </c>
      <c r="AD230" s="57">
        <v>13.84</v>
      </c>
      <c r="AE230" s="56">
        <v>37</v>
      </c>
      <c r="AF230" s="54">
        <v>10.4</v>
      </c>
      <c r="AG230" s="55">
        <v>0</v>
      </c>
      <c r="AH230" s="55">
        <v>6.7</v>
      </c>
      <c r="AI230" s="57">
        <v>13.84</v>
      </c>
      <c r="AJ230" s="56">
        <v>36</v>
      </c>
      <c r="AK230" s="54">
        <v>10.5</v>
      </c>
      <c r="AL230" s="54">
        <v>0</v>
      </c>
      <c r="AM230" s="54">
        <v>5.4</v>
      </c>
      <c r="AN230" s="57">
        <v>14.03</v>
      </c>
      <c r="AO230" s="53">
        <v>36</v>
      </c>
      <c r="AP230" s="54">
        <v>10.6</v>
      </c>
      <c r="AQ230" s="54">
        <v>170</v>
      </c>
      <c r="AR230" s="54">
        <v>5.4</v>
      </c>
      <c r="AS230" s="57">
        <v>10.19</v>
      </c>
      <c r="AT230" s="56">
        <v>30</v>
      </c>
      <c r="AU230" s="57">
        <v>120</v>
      </c>
      <c r="AV230" s="56">
        <v>55.387371063232401</v>
      </c>
      <c r="AW230" s="57">
        <v>289.44311789234632</v>
      </c>
      <c r="AX230" s="8"/>
      <c r="AZ230" s="1">
        <v>90</v>
      </c>
    </row>
    <row r="231" spans="3:52" ht="15" customHeight="1" x14ac:dyDescent="0.25">
      <c r="C231" s="42"/>
      <c r="D231" s="69">
        <f>D220</f>
        <v>45706</v>
      </c>
      <c r="E231" s="70">
        <f t="shared" si="22"/>
        <v>18.166666666666679</v>
      </c>
      <c r="F231" s="71">
        <f t="shared" si="21"/>
        <v>45707.166666667188</v>
      </c>
      <c r="G231" s="60">
        <v>40</v>
      </c>
      <c r="H231" s="61">
        <v>38</v>
      </c>
      <c r="I231" s="62">
        <v>9.1999999999999993</v>
      </c>
      <c r="J231" s="62">
        <v>200</v>
      </c>
      <c r="K231" s="63">
        <v>6.7</v>
      </c>
      <c r="L231" s="64">
        <v>38</v>
      </c>
      <c r="M231" s="62">
        <v>10.199999999999999</v>
      </c>
      <c r="N231" s="62">
        <v>200</v>
      </c>
      <c r="O231" s="65">
        <v>6.5</v>
      </c>
      <c r="P231" s="61">
        <v>37</v>
      </c>
      <c r="Q231" s="62">
        <v>10.199999999999999</v>
      </c>
      <c r="R231" s="63">
        <v>0</v>
      </c>
      <c r="S231" s="63">
        <v>6.5</v>
      </c>
      <c r="T231" s="65">
        <v>17.3</v>
      </c>
      <c r="U231" s="64">
        <v>38</v>
      </c>
      <c r="V231" s="62">
        <v>10.199999999999999</v>
      </c>
      <c r="W231" s="63">
        <v>0</v>
      </c>
      <c r="X231" s="63">
        <v>6.5</v>
      </c>
      <c r="Y231" s="65">
        <v>17.3</v>
      </c>
      <c r="Z231" s="61">
        <v>38</v>
      </c>
      <c r="AA231" s="62">
        <v>10.3</v>
      </c>
      <c r="AB231" s="63">
        <v>0</v>
      </c>
      <c r="AC231" s="63">
        <v>6.4</v>
      </c>
      <c r="AD231" s="65">
        <v>14.42</v>
      </c>
      <c r="AE231" s="64">
        <v>39</v>
      </c>
      <c r="AF231" s="62">
        <v>10.3</v>
      </c>
      <c r="AG231" s="63">
        <v>0</v>
      </c>
      <c r="AH231" s="63">
        <v>6.2</v>
      </c>
      <c r="AI231" s="65">
        <v>13.07</v>
      </c>
      <c r="AJ231" s="64">
        <v>37</v>
      </c>
      <c r="AK231" s="62">
        <v>10.5</v>
      </c>
      <c r="AL231" s="62">
        <v>0</v>
      </c>
      <c r="AM231" s="62">
        <v>5.2</v>
      </c>
      <c r="AN231" s="65">
        <v>13.46</v>
      </c>
      <c r="AO231" s="61">
        <v>37</v>
      </c>
      <c r="AP231" s="62">
        <v>10.6</v>
      </c>
      <c r="AQ231" s="62">
        <v>150</v>
      </c>
      <c r="AR231" s="62">
        <v>5.2</v>
      </c>
      <c r="AS231" s="65">
        <v>14.42</v>
      </c>
      <c r="AT231" s="64">
        <v>30</v>
      </c>
      <c r="AU231" s="65">
        <v>130</v>
      </c>
      <c r="AV231" s="64">
        <v>55.448406219482401</v>
      </c>
      <c r="AW231" s="65">
        <v>287.51422672308206</v>
      </c>
      <c r="AX231" s="8"/>
      <c r="AZ231" s="1">
        <v>90</v>
      </c>
    </row>
    <row r="232" spans="3:52" ht="15" customHeight="1" x14ac:dyDescent="0.25">
      <c r="C232" s="42">
        <f>C220+1</f>
        <v>19</v>
      </c>
      <c r="D232" s="66">
        <f>DATE([2]Dash!$F$3,VLOOKUP([2]Dash!$E$3,[2]Abb!$C$3:$D$14,2,FALSE),C232)</f>
        <v>45707</v>
      </c>
      <c r="E232" s="67">
        <f>E231+2/24</f>
        <v>18.250000000000011</v>
      </c>
      <c r="F232" s="68">
        <f t="shared" si="21"/>
        <v>45707.250000000524</v>
      </c>
      <c r="G232" s="46">
        <v>38</v>
      </c>
      <c r="H232" s="47">
        <v>38</v>
      </c>
      <c r="I232" s="48">
        <v>10.5</v>
      </c>
      <c r="J232" s="48">
        <v>200</v>
      </c>
      <c r="K232" s="49">
        <v>6.7</v>
      </c>
      <c r="L232" s="50">
        <v>38</v>
      </c>
      <c r="M232" s="48">
        <v>10.199999999999999</v>
      </c>
      <c r="N232" s="48">
        <v>200</v>
      </c>
      <c r="O232" s="51">
        <v>6.4</v>
      </c>
      <c r="P232" s="47">
        <v>38</v>
      </c>
      <c r="Q232" s="48">
        <v>10.199999999999999</v>
      </c>
      <c r="R232" s="49">
        <v>0</v>
      </c>
      <c r="S232" s="49">
        <v>6.7</v>
      </c>
      <c r="T232" s="51">
        <v>17.3</v>
      </c>
      <c r="U232" s="50">
        <v>38</v>
      </c>
      <c r="V232" s="48">
        <v>10.199999999999999</v>
      </c>
      <c r="W232" s="49">
        <v>0</v>
      </c>
      <c r="X232" s="49">
        <v>6.4</v>
      </c>
      <c r="Y232" s="51">
        <v>16.7</v>
      </c>
      <c r="Z232" s="47">
        <v>38</v>
      </c>
      <c r="AA232" s="48">
        <v>10.3</v>
      </c>
      <c r="AB232" s="49">
        <v>0</v>
      </c>
      <c r="AC232" s="49">
        <v>6.5</v>
      </c>
      <c r="AD232" s="51">
        <v>14.42</v>
      </c>
      <c r="AE232" s="50">
        <v>38</v>
      </c>
      <c r="AF232" s="48">
        <v>10.3</v>
      </c>
      <c r="AG232" s="49">
        <v>0</v>
      </c>
      <c r="AH232" s="49">
        <v>6.2</v>
      </c>
      <c r="AI232" s="51">
        <v>14.42</v>
      </c>
      <c r="AJ232" s="50">
        <v>37</v>
      </c>
      <c r="AK232" s="48">
        <v>10.3</v>
      </c>
      <c r="AL232" s="48">
        <v>0</v>
      </c>
      <c r="AM232" s="48">
        <v>5.4</v>
      </c>
      <c r="AN232" s="51">
        <v>13.4</v>
      </c>
      <c r="AO232" s="47">
        <v>37</v>
      </c>
      <c r="AP232" s="48">
        <v>10.5</v>
      </c>
      <c r="AQ232" s="48">
        <v>150</v>
      </c>
      <c r="AR232" s="48">
        <v>5.2</v>
      </c>
      <c r="AS232" s="51">
        <v>14.42</v>
      </c>
      <c r="AT232" s="50">
        <v>30</v>
      </c>
      <c r="AU232" s="51">
        <v>130</v>
      </c>
      <c r="AV232" s="50">
        <v>55.35888671875</v>
      </c>
      <c r="AW232" s="51">
        <v>287.07887265773024</v>
      </c>
      <c r="AX232" s="8"/>
      <c r="AZ232" s="1">
        <v>90</v>
      </c>
    </row>
    <row r="233" spans="3:52" ht="15" customHeight="1" x14ac:dyDescent="0.25">
      <c r="C233" s="42"/>
      <c r="D233" s="43">
        <f>D232</f>
        <v>45707</v>
      </c>
      <c r="E233" s="44">
        <f>E232+2/24</f>
        <v>18.333333333333343</v>
      </c>
      <c r="F233" s="45">
        <f t="shared" si="21"/>
        <v>45707.33333333386</v>
      </c>
      <c r="G233" s="52">
        <v>0</v>
      </c>
      <c r="H233" s="53">
        <v>42</v>
      </c>
      <c r="I233" s="54">
        <v>9.1</v>
      </c>
      <c r="J233" s="54">
        <v>200</v>
      </c>
      <c r="K233" s="55">
        <v>6</v>
      </c>
      <c r="L233" s="56">
        <v>34</v>
      </c>
      <c r="M233" s="54">
        <v>9.6</v>
      </c>
      <c r="N233" s="54">
        <v>200</v>
      </c>
      <c r="O233" s="57">
        <v>6.3</v>
      </c>
      <c r="P233" s="53">
        <v>30</v>
      </c>
      <c r="Q233" s="54">
        <v>9.6999999999999993</v>
      </c>
      <c r="R233" s="55">
        <v>0</v>
      </c>
      <c r="S233" s="55">
        <v>6</v>
      </c>
      <c r="T233" s="57">
        <v>17.3</v>
      </c>
      <c r="U233" s="56">
        <v>38</v>
      </c>
      <c r="V233" s="54">
        <v>9.9</v>
      </c>
      <c r="W233" s="55">
        <v>0</v>
      </c>
      <c r="X233" s="55">
        <v>5.8</v>
      </c>
      <c r="Y233" s="57">
        <v>16.34</v>
      </c>
      <c r="Z233" s="53">
        <v>39</v>
      </c>
      <c r="AA233" s="54">
        <v>10.199999999999999</v>
      </c>
      <c r="AB233" s="55">
        <v>0</v>
      </c>
      <c r="AC233" s="55">
        <v>5.7</v>
      </c>
      <c r="AD233" s="57">
        <v>15</v>
      </c>
      <c r="AE233" s="56">
        <v>39</v>
      </c>
      <c r="AF233" s="54">
        <v>10.199999999999999</v>
      </c>
      <c r="AG233" s="55">
        <v>0</v>
      </c>
      <c r="AH233" s="55">
        <v>5.8</v>
      </c>
      <c r="AI233" s="57">
        <v>15</v>
      </c>
      <c r="AJ233" s="56">
        <v>38</v>
      </c>
      <c r="AK233" s="54">
        <v>10.199999999999999</v>
      </c>
      <c r="AL233" s="54">
        <v>0</v>
      </c>
      <c r="AM233" s="54">
        <v>5.9</v>
      </c>
      <c r="AN233" s="57">
        <v>13.84</v>
      </c>
      <c r="AO233" s="53">
        <v>39</v>
      </c>
      <c r="AP233" s="54">
        <v>10.4</v>
      </c>
      <c r="AQ233" s="54">
        <v>150</v>
      </c>
      <c r="AR233" s="54">
        <v>5.5</v>
      </c>
      <c r="AS233" s="57">
        <v>13.46</v>
      </c>
      <c r="AT233" s="56">
        <v>32</v>
      </c>
      <c r="AU233" s="57">
        <v>90</v>
      </c>
      <c r="AV233" s="56">
        <v>55.322265625</v>
      </c>
      <c r="AW233" s="57">
        <v>284.76164625888538</v>
      </c>
      <c r="AX233" s="8"/>
      <c r="AZ233" s="1">
        <v>90</v>
      </c>
    </row>
    <row r="234" spans="3:52" ht="15" customHeight="1" x14ac:dyDescent="0.25">
      <c r="C234" s="42"/>
      <c r="D234" s="43">
        <f>D232</f>
        <v>45707</v>
      </c>
      <c r="E234" s="44">
        <f t="shared" ref="E234:E243" si="23">E233+2/24</f>
        <v>18.416666666666675</v>
      </c>
      <c r="F234" s="45">
        <f t="shared" si="21"/>
        <v>45707.416666667195</v>
      </c>
      <c r="G234" s="52">
        <v>0</v>
      </c>
      <c r="H234" s="53">
        <v>41</v>
      </c>
      <c r="I234" s="54">
        <v>9.1</v>
      </c>
      <c r="J234" s="54">
        <v>200</v>
      </c>
      <c r="K234" s="55">
        <v>5.9</v>
      </c>
      <c r="L234" s="56">
        <v>37</v>
      </c>
      <c r="M234" s="54">
        <v>9.6</v>
      </c>
      <c r="N234" s="54">
        <v>200</v>
      </c>
      <c r="O234" s="57">
        <v>6.1</v>
      </c>
      <c r="P234" s="53">
        <v>0</v>
      </c>
      <c r="Q234" s="54">
        <v>0</v>
      </c>
      <c r="R234" s="55">
        <v>0</v>
      </c>
      <c r="S234" s="55">
        <v>0</v>
      </c>
      <c r="T234" s="57">
        <v>0</v>
      </c>
      <c r="U234" s="56">
        <v>37</v>
      </c>
      <c r="V234" s="54">
        <v>9.9</v>
      </c>
      <c r="W234" s="55">
        <v>0</v>
      </c>
      <c r="X234" s="55">
        <v>5.6</v>
      </c>
      <c r="Y234" s="57">
        <v>15</v>
      </c>
      <c r="Z234" s="53">
        <v>0</v>
      </c>
      <c r="AA234" s="54">
        <v>0</v>
      </c>
      <c r="AB234" s="55">
        <v>0</v>
      </c>
      <c r="AC234" s="55">
        <v>0</v>
      </c>
      <c r="AD234" s="57">
        <v>0</v>
      </c>
      <c r="AE234" s="56">
        <v>38</v>
      </c>
      <c r="AF234" s="54">
        <v>10.199999999999999</v>
      </c>
      <c r="AG234" s="55">
        <v>0</v>
      </c>
      <c r="AH234" s="55">
        <v>5.8</v>
      </c>
      <c r="AI234" s="57">
        <v>14.8</v>
      </c>
      <c r="AJ234" s="56">
        <v>37</v>
      </c>
      <c r="AK234" s="54">
        <v>10.199999999999999</v>
      </c>
      <c r="AL234" s="54">
        <v>0</v>
      </c>
      <c r="AM234" s="54">
        <v>5.8</v>
      </c>
      <c r="AN234" s="57">
        <v>13.84</v>
      </c>
      <c r="AO234" s="53">
        <v>39</v>
      </c>
      <c r="AP234" s="54">
        <v>10.4</v>
      </c>
      <c r="AQ234" s="54">
        <v>160</v>
      </c>
      <c r="AR234" s="54">
        <v>5.0999999999999996</v>
      </c>
      <c r="AS234" s="57">
        <v>13.46</v>
      </c>
      <c r="AT234" s="56">
        <v>0</v>
      </c>
      <c r="AU234" s="57">
        <v>0</v>
      </c>
      <c r="AV234" s="56">
        <v>55.631511688232401</v>
      </c>
      <c r="AW234" s="57">
        <v>279.65313975648797</v>
      </c>
      <c r="AX234" s="8"/>
      <c r="AZ234" s="1">
        <v>90</v>
      </c>
    </row>
    <row r="235" spans="3:52" ht="15" customHeight="1" x14ac:dyDescent="0.25">
      <c r="C235" s="42"/>
      <c r="D235" s="43">
        <f>D232</f>
        <v>45707</v>
      </c>
      <c r="E235" s="44">
        <f t="shared" si="23"/>
        <v>18.500000000000007</v>
      </c>
      <c r="F235" s="45">
        <f t="shared" si="21"/>
        <v>45707.500000000531</v>
      </c>
      <c r="G235" s="52">
        <v>40</v>
      </c>
      <c r="H235" s="53">
        <v>41</v>
      </c>
      <c r="I235" s="54">
        <v>9.3000000000000007</v>
      </c>
      <c r="J235" s="54">
        <v>200</v>
      </c>
      <c r="K235" s="55">
        <v>6.2</v>
      </c>
      <c r="L235" s="56">
        <v>36</v>
      </c>
      <c r="M235" s="54">
        <v>9.6</v>
      </c>
      <c r="N235" s="54">
        <v>200</v>
      </c>
      <c r="O235" s="57">
        <v>6.5</v>
      </c>
      <c r="P235" s="53">
        <v>0</v>
      </c>
      <c r="Q235" s="54">
        <v>0</v>
      </c>
      <c r="R235" s="55">
        <v>0</v>
      </c>
      <c r="S235" s="55">
        <v>0</v>
      </c>
      <c r="T235" s="57">
        <v>0</v>
      </c>
      <c r="U235" s="56">
        <v>38</v>
      </c>
      <c r="V235" s="54">
        <v>9.9</v>
      </c>
      <c r="W235" s="55">
        <v>0</v>
      </c>
      <c r="X235" s="55">
        <v>5.9</v>
      </c>
      <c r="Y235" s="57">
        <v>16.53</v>
      </c>
      <c r="Z235" s="53">
        <v>0</v>
      </c>
      <c r="AA235" s="54">
        <v>0</v>
      </c>
      <c r="AB235" s="55">
        <v>0</v>
      </c>
      <c r="AC235" s="55">
        <v>0</v>
      </c>
      <c r="AD235" s="57">
        <v>0</v>
      </c>
      <c r="AE235" s="56">
        <v>36</v>
      </c>
      <c r="AF235" s="54">
        <v>10.1</v>
      </c>
      <c r="AG235" s="55">
        <v>0</v>
      </c>
      <c r="AH235" s="55">
        <v>5.7</v>
      </c>
      <c r="AI235" s="57">
        <v>14.61</v>
      </c>
      <c r="AJ235" s="56">
        <v>37</v>
      </c>
      <c r="AK235" s="54">
        <v>10.199999999999999</v>
      </c>
      <c r="AL235" s="54">
        <v>0</v>
      </c>
      <c r="AM235" s="54">
        <v>5.8</v>
      </c>
      <c r="AN235" s="57">
        <v>14.03</v>
      </c>
      <c r="AO235" s="53">
        <v>38</v>
      </c>
      <c r="AP235" s="54">
        <v>10.4</v>
      </c>
      <c r="AQ235" s="54">
        <v>150</v>
      </c>
      <c r="AR235" s="54">
        <v>5.3</v>
      </c>
      <c r="AS235" s="57">
        <v>13.65</v>
      </c>
      <c r="AT235" s="56">
        <v>0</v>
      </c>
      <c r="AU235" s="57">
        <v>0</v>
      </c>
      <c r="AV235" s="56">
        <v>54.84619140625</v>
      </c>
      <c r="AW235" s="57">
        <v>277.19557732990165</v>
      </c>
      <c r="AX235" s="8"/>
      <c r="AZ235" s="1">
        <v>90</v>
      </c>
    </row>
    <row r="236" spans="3:52" ht="15" customHeight="1" x14ac:dyDescent="0.25">
      <c r="C236" s="42"/>
      <c r="D236" s="43">
        <f>D232</f>
        <v>45707</v>
      </c>
      <c r="E236" s="44">
        <f t="shared" si="23"/>
        <v>18.583333333333339</v>
      </c>
      <c r="F236" s="45">
        <f t="shared" si="21"/>
        <v>45707.583333333867</v>
      </c>
      <c r="G236" s="52">
        <v>41</v>
      </c>
      <c r="H236" s="53">
        <v>42</v>
      </c>
      <c r="I236" s="54">
        <v>8.4</v>
      </c>
      <c r="J236" s="54">
        <v>200</v>
      </c>
      <c r="K236" s="55">
        <v>6</v>
      </c>
      <c r="L236" s="56">
        <v>41</v>
      </c>
      <c r="M236" s="54">
        <v>9.3000000000000007</v>
      </c>
      <c r="N236" s="54">
        <v>150</v>
      </c>
      <c r="O236" s="57">
        <v>6.3</v>
      </c>
      <c r="P236" s="53">
        <v>0</v>
      </c>
      <c r="Q236" s="54">
        <v>0</v>
      </c>
      <c r="R236" s="55">
        <v>0</v>
      </c>
      <c r="S236" s="55">
        <v>0</v>
      </c>
      <c r="T236" s="57">
        <v>0</v>
      </c>
      <c r="U236" s="56">
        <v>40</v>
      </c>
      <c r="V236" s="54">
        <v>9.8000000000000007</v>
      </c>
      <c r="W236" s="55">
        <v>0</v>
      </c>
      <c r="X236" s="55">
        <v>6</v>
      </c>
      <c r="Y236" s="57">
        <v>16.739999999999998</v>
      </c>
      <c r="Z236" s="53">
        <v>0</v>
      </c>
      <c r="AA236" s="54">
        <v>0</v>
      </c>
      <c r="AB236" s="55">
        <v>0</v>
      </c>
      <c r="AC236" s="55">
        <v>0</v>
      </c>
      <c r="AD236" s="57">
        <v>0</v>
      </c>
      <c r="AE236" s="56">
        <v>37</v>
      </c>
      <c r="AF236" s="54">
        <v>10</v>
      </c>
      <c r="AG236" s="55">
        <v>0</v>
      </c>
      <c r="AH236" s="55">
        <v>5.6</v>
      </c>
      <c r="AI236" s="57">
        <v>15</v>
      </c>
      <c r="AJ236" s="56">
        <v>37</v>
      </c>
      <c r="AK236" s="54">
        <v>10</v>
      </c>
      <c r="AL236" s="54">
        <v>0</v>
      </c>
      <c r="AM236" s="54">
        <v>5.7</v>
      </c>
      <c r="AN236" s="57">
        <v>13.84</v>
      </c>
      <c r="AO236" s="53">
        <v>38</v>
      </c>
      <c r="AP236" s="54">
        <v>10.199999999999999</v>
      </c>
      <c r="AQ236" s="54">
        <v>130</v>
      </c>
      <c r="AR236" s="54">
        <v>5.3</v>
      </c>
      <c r="AS236" s="57">
        <v>13.26</v>
      </c>
      <c r="AT236" s="56">
        <v>0</v>
      </c>
      <c r="AU236" s="57">
        <v>0</v>
      </c>
      <c r="AV236" s="56">
        <v>-9.9934883117675799</v>
      </c>
      <c r="AW236" s="57">
        <v>174.33714312200124</v>
      </c>
      <c r="AX236" s="8"/>
      <c r="AZ236" s="1">
        <v>90</v>
      </c>
    </row>
    <row r="237" spans="3:52" ht="15" customHeight="1" x14ac:dyDescent="0.25">
      <c r="C237" s="42"/>
      <c r="D237" s="43">
        <f>D232</f>
        <v>45707</v>
      </c>
      <c r="E237" s="44">
        <f t="shared" si="23"/>
        <v>18.666666666666671</v>
      </c>
      <c r="F237" s="45">
        <f t="shared" si="21"/>
        <v>45707.666666667203</v>
      </c>
      <c r="G237" s="52">
        <v>0</v>
      </c>
      <c r="H237" s="53">
        <v>0</v>
      </c>
      <c r="I237" s="54">
        <v>0</v>
      </c>
      <c r="J237" s="54">
        <v>0</v>
      </c>
      <c r="K237" s="55">
        <v>0</v>
      </c>
      <c r="L237" s="56">
        <v>0</v>
      </c>
      <c r="M237" s="54">
        <v>0</v>
      </c>
      <c r="N237" s="54">
        <v>0</v>
      </c>
      <c r="O237" s="57">
        <v>0</v>
      </c>
      <c r="P237" s="53">
        <v>0</v>
      </c>
      <c r="Q237" s="54">
        <v>0</v>
      </c>
      <c r="R237" s="55">
        <v>0</v>
      </c>
      <c r="S237" s="55">
        <v>0</v>
      </c>
      <c r="T237" s="57">
        <v>0</v>
      </c>
      <c r="U237" s="56">
        <v>0</v>
      </c>
      <c r="V237" s="54">
        <v>0</v>
      </c>
      <c r="W237" s="55">
        <v>0</v>
      </c>
      <c r="X237" s="55">
        <v>0</v>
      </c>
      <c r="Y237" s="57">
        <v>0</v>
      </c>
      <c r="Z237" s="53">
        <v>0</v>
      </c>
      <c r="AA237" s="54">
        <v>0</v>
      </c>
      <c r="AB237" s="55">
        <v>0</v>
      </c>
      <c r="AC237" s="55">
        <v>0</v>
      </c>
      <c r="AD237" s="57">
        <v>0</v>
      </c>
      <c r="AE237" s="56">
        <v>0</v>
      </c>
      <c r="AF237" s="54">
        <v>0</v>
      </c>
      <c r="AG237" s="55">
        <v>0</v>
      </c>
      <c r="AH237" s="55">
        <v>0</v>
      </c>
      <c r="AI237" s="57">
        <v>0</v>
      </c>
      <c r="AJ237" s="56">
        <v>0</v>
      </c>
      <c r="AK237" s="54">
        <v>0</v>
      </c>
      <c r="AL237" s="54">
        <v>0</v>
      </c>
      <c r="AM237" s="54">
        <v>0</v>
      </c>
      <c r="AN237" s="57">
        <v>0</v>
      </c>
      <c r="AO237" s="53">
        <v>0</v>
      </c>
      <c r="AP237" s="54">
        <v>0</v>
      </c>
      <c r="AQ237" s="54">
        <v>0</v>
      </c>
      <c r="AR237" s="54">
        <v>0</v>
      </c>
      <c r="AS237" s="57">
        <v>0</v>
      </c>
      <c r="AT237" s="56">
        <v>0</v>
      </c>
      <c r="AU237" s="57">
        <v>0</v>
      </c>
      <c r="AV237" s="56">
        <v>55.013019561767599</v>
      </c>
      <c r="AW237" s="57">
        <v>0</v>
      </c>
      <c r="AX237" s="8"/>
      <c r="AZ237" s="1">
        <v>90</v>
      </c>
    </row>
    <row r="238" spans="3:52" ht="15" customHeight="1" x14ac:dyDescent="0.25">
      <c r="C238" s="42"/>
      <c r="D238" s="43">
        <f>D232</f>
        <v>45707</v>
      </c>
      <c r="E238" s="44">
        <f t="shared" si="23"/>
        <v>18.750000000000004</v>
      </c>
      <c r="F238" s="45">
        <f t="shared" si="21"/>
        <v>45707.750000000538</v>
      </c>
      <c r="G238" s="52">
        <v>0</v>
      </c>
      <c r="H238" s="53">
        <v>39</v>
      </c>
      <c r="I238" s="54">
        <v>9.1</v>
      </c>
      <c r="J238" s="54">
        <v>150</v>
      </c>
      <c r="K238" s="55">
        <v>6.1</v>
      </c>
      <c r="L238" s="56">
        <v>40</v>
      </c>
      <c r="M238" s="54">
        <v>9.4</v>
      </c>
      <c r="N238" s="54">
        <v>150</v>
      </c>
      <c r="O238" s="57">
        <v>6.7</v>
      </c>
      <c r="P238" s="53">
        <v>0</v>
      </c>
      <c r="Q238" s="54">
        <v>0</v>
      </c>
      <c r="R238" s="55">
        <v>0</v>
      </c>
      <c r="S238" s="55">
        <v>0</v>
      </c>
      <c r="T238" s="57">
        <v>0</v>
      </c>
      <c r="U238" s="56">
        <v>39</v>
      </c>
      <c r="V238" s="54">
        <v>9.8000000000000007</v>
      </c>
      <c r="W238" s="55">
        <v>0</v>
      </c>
      <c r="X238" s="55">
        <v>6.2</v>
      </c>
      <c r="Y238" s="57">
        <v>16.559999999999999</v>
      </c>
      <c r="Z238" s="53">
        <v>0</v>
      </c>
      <c r="AA238" s="54">
        <v>0</v>
      </c>
      <c r="AB238" s="55">
        <v>0</v>
      </c>
      <c r="AC238" s="55">
        <v>0</v>
      </c>
      <c r="AD238" s="57">
        <v>0</v>
      </c>
      <c r="AE238" s="56">
        <v>36</v>
      </c>
      <c r="AF238" s="54">
        <v>10</v>
      </c>
      <c r="AG238" s="55">
        <v>0</v>
      </c>
      <c r="AH238" s="55">
        <v>5.7</v>
      </c>
      <c r="AI238" s="57">
        <v>14.72</v>
      </c>
      <c r="AJ238" s="56">
        <v>36</v>
      </c>
      <c r="AK238" s="54">
        <v>10</v>
      </c>
      <c r="AL238" s="54">
        <v>0</v>
      </c>
      <c r="AM238" s="54">
        <v>5.6</v>
      </c>
      <c r="AN238" s="57">
        <v>14.12</v>
      </c>
      <c r="AO238" s="53">
        <v>36</v>
      </c>
      <c r="AP238" s="54">
        <v>10.1</v>
      </c>
      <c r="AQ238" s="54">
        <v>120</v>
      </c>
      <c r="AR238" s="54">
        <v>5.5</v>
      </c>
      <c r="AS238" s="57">
        <v>13.43</v>
      </c>
      <c r="AT238" s="56">
        <v>0</v>
      </c>
      <c r="AU238" s="57">
        <v>0</v>
      </c>
      <c r="AV238" s="56">
        <v>55.008953094482401</v>
      </c>
      <c r="AW238" s="57">
        <v>0</v>
      </c>
      <c r="AX238" s="8"/>
      <c r="AZ238" s="1">
        <v>90</v>
      </c>
    </row>
    <row r="239" spans="3:52" ht="15" customHeight="1" x14ac:dyDescent="0.25">
      <c r="C239" s="42"/>
      <c r="D239" s="43">
        <f>D232</f>
        <v>45707</v>
      </c>
      <c r="E239" s="44">
        <f t="shared" si="23"/>
        <v>18.833333333333336</v>
      </c>
      <c r="F239" s="45">
        <f t="shared" si="21"/>
        <v>45707.833333333874</v>
      </c>
      <c r="G239" s="52">
        <v>42</v>
      </c>
      <c r="H239" s="53">
        <v>39</v>
      </c>
      <c r="I239" s="54">
        <v>9.5</v>
      </c>
      <c r="J239" s="54">
        <v>150</v>
      </c>
      <c r="K239" s="55">
        <v>7.1</v>
      </c>
      <c r="L239" s="56">
        <v>39</v>
      </c>
      <c r="M239" s="54">
        <v>9.5</v>
      </c>
      <c r="N239" s="54">
        <v>200</v>
      </c>
      <c r="O239" s="57">
        <v>6.8</v>
      </c>
      <c r="P239" s="53">
        <v>0</v>
      </c>
      <c r="Q239" s="54">
        <v>0</v>
      </c>
      <c r="R239" s="55">
        <v>0</v>
      </c>
      <c r="S239" s="55">
        <v>0</v>
      </c>
      <c r="T239" s="57">
        <v>0</v>
      </c>
      <c r="U239" s="56">
        <v>40</v>
      </c>
      <c r="V239" s="54">
        <v>9.9</v>
      </c>
      <c r="W239" s="55">
        <v>0</v>
      </c>
      <c r="X239" s="55">
        <v>6.7</v>
      </c>
      <c r="Y239" s="57">
        <v>15.38</v>
      </c>
      <c r="Z239" s="53">
        <v>0</v>
      </c>
      <c r="AA239" s="54">
        <v>0</v>
      </c>
      <c r="AB239" s="55">
        <v>0</v>
      </c>
      <c r="AC239" s="55">
        <v>0</v>
      </c>
      <c r="AD239" s="57">
        <v>0</v>
      </c>
      <c r="AE239" s="56">
        <v>38</v>
      </c>
      <c r="AF239" s="54">
        <v>9.9</v>
      </c>
      <c r="AG239" s="55">
        <v>0</v>
      </c>
      <c r="AH239" s="55">
        <v>6.5</v>
      </c>
      <c r="AI239" s="57">
        <v>15.38</v>
      </c>
      <c r="AJ239" s="56">
        <v>36</v>
      </c>
      <c r="AK239" s="54">
        <v>10.1</v>
      </c>
      <c r="AL239" s="54">
        <v>0</v>
      </c>
      <c r="AM239" s="54">
        <v>6.4</v>
      </c>
      <c r="AN239" s="57">
        <v>13.46</v>
      </c>
      <c r="AO239" s="53">
        <v>33</v>
      </c>
      <c r="AP239" s="54">
        <v>10.3</v>
      </c>
      <c r="AQ239" s="54">
        <v>140</v>
      </c>
      <c r="AR239" s="54">
        <v>5.4</v>
      </c>
      <c r="AS239" s="57">
        <v>12.88</v>
      </c>
      <c r="AT239" s="56">
        <v>29</v>
      </c>
      <c r="AU239" s="57">
        <v>90</v>
      </c>
      <c r="AV239" s="56">
        <v>54.927570343017599</v>
      </c>
      <c r="AW239" s="57">
        <v>0</v>
      </c>
      <c r="AX239" s="8"/>
      <c r="AZ239" s="1">
        <v>90</v>
      </c>
    </row>
    <row r="240" spans="3:52" ht="15" customHeight="1" x14ac:dyDescent="0.25">
      <c r="C240" s="42"/>
      <c r="D240" s="43">
        <f>D232</f>
        <v>45707</v>
      </c>
      <c r="E240" s="44">
        <f t="shared" si="23"/>
        <v>18.916666666666668</v>
      </c>
      <c r="F240" s="45">
        <f t="shared" si="21"/>
        <v>45707.91666666721</v>
      </c>
      <c r="G240" s="52">
        <v>42</v>
      </c>
      <c r="H240" s="53">
        <v>39</v>
      </c>
      <c r="I240" s="54">
        <v>9.5</v>
      </c>
      <c r="J240" s="54">
        <v>150</v>
      </c>
      <c r="K240" s="55">
        <v>7.1</v>
      </c>
      <c r="L240" s="56">
        <v>39</v>
      </c>
      <c r="M240" s="54">
        <v>9.5</v>
      </c>
      <c r="N240" s="54">
        <v>200</v>
      </c>
      <c r="O240" s="57">
        <v>6.8</v>
      </c>
      <c r="P240" s="53">
        <v>0</v>
      </c>
      <c r="Q240" s="54">
        <v>0</v>
      </c>
      <c r="R240" s="55">
        <v>0</v>
      </c>
      <c r="S240" s="55">
        <v>0</v>
      </c>
      <c r="T240" s="57">
        <v>0</v>
      </c>
      <c r="U240" s="56">
        <v>40</v>
      </c>
      <c r="V240" s="54">
        <v>9.9</v>
      </c>
      <c r="W240" s="55">
        <v>0</v>
      </c>
      <c r="X240" s="55">
        <v>6.7</v>
      </c>
      <c r="Y240" s="57">
        <v>15.38</v>
      </c>
      <c r="Z240" s="53">
        <v>0</v>
      </c>
      <c r="AA240" s="54">
        <v>0</v>
      </c>
      <c r="AB240" s="55">
        <v>0</v>
      </c>
      <c r="AC240" s="55">
        <v>0</v>
      </c>
      <c r="AD240" s="57">
        <v>0</v>
      </c>
      <c r="AE240" s="56">
        <v>38</v>
      </c>
      <c r="AF240" s="54">
        <v>9.9</v>
      </c>
      <c r="AG240" s="55">
        <v>0</v>
      </c>
      <c r="AH240" s="55">
        <v>6.5</v>
      </c>
      <c r="AI240" s="57">
        <v>15.38</v>
      </c>
      <c r="AJ240" s="56">
        <v>36</v>
      </c>
      <c r="AK240" s="54">
        <v>10.1</v>
      </c>
      <c r="AL240" s="54">
        <v>0</v>
      </c>
      <c r="AM240" s="54">
        <v>6.4</v>
      </c>
      <c r="AN240" s="57">
        <v>13.46</v>
      </c>
      <c r="AO240" s="53">
        <v>33</v>
      </c>
      <c r="AP240" s="54">
        <v>10.3</v>
      </c>
      <c r="AQ240" s="54">
        <v>140</v>
      </c>
      <c r="AR240" s="54">
        <v>5.4</v>
      </c>
      <c r="AS240" s="57">
        <v>12.88</v>
      </c>
      <c r="AT240" s="56">
        <v>29</v>
      </c>
      <c r="AU240" s="57">
        <v>90</v>
      </c>
      <c r="AV240" s="56">
        <v>54.915363311767599</v>
      </c>
      <c r="AW240" s="57">
        <v>0</v>
      </c>
      <c r="AX240" s="8"/>
      <c r="AZ240" s="1">
        <v>90</v>
      </c>
    </row>
    <row r="241" spans="3:52" ht="15" customHeight="1" x14ac:dyDescent="0.25">
      <c r="C241" s="42"/>
      <c r="D241" s="43">
        <f>D232</f>
        <v>45707</v>
      </c>
      <c r="E241" s="44">
        <f t="shared" si="23"/>
        <v>19</v>
      </c>
      <c r="F241" s="45">
        <f t="shared" si="21"/>
        <v>45708.000000000546</v>
      </c>
      <c r="G241" s="52">
        <v>43</v>
      </c>
      <c r="H241" s="53">
        <v>39</v>
      </c>
      <c r="I241" s="54">
        <v>9.5</v>
      </c>
      <c r="J241" s="54">
        <v>150</v>
      </c>
      <c r="K241" s="55">
        <v>7.2</v>
      </c>
      <c r="L241" s="56">
        <v>39</v>
      </c>
      <c r="M241" s="54">
        <v>9.5</v>
      </c>
      <c r="N241" s="54">
        <v>150</v>
      </c>
      <c r="O241" s="57">
        <v>6.7</v>
      </c>
      <c r="P241" s="53">
        <v>0</v>
      </c>
      <c r="Q241" s="54">
        <v>0</v>
      </c>
      <c r="R241" s="55">
        <v>0</v>
      </c>
      <c r="S241" s="55">
        <v>0</v>
      </c>
      <c r="T241" s="57">
        <v>0</v>
      </c>
      <c r="U241" s="56">
        <v>39</v>
      </c>
      <c r="V241" s="54">
        <v>9.9</v>
      </c>
      <c r="W241" s="55">
        <v>0</v>
      </c>
      <c r="X241" s="55">
        <v>6.7</v>
      </c>
      <c r="Y241" s="57">
        <v>15.38</v>
      </c>
      <c r="Z241" s="53">
        <v>0</v>
      </c>
      <c r="AA241" s="54">
        <v>0</v>
      </c>
      <c r="AB241" s="55">
        <v>0</v>
      </c>
      <c r="AC241" s="55">
        <v>0</v>
      </c>
      <c r="AD241" s="57">
        <v>0</v>
      </c>
      <c r="AE241" s="56">
        <v>38</v>
      </c>
      <c r="AF241" s="54">
        <v>9.9</v>
      </c>
      <c r="AG241" s="55">
        <v>0</v>
      </c>
      <c r="AH241" s="55">
        <v>6.4</v>
      </c>
      <c r="AI241" s="57">
        <v>15.38</v>
      </c>
      <c r="AJ241" s="56">
        <v>36</v>
      </c>
      <c r="AK241" s="54">
        <v>10.1</v>
      </c>
      <c r="AL241" s="54">
        <v>0</v>
      </c>
      <c r="AM241" s="54">
        <v>6.3</v>
      </c>
      <c r="AN241" s="57">
        <v>13.46</v>
      </c>
      <c r="AO241" s="53">
        <v>33</v>
      </c>
      <c r="AP241" s="54">
        <v>10.3</v>
      </c>
      <c r="AQ241" s="54">
        <v>140</v>
      </c>
      <c r="AR241" s="54">
        <v>5.3</v>
      </c>
      <c r="AS241" s="57">
        <v>12.88</v>
      </c>
      <c r="AT241" s="56">
        <v>29</v>
      </c>
      <c r="AU241" s="57">
        <v>80</v>
      </c>
      <c r="AV241" s="56">
        <v>54.842121124267599</v>
      </c>
      <c r="AW241" s="57">
        <v>0</v>
      </c>
      <c r="AX241" s="8"/>
      <c r="AZ241" s="1">
        <v>90</v>
      </c>
    </row>
    <row r="242" spans="3:52" ht="15" customHeight="1" x14ac:dyDescent="0.25">
      <c r="C242" s="42"/>
      <c r="D242" s="43">
        <f>D232</f>
        <v>45707</v>
      </c>
      <c r="E242" s="44">
        <f t="shared" si="23"/>
        <v>19.083333333333332</v>
      </c>
      <c r="F242" s="45">
        <f t="shared" si="21"/>
        <v>45708.083333333881</v>
      </c>
      <c r="G242" s="52">
        <v>43</v>
      </c>
      <c r="H242" s="53">
        <v>40</v>
      </c>
      <c r="I242" s="54">
        <v>9.6999999999999993</v>
      </c>
      <c r="J242" s="54">
        <v>150</v>
      </c>
      <c r="K242" s="55">
        <v>6.8</v>
      </c>
      <c r="L242" s="56">
        <v>40</v>
      </c>
      <c r="M242" s="54">
        <v>9.6999999999999993</v>
      </c>
      <c r="N242" s="54">
        <v>150</v>
      </c>
      <c r="O242" s="57">
        <v>6.9</v>
      </c>
      <c r="P242" s="53">
        <v>0</v>
      </c>
      <c r="Q242" s="54">
        <v>0</v>
      </c>
      <c r="R242" s="55">
        <v>0</v>
      </c>
      <c r="S242" s="55">
        <v>0</v>
      </c>
      <c r="T242" s="57">
        <v>0</v>
      </c>
      <c r="U242" s="56">
        <v>40</v>
      </c>
      <c r="V242" s="54">
        <v>9.9</v>
      </c>
      <c r="W242" s="55">
        <v>0</v>
      </c>
      <c r="X242" s="55">
        <v>6.5</v>
      </c>
      <c r="Y242" s="57">
        <v>15.96</v>
      </c>
      <c r="Z242" s="53">
        <v>0</v>
      </c>
      <c r="AA242" s="54">
        <v>0</v>
      </c>
      <c r="AB242" s="55">
        <v>0</v>
      </c>
      <c r="AC242" s="55">
        <v>0</v>
      </c>
      <c r="AD242" s="57">
        <v>0</v>
      </c>
      <c r="AE242" s="56">
        <v>38</v>
      </c>
      <c r="AF242" s="54">
        <v>9.9</v>
      </c>
      <c r="AG242" s="55">
        <v>0</v>
      </c>
      <c r="AH242" s="55">
        <v>6.5</v>
      </c>
      <c r="AI242" s="57">
        <v>16.34</v>
      </c>
      <c r="AJ242" s="56">
        <v>37</v>
      </c>
      <c r="AK242" s="54">
        <v>10.1</v>
      </c>
      <c r="AL242" s="54">
        <v>0</v>
      </c>
      <c r="AM242" s="54">
        <v>6.7</v>
      </c>
      <c r="AN242" s="57">
        <v>13.84</v>
      </c>
      <c r="AO242" s="53">
        <v>35</v>
      </c>
      <c r="AP242" s="54">
        <v>10.3</v>
      </c>
      <c r="AQ242" s="54">
        <v>130</v>
      </c>
      <c r="AR242" s="54">
        <v>5.4</v>
      </c>
      <c r="AS242" s="57">
        <v>13.26</v>
      </c>
      <c r="AT242" s="56">
        <v>30</v>
      </c>
      <c r="AU242" s="57">
        <v>80</v>
      </c>
      <c r="AV242" s="56">
        <v>54.84619140625</v>
      </c>
      <c r="AW242" s="57">
        <v>0</v>
      </c>
      <c r="AX242" s="8"/>
      <c r="AZ242" s="1">
        <v>90</v>
      </c>
    </row>
    <row r="243" spans="3:52" ht="15" customHeight="1" x14ac:dyDescent="0.25">
      <c r="C243" s="42"/>
      <c r="D243" s="69">
        <f>D232</f>
        <v>45707</v>
      </c>
      <c r="E243" s="70">
        <f t="shared" si="23"/>
        <v>19.166666666666664</v>
      </c>
      <c r="F243" s="71">
        <f t="shared" si="21"/>
        <v>45708.166666667217</v>
      </c>
      <c r="G243" s="60">
        <v>43</v>
      </c>
      <c r="H243" s="61">
        <v>40</v>
      </c>
      <c r="I243" s="62">
        <v>9.9</v>
      </c>
      <c r="J243" s="62">
        <v>200</v>
      </c>
      <c r="K243" s="63">
        <v>6.7</v>
      </c>
      <c r="L243" s="64">
        <v>39</v>
      </c>
      <c r="M243" s="62">
        <v>9.9</v>
      </c>
      <c r="N243" s="62">
        <v>150</v>
      </c>
      <c r="O243" s="65">
        <v>6.7</v>
      </c>
      <c r="P243" s="61">
        <v>0</v>
      </c>
      <c r="Q243" s="62">
        <v>0</v>
      </c>
      <c r="R243" s="63">
        <v>0</v>
      </c>
      <c r="S243" s="63">
        <v>0</v>
      </c>
      <c r="T243" s="65">
        <v>0</v>
      </c>
      <c r="U243" s="64">
        <v>40</v>
      </c>
      <c r="V243" s="62">
        <v>9.9</v>
      </c>
      <c r="W243" s="63">
        <v>0</v>
      </c>
      <c r="X243" s="63">
        <v>6.7</v>
      </c>
      <c r="Y243" s="65">
        <v>16.36</v>
      </c>
      <c r="Z243" s="61">
        <v>0</v>
      </c>
      <c r="AA243" s="62">
        <v>0</v>
      </c>
      <c r="AB243" s="63">
        <v>0</v>
      </c>
      <c r="AC243" s="63">
        <v>0</v>
      </c>
      <c r="AD243" s="65">
        <v>0</v>
      </c>
      <c r="AE243" s="64">
        <v>40</v>
      </c>
      <c r="AF243" s="62">
        <v>9.9</v>
      </c>
      <c r="AG243" s="63">
        <v>0</v>
      </c>
      <c r="AH243" s="63">
        <v>6.8</v>
      </c>
      <c r="AI243" s="65">
        <v>15.76</v>
      </c>
      <c r="AJ243" s="64">
        <v>38</v>
      </c>
      <c r="AK243" s="62">
        <v>10</v>
      </c>
      <c r="AL243" s="62">
        <v>0</v>
      </c>
      <c r="AM243" s="62">
        <v>6.2</v>
      </c>
      <c r="AN243" s="65">
        <v>12.5</v>
      </c>
      <c r="AO243" s="61">
        <v>39</v>
      </c>
      <c r="AP243" s="62">
        <v>10.1</v>
      </c>
      <c r="AQ243" s="62">
        <v>110</v>
      </c>
      <c r="AR243" s="62">
        <v>5.2</v>
      </c>
      <c r="AS243" s="65">
        <v>13.46</v>
      </c>
      <c r="AT243" s="64">
        <v>30</v>
      </c>
      <c r="AU243" s="65">
        <v>80</v>
      </c>
      <c r="AV243" s="64">
        <v>54.939777374267599</v>
      </c>
      <c r="AW243" s="65">
        <v>0</v>
      </c>
      <c r="AX243" s="8"/>
      <c r="AZ243" s="1">
        <v>90</v>
      </c>
    </row>
    <row r="244" spans="3:52" ht="15" customHeight="1" x14ac:dyDescent="0.25">
      <c r="C244" s="42">
        <f>C232+1</f>
        <v>20</v>
      </c>
      <c r="D244" s="66">
        <f>DATE([2]Dash!$F$3,VLOOKUP([2]Dash!$E$3,[2]Abb!$C$3:$D$14,2,FALSE),C244)</f>
        <v>45708</v>
      </c>
      <c r="E244" s="67">
        <f>E243+2/24</f>
        <v>19.249999999999996</v>
      </c>
      <c r="F244" s="68">
        <f t="shared" si="21"/>
        <v>45708.250000000553</v>
      </c>
      <c r="G244" s="46">
        <v>43</v>
      </c>
      <c r="H244" s="47">
        <v>40</v>
      </c>
      <c r="I244" s="48">
        <v>10</v>
      </c>
      <c r="J244" s="48">
        <v>200</v>
      </c>
      <c r="K244" s="49">
        <v>6.8</v>
      </c>
      <c r="L244" s="50">
        <v>40</v>
      </c>
      <c r="M244" s="48">
        <v>10</v>
      </c>
      <c r="N244" s="48">
        <v>150</v>
      </c>
      <c r="O244" s="51">
        <v>6.8</v>
      </c>
      <c r="P244" s="47">
        <v>0</v>
      </c>
      <c r="Q244" s="48">
        <v>0</v>
      </c>
      <c r="R244" s="49">
        <v>0</v>
      </c>
      <c r="S244" s="49">
        <v>0</v>
      </c>
      <c r="T244" s="51">
        <v>0</v>
      </c>
      <c r="U244" s="50">
        <v>40</v>
      </c>
      <c r="V244" s="48">
        <v>10</v>
      </c>
      <c r="W244" s="49">
        <v>0</v>
      </c>
      <c r="X244" s="49">
        <v>6.7</v>
      </c>
      <c r="Y244" s="51">
        <v>15.38</v>
      </c>
      <c r="Z244" s="47">
        <v>0</v>
      </c>
      <c r="AA244" s="48">
        <v>0</v>
      </c>
      <c r="AB244" s="49">
        <v>0</v>
      </c>
      <c r="AC244" s="49">
        <v>0</v>
      </c>
      <c r="AD244" s="51">
        <v>0</v>
      </c>
      <c r="AE244" s="50">
        <v>40</v>
      </c>
      <c r="AF244" s="48">
        <v>10</v>
      </c>
      <c r="AG244" s="49">
        <v>0</v>
      </c>
      <c r="AH244" s="49">
        <v>6.8</v>
      </c>
      <c r="AI244" s="51">
        <v>15.38</v>
      </c>
      <c r="AJ244" s="50">
        <v>39</v>
      </c>
      <c r="AK244" s="48">
        <v>10</v>
      </c>
      <c r="AL244" s="48">
        <v>0</v>
      </c>
      <c r="AM244" s="48">
        <v>6.4</v>
      </c>
      <c r="AN244" s="51">
        <v>13.84</v>
      </c>
      <c r="AO244" s="47">
        <v>39</v>
      </c>
      <c r="AP244" s="48">
        <v>10.1</v>
      </c>
      <c r="AQ244" s="48">
        <v>130</v>
      </c>
      <c r="AR244" s="48">
        <v>5.3</v>
      </c>
      <c r="AS244" s="51">
        <v>13.46</v>
      </c>
      <c r="AT244" s="50">
        <v>30</v>
      </c>
      <c r="AU244" s="51">
        <v>90</v>
      </c>
      <c r="AV244" s="50">
        <v>54.838054656982401</v>
      </c>
      <c r="AW244" s="51">
        <v>0</v>
      </c>
      <c r="AX244" s="8"/>
      <c r="AZ244" s="1">
        <v>90</v>
      </c>
    </row>
    <row r="245" spans="3:52" ht="15" customHeight="1" x14ac:dyDescent="0.25">
      <c r="C245" s="42"/>
      <c r="D245" s="43">
        <f>D244</f>
        <v>45708</v>
      </c>
      <c r="E245" s="44">
        <f>E244+2/24</f>
        <v>19.333333333333329</v>
      </c>
      <c r="F245" s="45">
        <f t="shared" si="21"/>
        <v>45708.333333333889</v>
      </c>
      <c r="G245" s="52">
        <v>43</v>
      </c>
      <c r="H245" s="53">
        <v>43</v>
      </c>
      <c r="I245" s="54">
        <v>10.9</v>
      </c>
      <c r="J245" s="54">
        <v>250</v>
      </c>
      <c r="K245" s="55">
        <v>6.1</v>
      </c>
      <c r="L245" s="56">
        <v>41</v>
      </c>
      <c r="M245" s="54">
        <v>9.4</v>
      </c>
      <c r="N245" s="54">
        <v>150</v>
      </c>
      <c r="O245" s="57">
        <v>6.2</v>
      </c>
      <c r="P245" s="53">
        <v>41</v>
      </c>
      <c r="Q245" s="54">
        <v>9.6</v>
      </c>
      <c r="R245" s="55">
        <v>0</v>
      </c>
      <c r="S245" s="55">
        <v>5.5</v>
      </c>
      <c r="T245" s="57">
        <v>14.42</v>
      </c>
      <c r="U245" s="56">
        <v>41</v>
      </c>
      <c r="V245" s="54">
        <v>9.5</v>
      </c>
      <c r="W245" s="55">
        <v>0</v>
      </c>
      <c r="X245" s="55">
        <v>5.8</v>
      </c>
      <c r="Y245" s="57">
        <v>15.76</v>
      </c>
      <c r="Z245" s="53">
        <v>41</v>
      </c>
      <c r="AA245" s="54">
        <v>9</v>
      </c>
      <c r="AB245" s="55">
        <v>0</v>
      </c>
      <c r="AC245" s="55">
        <v>5.7</v>
      </c>
      <c r="AD245" s="57">
        <v>14.42</v>
      </c>
      <c r="AE245" s="56">
        <v>40</v>
      </c>
      <c r="AF245" s="54">
        <v>9.5</v>
      </c>
      <c r="AG245" s="55">
        <v>0</v>
      </c>
      <c r="AH245" s="55">
        <v>6.1</v>
      </c>
      <c r="AI245" s="57">
        <v>15.76</v>
      </c>
      <c r="AJ245" s="56">
        <v>38</v>
      </c>
      <c r="AK245" s="54">
        <v>9.6999999999999993</v>
      </c>
      <c r="AL245" s="54">
        <v>0</v>
      </c>
      <c r="AM245" s="54">
        <v>5.5</v>
      </c>
      <c r="AN245" s="57">
        <v>13.46</v>
      </c>
      <c r="AO245" s="53">
        <v>37</v>
      </c>
      <c r="AP245" s="54">
        <v>9.9</v>
      </c>
      <c r="AQ245" s="54">
        <v>120</v>
      </c>
      <c r="AR245" s="54">
        <v>5.3</v>
      </c>
      <c r="AS245" s="57">
        <v>12.5</v>
      </c>
      <c r="AT245" s="56">
        <v>31</v>
      </c>
      <c r="AU245" s="57">
        <v>80</v>
      </c>
      <c r="AV245" s="56">
        <v>88.444007873535199</v>
      </c>
      <c r="AW245" s="57">
        <v>117.38859912554423</v>
      </c>
      <c r="AX245" s="8"/>
      <c r="AZ245" s="1">
        <v>90</v>
      </c>
    </row>
    <row r="246" spans="3:52" ht="15" customHeight="1" x14ac:dyDescent="0.25">
      <c r="C246" s="42"/>
      <c r="D246" s="43">
        <f>D244</f>
        <v>45708</v>
      </c>
      <c r="E246" s="44">
        <f t="shared" ref="E246:E255" si="24">E245+2/24</f>
        <v>19.416666666666661</v>
      </c>
      <c r="F246" s="45">
        <f t="shared" si="21"/>
        <v>45708.416666667224</v>
      </c>
      <c r="G246" s="52">
        <v>42</v>
      </c>
      <c r="H246" s="53">
        <v>42</v>
      </c>
      <c r="I246" s="54">
        <v>10.6</v>
      </c>
      <c r="J246" s="54">
        <v>250</v>
      </c>
      <c r="K246" s="55">
        <v>6</v>
      </c>
      <c r="L246" s="56">
        <v>40</v>
      </c>
      <c r="M246" s="54">
        <v>10.199999999999999</v>
      </c>
      <c r="N246" s="54">
        <v>300</v>
      </c>
      <c r="O246" s="57">
        <v>6.3</v>
      </c>
      <c r="P246" s="53">
        <v>0</v>
      </c>
      <c r="Q246" s="54">
        <v>0</v>
      </c>
      <c r="R246" s="55">
        <v>0</v>
      </c>
      <c r="S246" s="55">
        <v>0</v>
      </c>
      <c r="T246" s="57">
        <v>0</v>
      </c>
      <c r="U246" s="56">
        <v>41</v>
      </c>
      <c r="V246" s="54">
        <v>9.4</v>
      </c>
      <c r="W246" s="55">
        <v>0</v>
      </c>
      <c r="X246" s="55">
        <v>5.6</v>
      </c>
      <c r="Y246" s="57">
        <v>15.38</v>
      </c>
      <c r="Z246" s="53">
        <v>39</v>
      </c>
      <c r="AA246" s="54">
        <v>9</v>
      </c>
      <c r="AB246" s="55">
        <v>0</v>
      </c>
      <c r="AC246" s="55">
        <v>5.9</v>
      </c>
      <c r="AD246" s="57">
        <v>15</v>
      </c>
      <c r="AE246" s="56">
        <v>40</v>
      </c>
      <c r="AF246" s="54">
        <v>9.4</v>
      </c>
      <c r="AG246" s="55">
        <v>0</v>
      </c>
      <c r="AH246" s="55">
        <v>6</v>
      </c>
      <c r="AI246" s="57">
        <v>15</v>
      </c>
      <c r="AJ246" s="56">
        <v>39</v>
      </c>
      <c r="AK246" s="54">
        <v>9.5</v>
      </c>
      <c r="AL246" s="54">
        <v>0</v>
      </c>
      <c r="AM246" s="54">
        <v>5.0999999999999996</v>
      </c>
      <c r="AN246" s="57">
        <v>13.65</v>
      </c>
      <c r="AO246" s="53">
        <v>40</v>
      </c>
      <c r="AP246" s="54">
        <v>9.6999999999999993</v>
      </c>
      <c r="AQ246" s="54">
        <v>130</v>
      </c>
      <c r="AR246" s="54">
        <v>5.7</v>
      </c>
      <c r="AS246" s="57">
        <v>12.88</v>
      </c>
      <c r="AT246" s="56">
        <v>31</v>
      </c>
      <c r="AU246" s="57">
        <v>80</v>
      </c>
      <c r="AV246" s="56">
        <v>92.606605529785199</v>
      </c>
      <c r="AW246" s="57">
        <v>37.359784754117328</v>
      </c>
      <c r="AX246" s="8"/>
      <c r="AZ246" s="1">
        <v>90</v>
      </c>
    </row>
    <row r="247" spans="3:52" ht="15" customHeight="1" x14ac:dyDescent="0.25">
      <c r="C247" s="42"/>
      <c r="D247" s="43">
        <f>D244</f>
        <v>45708</v>
      </c>
      <c r="E247" s="44">
        <f t="shared" si="24"/>
        <v>19.499999999999993</v>
      </c>
      <c r="F247" s="45">
        <f t="shared" si="21"/>
        <v>45708.50000000056</v>
      </c>
      <c r="G247" s="52">
        <v>40</v>
      </c>
      <c r="H247" s="53">
        <v>42</v>
      </c>
      <c r="I247" s="54">
        <v>9.9</v>
      </c>
      <c r="J247" s="54">
        <v>300</v>
      </c>
      <c r="K247" s="55">
        <v>6</v>
      </c>
      <c r="L247" s="56">
        <v>43</v>
      </c>
      <c r="M247" s="54">
        <v>10</v>
      </c>
      <c r="N247" s="54">
        <v>300</v>
      </c>
      <c r="O247" s="57">
        <v>6.5</v>
      </c>
      <c r="P247" s="53">
        <v>0</v>
      </c>
      <c r="Q247" s="54">
        <v>0</v>
      </c>
      <c r="R247" s="55">
        <v>0</v>
      </c>
      <c r="S247" s="55">
        <v>0</v>
      </c>
      <c r="T247" s="57">
        <v>0</v>
      </c>
      <c r="U247" s="56">
        <v>40</v>
      </c>
      <c r="V247" s="54">
        <v>9.5</v>
      </c>
      <c r="W247" s="55">
        <v>0</v>
      </c>
      <c r="X247" s="55">
        <v>5.7</v>
      </c>
      <c r="Y247" s="57">
        <v>15.76</v>
      </c>
      <c r="Z247" s="53">
        <v>39</v>
      </c>
      <c r="AA247" s="54">
        <v>9</v>
      </c>
      <c r="AB247" s="55">
        <v>0</v>
      </c>
      <c r="AC247" s="55">
        <v>5.9</v>
      </c>
      <c r="AD247" s="57">
        <v>14.42</v>
      </c>
      <c r="AE247" s="56">
        <v>41</v>
      </c>
      <c r="AF247" s="54">
        <v>9.4</v>
      </c>
      <c r="AG247" s="55">
        <v>0</v>
      </c>
      <c r="AH247" s="55">
        <v>6.1</v>
      </c>
      <c r="AI247" s="57">
        <v>15</v>
      </c>
      <c r="AJ247" s="56">
        <v>38</v>
      </c>
      <c r="AK247" s="54">
        <v>9.6</v>
      </c>
      <c r="AL247" s="54">
        <v>0</v>
      </c>
      <c r="AM247" s="54">
        <v>5.3</v>
      </c>
      <c r="AN247" s="57">
        <v>13.46</v>
      </c>
      <c r="AO247" s="53">
        <v>40</v>
      </c>
      <c r="AP247" s="54">
        <v>9.5</v>
      </c>
      <c r="AQ247" s="54">
        <v>130</v>
      </c>
      <c r="AR247" s="54">
        <v>5.5</v>
      </c>
      <c r="AS247" s="57">
        <v>12.88</v>
      </c>
      <c r="AT247" s="56">
        <v>33</v>
      </c>
      <c r="AU247" s="57">
        <v>90</v>
      </c>
      <c r="AV247" s="56">
        <v>63.6962890625</v>
      </c>
      <c r="AW247" s="57">
        <v>312.81177636170759</v>
      </c>
      <c r="AX247" s="8"/>
      <c r="AZ247" s="1">
        <v>90</v>
      </c>
    </row>
    <row r="248" spans="3:52" ht="15" customHeight="1" x14ac:dyDescent="0.25">
      <c r="C248" s="42"/>
      <c r="D248" s="43">
        <f>D244</f>
        <v>45708</v>
      </c>
      <c r="E248" s="44">
        <f t="shared" si="24"/>
        <v>19.583333333333325</v>
      </c>
      <c r="F248" s="45">
        <f t="shared" si="21"/>
        <v>45708.583333333896</v>
      </c>
      <c r="G248" s="52">
        <v>41</v>
      </c>
      <c r="H248" s="53">
        <v>42</v>
      </c>
      <c r="I248" s="54">
        <v>9.6999999999999993</v>
      </c>
      <c r="J248" s="54">
        <v>300</v>
      </c>
      <c r="K248" s="55">
        <v>6.1</v>
      </c>
      <c r="L248" s="56">
        <v>40</v>
      </c>
      <c r="M248" s="54">
        <v>10</v>
      </c>
      <c r="N248" s="54">
        <v>200</v>
      </c>
      <c r="O248" s="57">
        <v>5.6</v>
      </c>
      <c r="P248" s="53">
        <v>0</v>
      </c>
      <c r="Q248" s="54">
        <v>0</v>
      </c>
      <c r="R248" s="55">
        <v>0</v>
      </c>
      <c r="S248" s="55">
        <v>0</v>
      </c>
      <c r="T248" s="57">
        <v>0</v>
      </c>
      <c r="U248" s="56">
        <v>41</v>
      </c>
      <c r="V248" s="54">
        <v>9.9</v>
      </c>
      <c r="W248" s="55">
        <v>0</v>
      </c>
      <c r="X248" s="55">
        <v>5.7</v>
      </c>
      <c r="Y248" s="57">
        <v>18.260000000000002</v>
      </c>
      <c r="Z248" s="53">
        <v>39</v>
      </c>
      <c r="AA248" s="54">
        <v>9.8000000000000007</v>
      </c>
      <c r="AB248" s="55">
        <v>0</v>
      </c>
      <c r="AC248" s="55">
        <v>5.7</v>
      </c>
      <c r="AD248" s="57">
        <v>14.42</v>
      </c>
      <c r="AE248" s="56">
        <v>39</v>
      </c>
      <c r="AF248" s="54">
        <v>9.6</v>
      </c>
      <c r="AG248" s="55">
        <v>0</v>
      </c>
      <c r="AH248" s="55">
        <v>6.3</v>
      </c>
      <c r="AI248" s="57">
        <v>14.42</v>
      </c>
      <c r="AJ248" s="56">
        <v>38</v>
      </c>
      <c r="AK248" s="54">
        <v>9.5</v>
      </c>
      <c r="AL248" s="54">
        <v>0</v>
      </c>
      <c r="AM248" s="54">
        <v>5.3</v>
      </c>
      <c r="AN248" s="57">
        <v>14.42</v>
      </c>
      <c r="AO248" s="53">
        <v>39</v>
      </c>
      <c r="AP248" s="54">
        <v>9.6</v>
      </c>
      <c r="AQ248" s="54">
        <v>110</v>
      </c>
      <c r="AR248" s="54">
        <v>5.3</v>
      </c>
      <c r="AS248" s="57">
        <v>12.5</v>
      </c>
      <c r="AT248" s="56">
        <v>31</v>
      </c>
      <c r="AU248" s="57">
        <v>80</v>
      </c>
      <c r="AV248" s="56">
        <v>91.58935546875</v>
      </c>
      <c r="AW248" s="57">
        <v>329.96660479741792</v>
      </c>
      <c r="AX248" s="8"/>
      <c r="AZ248" s="1">
        <v>90</v>
      </c>
    </row>
    <row r="249" spans="3:52" ht="15" customHeight="1" x14ac:dyDescent="0.25">
      <c r="C249" s="42"/>
      <c r="D249" s="43">
        <f>D244</f>
        <v>45708</v>
      </c>
      <c r="E249" s="44">
        <f t="shared" si="24"/>
        <v>19.666666666666657</v>
      </c>
      <c r="F249" s="45">
        <f t="shared" si="21"/>
        <v>45708.666666667232</v>
      </c>
      <c r="G249" s="52">
        <v>0</v>
      </c>
      <c r="H249" s="53">
        <v>42</v>
      </c>
      <c r="I249" s="54">
        <v>10.1</v>
      </c>
      <c r="J249" s="54">
        <v>250</v>
      </c>
      <c r="K249" s="55">
        <v>6</v>
      </c>
      <c r="L249" s="56">
        <v>42</v>
      </c>
      <c r="M249" s="54">
        <v>10</v>
      </c>
      <c r="N249" s="54">
        <v>200</v>
      </c>
      <c r="O249" s="57">
        <v>5.9</v>
      </c>
      <c r="P249" s="53">
        <v>0</v>
      </c>
      <c r="Q249" s="54">
        <v>0</v>
      </c>
      <c r="R249" s="55">
        <v>0</v>
      </c>
      <c r="S249" s="55">
        <v>0</v>
      </c>
      <c r="T249" s="57">
        <v>0</v>
      </c>
      <c r="U249" s="56">
        <v>42</v>
      </c>
      <c r="V249" s="54">
        <v>9.9</v>
      </c>
      <c r="W249" s="55">
        <v>0</v>
      </c>
      <c r="X249" s="55">
        <v>5.9</v>
      </c>
      <c r="Y249" s="57">
        <v>18.260000000000002</v>
      </c>
      <c r="Z249" s="53">
        <v>41</v>
      </c>
      <c r="AA249" s="54">
        <v>9.6999999999999993</v>
      </c>
      <c r="AB249" s="55">
        <v>0</v>
      </c>
      <c r="AC249" s="55">
        <v>5.7</v>
      </c>
      <c r="AD249" s="57">
        <v>14.42</v>
      </c>
      <c r="AE249" s="56">
        <v>41</v>
      </c>
      <c r="AF249" s="54">
        <v>9.6999999999999993</v>
      </c>
      <c r="AG249" s="55">
        <v>0</v>
      </c>
      <c r="AH249" s="55">
        <v>5.7</v>
      </c>
      <c r="AI249" s="57">
        <v>16.34</v>
      </c>
      <c r="AJ249" s="56">
        <v>39</v>
      </c>
      <c r="AK249" s="54">
        <v>9.5</v>
      </c>
      <c r="AL249" s="54">
        <v>0</v>
      </c>
      <c r="AM249" s="54">
        <v>5.6</v>
      </c>
      <c r="AN249" s="57">
        <v>13.84</v>
      </c>
      <c r="AO249" s="53">
        <v>39</v>
      </c>
      <c r="AP249" s="54">
        <v>9.5</v>
      </c>
      <c r="AQ249" s="54">
        <v>130</v>
      </c>
      <c r="AR249" s="54">
        <v>5.8</v>
      </c>
      <c r="AS249" s="57">
        <v>12.5</v>
      </c>
      <c r="AT249" s="56">
        <v>0</v>
      </c>
      <c r="AU249" s="57">
        <v>0</v>
      </c>
      <c r="AV249" s="56">
        <v>94.66552734375</v>
      </c>
      <c r="AW249" s="57">
        <v>285.17481699076018</v>
      </c>
      <c r="AX249" s="8"/>
      <c r="AZ249" s="1">
        <v>90</v>
      </c>
    </row>
    <row r="250" spans="3:52" ht="15" customHeight="1" x14ac:dyDescent="0.25">
      <c r="C250" s="42"/>
      <c r="D250" s="43">
        <f>D244</f>
        <v>45708</v>
      </c>
      <c r="E250" s="44">
        <f t="shared" si="24"/>
        <v>19.749999999999989</v>
      </c>
      <c r="F250" s="45">
        <f t="shared" si="21"/>
        <v>45708.750000000568</v>
      </c>
      <c r="G250" s="52">
        <v>0</v>
      </c>
      <c r="H250" s="53">
        <v>40</v>
      </c>
      <c r="I250" s="54">
        <v>10.1</v>
      </c>
      <c r="J250" s="54">
        <v>250</v>
      </c>
      <c r="K250" s="55">
        <v>6.1</v>
      </c>
      <c r="L250" s="56">
        <v>40</v>
      </c>
      <c r="M250" s="54">
        <v>10</v>
      </c>
      <c r="N250" s="54">
        <v>200</v>
      </c>
      <c r="O250" s="57">
        <v>5.7</v>
      </c>
      <c r="P250" s="53">
        <v>40</v>
      </c>
      <c r="Q250" s="54">
        <v>9.9</v>
      </c>
      <c r="R250" s="55">
        <v>0</v>
      </c>
      <c r="S250" s="55">
        <v>5.7</v>
      </c>
      <c r="T250" s="57">
        <v>14.82</v>
      </c>
      <c r="U250" s="56">
        <v>39</v>
      </c>
      <c r="V250" s="54">
        <v>9.9</v>
      </c>
      <c r="W250" s="55">
        <v>0</v>
      </c>
      <c r="X250" s="55">
        <v>5.7</v>
      </c>
      <c r="Y250" s="57">
        <v>18.260000000000002</v>
      </c>
      <c r="Z250" s="53">
        <v>40</v>
      </c>
      <c r="AA250" s="54">
        <v>9.6</v>
      </c>
      <c r="AB250" s="55">
        <v>0</v>
      </c>
      <c r="AC250" s="55">
        <v>5.5</v>
      </c>
      <c r="AD250" s="57">
        <v>14.42</v>
      </c>
      <c r="AE250" s="56">
        <v>39</v>
      </c>
      <c r="AF250" s="54">
        <v>9.6</v>
      </c>
      <c r="AG250" s="55">
        <v>0</v>
      </c>
      <c r="AH250" s="55">
        <v>5.8</v>
      </c>
      <c r="AI250" s="57">
        <v>16.34</v>
      </c>
      <c r="AJ250" s="56">
        <v>38</v>
      </c>
      <c r="AK250" s="54">
        <v>9.5</v>
      </c>
      <c r="AL250" s="54">
        <v>0</v>
      </c>
      <c r="AM250" s="54">
        <v>5.7</v>
      </c>
      <c r="AN250" s="57">
        <v>13.46</v>
      </c>
      <c r="AO250" s="53">
        <v>38</v>
      </c>
      <c r="AP250" s="54">
        <v>9.5</v>
      </c>
      <c r="AQ250" s="54">
        <v>120</v>
      </c>
      <c r="AR250" s="54">
        <v>5.3</v>
      </c>
      <c r="AS250" s="57">
        <v>12.5</v>
      </c>
      <c r="AT250" s="56">
        <v>0</v>
      </c>
      <c r="AU250" s="57">
        <v>0</v>
      </c>
      <c r="AV250" s="56">
        <v>94.82421875</v>
      </c>
      <c r="AW250" s="57">
        <v>271.92961549990963</v>
      </c>
      <c r="AX250" s="8"/>
      <c r="AZ250" s="1">
        <v>90</v>
      </c>
    </row>
    <row r="251" spans="3:52" ht="15" customHeight="1" x14ac:dyDescent="0.25">
      <c r="C251" s="42"/>
      <c r="D251" s="43">
        <f>D244</f>
        <v>45708</v>
      </c>
      <c r="E251" s="44">
        <f t="shared" si="24"/>
        <v>19.833333333333321</v>
      </c>
      <c r="F251" s="45">
        <f t="shared" si="21"/>
        <v>45708.833333333903</v>
      </c>
      <c r="G251" s="52">
        <v>42</v>
      </c>
      <c r="H251" s="53">
        <v>45</v>
      </c>
      <c r="I251" s="54">
        <v>10.9</v>
      </c>
      <c r="J251" s="54">
        <v>250</v>
      </c>
      <c r="K251" s="55">
        <v>6.1</v>
      </c>
      <c r="L251" s="56">
        <v>43</v>
      </c>
      <c r="M251" s="54">
        <v>10.5</v>
      </c>
      <c r="N251" s="54">
        <v>250</v>
      </c>
      <c r="O251" s="57">
        <v>6.5</v>
      </c>
      <c r="P251" s="53">
        <v>42</v>
      </c>
      <c r="Q251" s="54">
        <v>9.5</v>
      </c>
      <c r="R251" s="55">
        <v>0</v>
      </c>
      <c r="S251" s="55">
        <v>5.8</v>
      </c>
      <c r="T251" s="57">
        <v>12.5</v>
      </c>
      <c r="U251" s="56">
        <v>42</v>
      </c>
      <c r="V251" s="54">
        <v>9.8000000000000007</v>
      </c>
      <c r="W251" s="55">
        <v>0</v>
      </c>
      <c r="X251" s="55">
        <v>6.2</v>
      </c>
      <c r="Y251" s="57">
        <v>17.690000000000001</v>
      </c>
      <c r="Z251" s="53">
        <v>43</v>
      </c>
      <c r="AA251" s="54">
        <v>9.6999999999999993</v>
      </c>
      <c r="AB251" s="55">
        <v>0</v>
      </c>
      <c r="AC251" s="55">
        <v>5.9</v>
      </c>
      <c r="AD251" s="57">
        <v>12.5</v>
      </c>
      <c r="AE251" s="56">
        <v>41</v>
      </c>
      <c r="AF251" s="54">
        <v>9.6999999999999993</v>
      </c>
      <c r="AG251" s="55">
        <v>0</v>
      </c>
      <c r="AH251" s="55">
        <v>5.5</v>
      </c>
      <c r="AI251" s="57">
        <v>15</v>
      </c>
      <c r="AJ251" s="56">
        <v>39</v>
      </c>
      <c r="AK251" s="54">
        <v>9.6</v>
      </c>
      <c r="AL251" s="54">
        <v>0</v>
      </c>
      <c r="AM251" s="54">
        <v>5.2</v>
      </c>
      <c r="AN251" s="57">
        <v>11.73</v>
      </c>
      <c r="AO251" s="53">
        <v>41</v>
      </c>
      <c r="AP251" s="54">
        <v>9.6</v>
      </c>
      <c r="AQ251" s="54">
        <v>120</v>
      </c>
      <c r="AR251" s="54">
        <v>5.5</v>
      </c>
      <c r="AS251" s="57">
        <v>11.53</v>
      </c>
      <c r="AT251" s="56">
        <v>29</v>
      </c>
      <c r="AU251" s="57">
        <v>70</v>
      </c>
      <c r="AV251" s="56">
        <v>94.820144653320298</v>
      </c>
      <c r="AW251" s="57">
        <v>274.46240821586304</v>
      </c>
      <c r="AX251" s="8"/>
      <c r="AZ251" s="1">
        <v>90</v>
      </c>
    </row>
    <row r="252" spans="3:52" ht="15" customHeight="1" x14ac:dyDescent="0.25">
      <c r="C252" s="42"/>
      <c r="D252" s="43">
        <f>D244</f>
        <v>45708</v>
      </c>
      <c r="E252" s="44">
        <f t="shared" si="24"/>
        <v>19.916666666666654</v>
      </c>
      <c r="F252" s="45">
        <f t="shared" si="21"/>
        <v>45708.916666667239</v>
      </c>
      <c r="G252" s="52">
        <v>41</v>
      </c>
      <c r="H252" s="53">
        <v>43</v>
      </c>
      <c r="I252" s="54">
        <v>10.9</v>
      </c>
      <c r="J252" s="54">
        <v>250</v>
      </c>
      <c r="K252" s="55">
        <v>6.2</v>
      </c>
      <c r="L252" s="56">
        <v>42</v>
      </c>
      <c r="M252" s="54">
        <v>10.7</v>
      </c>
      <c r="N252" s="54">
        <v>250</v>
      </c>
      <c r="O252" s="57">
        <v>6.4</v>
      </c>
      <c r="P252" s="53">
        <v>42</v>
      </c>
      <c r="Q252" s="54">
        <v>9.6999999999999993</v>
      </c>
      <c r="R252" s="55">
        <v>0</v>
      </c>
      <c r="S252" s="55">
        <v>5.7</v>
      </c>
      <c r="T252" s="57">
        <v>12.5</v>
      </c>
      <c r="U252" s="56">
        <v>41</v>
      </c>
      <c r="V252" s="54">
        <v>9.9</v>
      </c>
      <c r="W252" s="55">
        <v>0</v>
      </c>
      <c r="X252" s="55">
        <v>6.8</v>
      </c>
      <c r="Y252" s="57">
        <v>18.07</v>
      </c>
      <c r="Z252" s="53">
        <v>42</v>
      </c>
      <c r="AA252" s="54">
        <v>9.6999999999999993</v>
      </c>
      <c r="AB252" s="55">
        <v>0</v>
      </c>
      <c r="AC252" s="55">
        <v>5.7</v>
      </c>
      <c r="AD252" s="57">
        <v>12.5</v>
      </c>
      <c r="AE252" s="56">
        <v>41</v>
      </c>
      <c r="AF252" s="54">
        <v>9.6999999999999993</v>
      </c>
      <c r="AG252" s="55">
        <v>0</v>
      </c>
      <c r="AH252" s="55">
        <v>5.3</v>
      </c>
      <c r="AI252" s="57">
        <v>15</v>
      </c>
      <c r="AJ252" s="56">
        <v>40</v>
      </c>
      <c r="AK252" s="54">
        <v>9.6999999999999993</v>
      </c>
      <c r="AL252" s="54">
        <v>0</v>
      </c>
      <c r="AM252" s="54">
        <v>5.3</v>
      </c>
      <c r="AN252" s="57">
        <v>12.3</v>
      </c>
      <c r="AO252" s="53">
        <v>40</v>
      </c>
      <c r="AP252" s="54">
        <v>9.6</v>
      </c>
      <c r="AQ252" s="54">
        <v>120</v>
      </c>
      <c r="AR252" s="54">
        <v>5.4</v>
      </c>
      <c r="AS252" s="57">
        <v>12.5</v>
      </c>
      <c r="AT252" s="56">
        <v>27</v>
      </c>
      <c r="AU252" s="57">
        <v>80</v>
      </c>
      <c r="AV252" s="56">
        <v>94.88525390625</v>
      </c>
      <c r="AW252" s="57">
        <v>277.40330822765827</v>
      </c>
      <c r="AX252" s="8"/>
      <c r="AZ252" s="1">
        <v>90</v>
      </c>
    </row>
    <row r="253" spans="3:52" ht="15" customHeight="1" x14ac:dyDescent="0.25">
      <c r="C253" s="42"/>
      <c r="D253" s="43">
        <f>D244</f>
        <v>45708</v>
      </c>
      <c r="E253" s="44">
        <f t="shared" si="24"/>
        <v>19.999999999999986</v>
      </c>
      <c r="F253" s="45">
        <f t="shared" si="21"/>
        <v>45709.000000000575</v>
      </c>
      <c r="G253" s="52">
        <v>40</v>
      </c>
      <c r="H253" s="53">
        <v>43</v>
      </c>
      <c r="I253" s="54">
        <v>10.9</v>
      </c>
      <c r="J253" s="54">
        <v>250</v>
      </c>
      <c r="K253" s="55">
        <v>6.4</v>
      </c>
      <c r="L253" s="56">
        <v>43</v>
      </c>
      <c r="M253" s="54">
        <v>10.8</v>
      </c>
      <c r="N253" s="54">
        <v>250</v>
      </c>
      <c r="O253" s="57">
        <v>6.2</v>
      </c>
      <c r="P253" s="53">
        <v>41</v>
      </c>
      <c r="Q253" s="54">
        <v>9.9</v>
      </c>
      <c r="R253" s="55">
        <v>0</v>
      </c>
      <c r="S253" s="55">
        <v>5.5</v>
      </c>
      <c r="T253" s="57">
        <v>12.5</v>
      </c>
      <c r="U253" s="56">
        <v>42</v>
      </c>
      <c r="V253" s="54">
        <v>9.9</v>
      </c>
      <c r="W253" s="55">
        <v>0</v>
      </c>
      <c r="X253" s="55">
        <v>5.8</v>
      </c>
      <c r="Y253" s="57">
        <v>17.3</v>
      </c>
      <c r="Z253" s="53">
        <v>41</v>
      </c>
      <c r="AA253" s="54">
        <v>9.9</v>
      </c>
      <c r="AB253" s="55">
        <v>0</v>
      </c>
      <c r="AC253" s="55">
        <v>5.4</v>
      </c>
      <c r="AD253" s="57">
        <v>13.46</v>
      </c>
      <c r="AE253" s="56">
        <v>40</v>
      </c>
      <c r="AF253" s="54">
        <v>9.8000000000000007</v>
      </c>
      <c r="AG253" s="55">
        <v>0</v>
      </c>
      <c r="AH253" s="55">
        <v>5.5</v>
      </c>
      <c r="AI253" s="57">
        <v>19</v>
      </c>
      <c r="AJ253" s="56">
        <v>40</v>
      </c>
      <c r="AK253" s="54">
        <v>9.9</v>
      </c>
      <c r="AL253" s="54">
        <v>0</v>
      </c>
      <c r="AM253" s="54">
        <v>5.0999999999999996</v>
      </c>
      <c r="AN253" s="57">
        <v>13.46</v>
      </c>
      <c r="AO253" s="53">
        <v>39</v>
      </c>
      <c r="AP253" s="54">
        <v>9.8000000000000007</v>
      </c>
      <c r="AQ253" s="54">
        <v>130</v>
      </c>
      <c r="AR253" s="54">
        <v>5.3</v>
      </c>
      <c r="AS253" s="57">
        <v>13.46</v>
      </c>
      <c r="AT253" s="56">
        <v>27</v>
      </c>
      <c r="AU253" s="57">
        <v>80</v>
      </c>
      <c r="AV253" s="56">
        <v>94.970703125</v>
      </c>
      <c r="AW253" s="57">
        <v>280.26427521416917</v>
      </c>
      <c r="AX253" s="8"/>
      <c r="AZ253" s="1">
        <v>90</v>
      </c>
    </row>
    <row r="254" spans="3:52" ht="15" customHeight="1" x14ac:dyDescent="0.25">
      <c r="C254" s="42"/>
      <c r="D254" s="43">
        <f>D244</f>
        <v>45708</v>
      </c>
      <c r="E254" s="44">
        <f t="shared" si="24"/>
        <v>20.083333333333318</v>
      </c>
      <c r="F254" s="45">
        <f t="shared" si="21"/>
        <v>45709.083333333911</v>
      </c>
      <c r="G254" s="52">
        <v>40</v>
      </c>
      <c r="H254" s="53">
        <v>42</v>
      </c>
      <c r="I254" s="54">
        <v>10.9</v>
      </c>
      <c r="J254" s="54">
        <v>300</v>
      </c>
      <c r="K254" s="55">
        <v>6.2</v>
      </c>
      <c r="L254" s="56">
        <v>41</v>
      </c>
      <c r="M254" s="54">
        <v>10.9</v>
      </c>
      <c r="N254" s="54">
        <v>300</v>
      </c>
      <c r="O254" s="57">
        <v>5.9</v>
      </c>
      <c r="P254" s="53">
        <v>40</v>
      </c>
      <c r="Q254" s="54">
        <v>10.5</v>
      </c>
      <c r="R254" s="55">
        <v>0</v>
      </c>
      <c r="S254" s="55">
        <v>5.3</v>
      </c>
      <c r="T254" s="57">
        <v>12.3</v>
      </c>
      <c r="U254" s="56">
        <v>39</v>
      </c>
      <c r="V254" s="54">
        <v>10.5</v>
      </c>
      <c r="W254" s="55">
        <v>0</v>
      </c>
      <c r="X254" s="55">
        <v>5.6</v>
      </c>
      <c r="Y254" s="57">
        <v>17.690000000000001</v>
      </c>
      <c r="Z254" s="53">
        <v>39</v>
      </c>
      <c r="AA254" s="54">
        <v>10.3</v>
      </c>
      <c r="AB254" s="55">
        <v>0</v>
      </c>
      <c r="AC254" s="55">
        <v>5.2</v>
      </c>
      <c r="AD254" s="57">
        <v>13.84</v>
      </c>
      <c r="AE254" s="56">
        <v>40</v>
      </c>
      <c r="AF254" s="54">
        <v>10.1</v>
      </c>
      <c r="AG254" s="55">
        <v>0</v>
      </c>
      <c r="AH254" s="55">
        <v>5.3</v>
      </c>
      <c r="AI254" s="57">
        <v>16.34</v>
      </c>
      <c r="AJ254" s="56">
        <v>38</v>
      </c>
      <c r="AK254" s="54">
        <v>9.9</v>
      </c>
      <c r="AL254" s="54">
        <v>0</v>
      </c>
      <c r="AM254" s="54">
        <v>5.4</v>
      </c>
      <c r="AN254" s="57">
        <v>13.26</v>
      </c>
      <c r="AO254" s="53">
        <v>38</v>
      </c>
      <c r="AP254" s="54">
        <v>9.9</v>
      </c>
      <c r="AQ254" s="54">
        <v>110</v>
      </c>
      <c r="AR254" s="54">
        <v>5.2</v>
      </c>
      <c r="AS254" s="57">
        <v>13.26</v>
      </c>
      <c r="AT254" s="56">
        <v>26</v>
      </c>
      <c r="AU254" s="57">
        <v>70</v>
      </c>
      <c r="AV254" s="56">
        <v>94.93408203125</v>
      </c>
      <c r="AW254" s="57">
        <v>283.64595380375783</v>
      </c>
      <c r="AX254" s="8"/>
      <c r="AZ254" s="1">
        <v>90</v>
      </c>
    </row>
    <row r="255" spans="3:52" ht="15" customHeight="1" x14ac:dyDescent="0.25">
      <c r="C255" s="42"/>
      <c r="D255" s="69">
        <f>D244</f>
        <v>45708</v>
      </c>
      <c r="E255" s="70">
        <f t="shared" si="24"/>
        <v>20.16666666666665</v>
      </c>
      <c r="F255" s="71">
        <f t="shared" si="21"/>
        <v>45709.166666667246</v>
      </c>
      <c r="G255" s="60">
        <v>39</v>
      </c>
      <c r="H255" s="61">
        <v>41</v>
      </c>
      <c r="I255" s="62">
        <v>10.9</v>
      </c>
      <c r="J255" s="62">
        <v>300</v>
      </c>
      <c r="K255" s="63">
        <v>5.9</v>
      </c>
      <c r="L255" s="64">
        <v>41</v>
      </c>
      <c r="M255" s="62">
        <v>10.8</v>
      </c>
      <c r="N255" s="62">
        <v>300</v>
      </c>
      <c r="O255" s="65">
        <v>5.7</v>
      </c>
      <c r="P255" s="61">
        <v>40</v>
      </c>
      <c r="Q255" s="62">
        <v>10.6</v>
      </c>
      <c r="R255" s="63">
        <v>0</v>
      </c>
      <c r="S255" s="63">
        <v>5.2</v>
      </c>
      <c r="T255" s="65">
        <v>12.5</v>
      </c>
      <c r="U255" s="64">
        <v>38</v>
      </c>
      <c r="V255" s="62">
        <v>10.6</v>
      </c>
      <c r="W255" s="63">
        <v>0</v>
      </c>
      <c r="X255" s="63">
        <v>5.5</v>
      </c>
      <c r="Y255" s="65">
        <v>18.07</v>
      </c>
      <c r="Z255" s="61">
        <v>39</v>
      </c>
      <c r="AA255" s="62">
        <v>10.3</v>
      </c>
      <c r="AB255" s="63">
        <v>0</v>
      </c>
      <c r="AC255" s="63">
        <v>5.0999999999999996</v>
      </c>
      <c r="AD255" s="65">
        <v>14.23</v>
      </c>
      <c r="AE255" s="64">
        <v>39</v>
      </c>
      <c r="AF255" s="62">
        <v>10.3</v>
      </c>
      <c r="AG255" s="63">
        <v>0</v>
      </c>
      <c r="AH255" s="63">
        <v>5.2</v>
      </c>
      <c r="AI255" s="65">
        <v>16.34</v>
      </c>
      <c r="AJ255" s="64">
        <v>38</v>
      </c>
      <c r="AK255" s="62">
        <v>10</v>
      </c>
      <c r="AL255" s="62">
        <v>0</v>
      </c>
      <c r="AM255" s="62">
        <v>5.5</v>
      </c>
      <c r="AN255" s="65">
        <v>13.84</v>
      </c>
      <c r="AO255" s="61">
        <v>38</v>
      </c>
      <c r="AP255" s="62">
        <v>9.9</v>
      </c>
      <c r="AQ255" s="62">
        <v>120</v>
      </c>
      <c r="AR255" s="62">
        <v>5.3</v>
      </c>
      <c r="AS255" s="65">
        <v>13.46</v>
      </c>
      <c r="AT255" s="64">
        <v>28</v>
      </c>
      <c r="AU255" s="65">
        <v>70</v>
      </c>
      <c r="AV255" s="64">
        <v>94.938148498535199</v>
      </c>
      <c r="AW255" s="65">
        <v>284.90475484644219</v>
      </c>
      <c r="AX255" s="8"/>
      <c r="AZ255" s="1">
        <v>90</v>
      </c>
    </row>
    <row r="256" spans="3:52" ht="15" customHeight="1" x14ac:dyDescent="0.25">
      <c r="C256" s="42">
        <f>C244+1</f>
        <v>21</v>
      </c>
      <c r="D256" s="66">
        <f>DATE([2]Dash!$F$3,VLOOKUP([2]Dash!$E$3,[2]Abb!$C$3:$D$14,2,FALSE),C256)</f>
        <v>45709</v>
      </c>
      <c r="E256" s="67">
        <f>E255+2/24</f>
        <v>20.249999999999982</v>
      </c>
      <c r="F256" s="68">
        <f t="shared" si="21"/>
        <v>45709.250000000582</v>
      </c>
      <c r="G256" s="46">
        <v>39</v>
      </c>
      <c r="H256" s="47">
        <v>41</v>
      </c>
      <c r="I256" s="48">
        <v>10.9</v>
      </c>
      <c r="J256" s="48">
        <v>300</v>
      </c>
      <c r="K256" s="49">
        <v>6.2</v>
      </c>
      <c r="L256" s="50">
        <v>41</v>
      </c>
      <c r="M256" s="48">
        <v>10.8</v>
      </c>
      <c r="N256" s="48">
        <v>300</v>
      </c>
      <c r="O256" s="51">
        <v>5.9</v>
      </c>
      <c r="P256" s="47">
        <v>40</v>
      </c>
      <c r="Q256" s="48">
        <v>10.6</v>
      </c>
      <c r="R256" s="49">
        <v>0</v>
      </c>
      <c r="S256" s="49">
        <v>5.3</v>
      </c>
      <c r="T256" s="51">
        <v>12.5</v>
      </c>
      <c r="U256" s="50">
        <v>39</v>
      </c>
      <c r="V256" s="48">
        <v>10.6</v>
      </c>
      <c r="W256" s="49">
        <v>0</v>
      </c>
      <c r="X256" s="49">
        <v>5.5</v>
      </c>
      <c r="Y256" s="51">
        <v>18.07</v>
      </c>
      <c r="Z256" s="47">
        <v>39</v>
      </c>
      <c r="AA256" s="48">
        <v>10.3</v>
      </c>
      <c r="AB256" s="49">
        <v>0</v>
      </c>
      <c r="AC256" s="49">
        <v>5.4</v>
      </c>
      <c r="AD256" s="51">
        <v>14.46</v>
      </c>
      <c r="AE256" s="50">
        <v>39</v>
      </c>
      <c r="AF256" s="48">
        <v>10.3</v>
      </c>
      <c r="AG256" s="49">
        <v>0</v>
      </c>
      <c r="AH256" s="49">
        <v>5.3</v>
      </c>
      <c r="AI256" s="51">
        <v>16.34</v>
      </c>
      <c r="AJ256" s="50">
        <v>39</v>
      </c>
      <c r="AK256" s="48">
        <v>10</v>
      </c>
      <c r="AL256" s="48">
        <v>0</v>
      </c>
      <c r="AM256" s="48">
        <v>5.5</v>
      </c>
      <c r="AN256" s="51">
        <v>13.46</v>
      </c>
      <c r="AO256" s="47">
        <v>39</v>
      </c>
      <c r="AP256" s="48">
        <v>10</v>
      </c>
      <c r="AQ256" s="48">
        <v>120</v>
      </c>
      <c r="AR256" s="48">
        <v>5.3</v>
      </c>
      <c r="AS256" s="51">
        <v>13.46</v>
      </c>
      <c r="AT256" s="50">
        <v>27</v>
      </c>
      <c r="AU256" s="51">
        <v>80</v>
      </c>
      <c r="AV256" s="50">
        <v>95.011390686035199</v>
      </c>
      <c r="AW256" s="51">
        <v>284.41177133692742</v>
      </c>
      <c r="AX256" s="8"/>
      <c r="AZ256" s="1">
        <v>90</v>
      </c>
    </row>
    <row r="257" spans="3:52" ht="15" customHeight="1" x14ac:dyDescent="0.25">
      <c r="C257" s="42"/>
      <c r="D257" s="43">
        <f>D256</f>
        <v>45709</v>
      </c>
      <c r="E257" s="44">
        <f>E256+2/24</f>
        <v>20.333333333333314</v>
      </c>
      <c r="F257" s="45">
        <f t="shared" si="21"/>
        <v>45709.333333333918</v>
      </c>
      <c r="G257" s="52">
        <v>42</v>
      </c>
      <c r="H257" s="53">
        <v>42</v>
      </c>
      <c r="I257" s="54">
        <v>10.4</v>
      </c>
      <c r="J257" s="54">
        <v>300</v>
      </c>
      <c r="K257" s="55">
        <v>6.4</v>
      </c>
      <c r="L257" s="56">
        <v>41</v>
      </c>
      <c r="M257" s="54">
        <v>11.1</v>
      </c>
      <c r="N257" s="54">
        <v>300</v>
      </c>
      <c r="O257" s="57">
        <v>6.3</v>
      </c>
      <c r="P257" s="53">
        <v>43</v>
      </c>
      <c r="Q257" s="54">
        <v>10.8</v>
      </c>
      <c r="R257" s="55">
        <v>0</v>
      </c>
      <c r="S257" s="55">
        <v>5.5</v>
      </c>
      <c r="T257" s="57">
        <v>11.53</v>
      </c>
      <c r="U257" s="56">
        <v>41</v>
      </c>
      <c r="V257" s="54">
        <v>10.9</v>
      </c>
      <c r="W257" s="55">
        <v>0</v>
      </c>
      <c r="X257" s="55">
        <v>5.8</v>
      </c>
      <c r="Y257" s="57">
        <v>15.38</v>
      </c>
      <c r="Z257" s="53">
        <v>40</v>
      </c>
      <c r="AA257" s="54">
        <v>10.7</v>
      </c>
      <c r="AB257" s="55">
        <v>0</v>
      </c>
      <c r="AC257" s="55">
        <v>5.8</v>
      </c>
      <c r="AD257" s="57">
        <v>14.42</v>
      </c>
      <c r="AE257" s="56">
        <v>41</v>
      </c>
      <c r="AF257" s="54">
        <v>10.3</v>
      </c>
      <c r="AG257" s="55">
        <v>0</v>
      </c>
      <c r="AH257" s="55">
        <v>6</v>
      </c>
      <c r="AI257" s="57">
        <v>15.38</v>
      </c>
      <c r="AJ257" s="56">
        <v>41</v>
      </c>
      <c r="AK257" s="54">
        <v>10.1</v>
      </c>
      <c r="AL257" s="54">
        <v>0</v>
      </c>
      <c r="AM257" s="54">
        <v>6.6</v>
      </c>
      <c r="AN257" s="57">
        <v>13.84</v>
      </c>
      <c r="AO257" s="53">
        <v>40</v>
      </c>
      <c r="AP257" s="54">
        <v>9.9</v>
      </c>
      <c r="AQ257" s="54">
        <v>170</v>
      </c>
      <c r="AR257" s="54">
        <v>3.9</v>
      </c>
      <c r="AS257" s="57">
        <v>11.53</v>
      </c>
      <c r="AT257" s="56">
        <v>33</v>
      </c>
      <c r="AU257" s="57">
        <v>130</v>
      </c>
      <c r="AV257" s="56">
        <v>94.98291015625</v>
      </c>
      <c r="AW257" s="57">
        <v>285.19507214878683</v>
      </c>
      <c r="AX257" s="8"/>
      <c r="AZ257" s="1">
        <v>90</v>
      </c>
    </row>
    <row r="258" spans="3:52" ht="15" customHeight="1" x14ac:dyDescent="0.25">
      <c r="C258" s="42"/>
      <c r="D258" s="43">
        <f>D256</f>
        <v>45709</v>
      </c>
      <c r="E258" s="44">
        <f t="shared" ref="E258:E267" si="25">E257+2/24</f>
        <v>20.416666666666647</v>
      </c>
      <c r="F258" s="45">
        <f t="shared" si="21"/>
        <v>45709.416666667254</v>
      </c>
      <c r="G258" s="52">
        <v>42</v>
      </c>
      <c r="H258" s="53">
        <v>42</v>
      </c>
      <c r="I258" s="54">
        <v>10.3</v>
      </c>
      <c r="J258" s="54">
        <v>300</v>
      </c>
      <c r="K258" s="55">
        <v>6.3</v>
      </c>
      <c r="L258" s="56">
        <v>41</v>
      </c>
      <c r="M258" s="54">
        <v>11.1</v>
      </c>
      <c r="N258" s="54">
        <v>300</v>
      </c>
      <c r="O258" s="57">
        <v>6.1</v>
      </c>
      <c r="P258" s="53">
        <v>40</v>
      </c>
      <c r="Q258" s="54">
        <v>10.8</v>
      </c>
      <c r="R258" s="55">
        <v>0</v>
      </c>
      <c r="S258" s="55">
        <v>5.7</v>
      </c>
      <c r="T258" s="57">
        <v>12.5</v>
      </c>
      <c r="U258" s="56">
        <v>40</v>
      </c>
      <c r="V258" s="54">
        <v>10.8</v>
      </c>
      <c r="W258" s="55">
        <v>0</v>
      </c>
      <c r="X258" s="55">
        <v>5.8</v>
      </c>
      <c r="Y258" s="57">
        <v>15.76</v>
      </c>
      <c r="Z258" s="53">
        <v>39</v>
      </c>
      <c r="AA258" s="54">
        <v>10.6</v>
      </c>
      <c r="AB258" s="55">
        <v>0</v>
      </c>
      <c r="AC258" s="55">
        <v>6.7</v>
      </c>
      <c r="AD258" s="57">
        <v>14.61</v>
      </c>
      <c r="AE258" s="56">
        <v>41</v>
      </c>
      <c r="AF258" s="54">
        <v>10.3</v>
      </c>
      <c r="AG258" s="55">
        <v>0</v>
      </c>
      <c r="AH258" s="55">
        <v>6.1</v>
      </c>
      <c r="AI258" s="57">
        <v>15.38</v>
      </c>
      <c r="AJ258" s="56">
        <v>40</v>
      </c>
      <c r="AK258" s="54">
        <v>10.1</v>
      </c>
      <c r="AL258" s="54">
        <v>0</v>
      </c>
      <c r="AM258" s="54">
        <v>5.7</v>
      </c>
      <c r="AN258" s="57">
        <v>14.03</v>
      </c>
      <c r="AO258" s="53">
        <v>39</v>
      </c>
      <c r="AP258" s="54">
        <v>9.8000000000000007</v>
      </c>
      <c r="AQ258" s="54">
        <v>180</v>
      </c>
      <c r="AR258" s="54">
        <v>3.9</v>
      </c>
      <c r="AS258" s="57">
        <v>11.53</v>
      </c>
      <c r="AT258" s="56">
        <v>31</v>
      </c>
      <c r="AU258" s="57">
        <v>140</v>
      </c>
      <c r="AV258" s="56">
        <v>95.048011779785199</v>
      </c>
      <c r="AW258" s="57">
        <v>283.78580765022588</v>
      </c>
      <c r="AX258" s="8"/>
      <c r="AZ258" s="1">
        <v>90</v>
      </c>
    </row>
    <row r="259" spans="3:52" ht="15" customHeight="1" x14ac:dyDescent="0.25">
      <c r="C259" s="42"/>
      <c r="D259" s="43">
        <f>D256</f>
        <v>45709</v>
      </c>
      <c r="E259" s="44">
        <f t="shared" si="25"/>
        <v>20.499999999999979</v>
      </c>
      <c r="F259" s="45">
        <f t="shared" si="21"/>
        <v>45709.500000000589</v>
      </c>
      <c r="G259" s="52">
        <v>38</v>
      </c>
      <c r="H259" s="53">
        <v>41</v>
      </c>
      <c r="I259" s="54">
        <v>10.7</v>
      </c>
      <c r="J259" s="54">
        <v>350</v>
      </c>
      <c r="K259" s="55">
        <v>6.1</v>
      </c>
      <c r="L259" s="56">
        <v>41</v>
      </c>
      <c r="M259" s="54">
        <v>10.8</v>
      </c>
      <c r="N259" s="54">
        <v>250</v>
      </c>
      <c r="O259" s="57">
        <v>6</v>
      </c>
      <c r="P259" s="53">
        <v>41</v>
      </c>
      <c r="Q259" s="54">
        <v>10.7</v>
      </c>
      <c r="R259" s="55">
        <v>0</v>
      </c>
      <c r="S259" s="55">
        <v>5.3</v>
      </c>
      <c r="T259" s="57">
        <v>10</v>
      </c>
      <c r="U259" s="56">
        <v>41</v>
      </c>
      <c r="V259" s="54">
        <v>10.7</v>
      </c>
      <c r="W259" s="55">
        <v>0</v>
      </c>
      <c r="X259" s="55">
        <v>5.8</v>
      </c>
      <c r="Y259" s="57">
        <v>17.3</v>
      </c>
      <c r="Z259" s="53">
        <v>43</v>
      </c>
      <c r="AA259" s="54">
        <v>10.7</v>
      </c>
      <c r="AB259" s="55">
        <v>0</v>
      </c>
      <c r="AC259" s="55">
        <v>6.4</v>
      </c>
      <c r="AD259" s="57">
        <v>14.42</v>
      </c>
      <c r="AE259" s="56">
        <v>40</v>
      </c>
      <c r="AF259" s="54">
        <v>10.3</v>
      </c>
      <c r="AG259" s="55">
        <v>0</v>
      </c>
      <c r="AH259" s="55">
        <v>6.3</v>
      </c>
      <c r="AI259" s="57">
        <v>15.38</v>
      </c>
      <c r="AJ259" s="56">
        <v>40</v>
      </c>
      <c r="AK259" s="54">
        <v>10.3</v>
      </c>
      <c r="AL259" s="54">
        <v>0</v>
      </c>
      <c r="AM259" s="54">
        <v>5.7</v>
      </c>
      <c r="AN259" s="57">
        <v>13.46</v>
      </c>
      <c r="AO259" s="53">
        <v>41</v>
      </c>
      <c r="AP259" s="54">
        <v>9.9</v>
      </c>
      <c r="AQ259" s="54">
        <v>170</v>
      </c>
      <c r="AR259" s="54">
        <v>5.7</v>
      </c>
      <c r="AS259" s="57">
        <v>11.53</v>
      </c>
      <c r="AT259" s="56">
        <v>34</v>
      </c>
      <c r="AU259" s="57">
        <v>110</v>
      </c>
      <c r="AV259" s="56">
        <v>95.076492309570298</v>
      </c>
      <c r="AW259" s="57">
        <v>285.01265939665029</v>
      </c>
      <c r="AX259" s="8"/>
      <c r="AZ259" s="1">
        <v>90</v>
      </c>
    </row>
    <row r="260" spans="3:52" ht="15" customHeight="1" x14ac:dyDescent="0.25">
      <c r="C260" s="42"/>
      <c r="D260" s="43">
        <f>D256</f>
        <v>45709</v>
      </c>
      <c r="E260" s="44">
        <f t="shared" si="25"/>
        <v>20.583333333333311</v>
      </c>
      <c r="F260" s="45">
        <f t="shared" si="21"/>
        <v>45709.583333333925</v>
      </c>
      <c r="G260" s="52">
        <v>44</v>
      </c>
      <c r="H260" s="53">
        <v>41</v>
      </c>
      <c r="I260" s="54">
        <v>10.4</v>
      </c>
      <c r="J260" s="54">
        <v>300</v>
      </c>
      <c r="K260" s="55">
        <v>6.3</v>
      </c>
      <c r="L260" s="56">
        <v>40</v>
      </c>
      <c r="M260" s="54">
        <v>10.8</v>
      </c>
      <c r="N260" s="54">
        <v>300</v>
      </c>
      <c r="O260" s="57">
        <v>6.1</v>
      </c>
      <c r="P260" s="53">
        <v>42</v>
      </c>
      <c r="Q260" s="54">
        <v>10.5</v>
      </c>
      <c r="R260" s="55">
        <v>0</v>
      </c>
      <c r="S260" s="55">
        <v>5.7</v>
      </c>
      <c r="T260" s="57">
        <v>14.42</v>
      </c>
      <c r="U260" s="56">
        <v>42</v>
      </c>
      <c r="V260" s="54">
        <v>10.6</v>
      </c>
      <c r="W260" s="55">
        <v>0</v>
      </c>
      <c r="X260" s="55">
        <v>6</v>
      </c>
      <c r="Y260" s="57">
        <v>16.34</v>
      </c>
      <c r="Z260" s="53">
        <v>41</v>
      </c>
      <c r="AA260" s="54">
        <v>10.5</v>
      </c>
      <c r="AB260" s="55">
        <v>0</v>
      </c>
      <c r="AC260" s="55">
        <v>6.7</v>
      </c>
      <c r="AD260" s="57">
        <v>14.42</v>
      </c>
      <c r="AE260" s="56">
        <v>41</v>
      </c>
      <c r="AF260" s="54">
        <v>10.3</v>
      </c>
      <c r="AG260" s="55">
        <v>0</v>
      </c>
      <c r="AH260" s="55">
        <v>6.5</v>
      </c>
      <c r="AI260" s="57">
        <v>15.38</v>
      </c>
      <c r="AJ260" s="56">
        <v>40</v>
      </c>
      <c r="AK260" s="54">
        <v>10.3</v>
      </c>
      <c r="AL260" s="54">
        <v>0</v>
      </c>
      <c r="AM260" s="54">
        <v>5.9</v>
      </c>
      <c r="AN260" s="57">
        <v>13.84</v>
      </c>
      <c r="AO260" s="53">
        <v>41</v>
      </c>
      <c r="AP260" s="54">
        <v>10.1</v>
      </c>
      <c r="AQ260" s="54">
        <v>200</v>
      </c>
      <c r="AR260" s="54">
        <v>6</v>
      </c>
      <c r="AS260" s="57">
        <v>12.5</v>
      </c>
      <c r="AT260" s="56">
        <v>33</v>
      </c>
      <c r="AU260" s="57">
        <v>130</v>
      </c>
      <c r="AV260" s="56">
        <v>95.121253967285199</v>
      </c>
      <c r="AW260" s="57">
        <v>284.30085527217017</v>
      </c>
      <c r="AX260" s="8"/>
      <c r="AZ260" s="1">
        <v>90</v>
      </c>
    </row>
    <row r="261" spans="3:52" ht="15" customHeight="1" x14ac:dyDescent="0.25">
      <c r="C261" s="42"/>
      <c r="D261" s="43">
        <f>D256</f>
        <v>45709</v>
      </c>
      <c r="E261" s="44">
        <f t="shared" si="25"/>
        <v>20.666666666666643</v>
      </c>
      <c r="F261" s="45">
        <f t="shared" si="21"/>
        <v>45709.666666667261</v>
      </c>
      <c r="G261" s="52">
        <v>42</v>
      </c>
      <c r="H261" s="53">
        <v>40</v>
      </c>
      <c r="I261" s="54">
        <v>10.3</v>
      </c>
      <c r="J261" s="54">
        <v>200</v>
      </c>
      <c r="K261" s="55">
        <v>6.3</v>
      </c>
      <c r="L261" s="56">
        <v>42</v>
      </c>
      <c r="M261" s="54">
        <v>10.7</v>
      </c>
      <c r="N261" s="54">
        <v>350</v>
      </c>
      <c r="O261" s="57">
        <v>6</v>
      </c>
      <c r="P261" s="53">
        <v>41</v>
      </c>
      <c r="Q261" s="54">
        <v>10.5</v>
      </c>
      <c r="R261" s="55">
        <v>0</v>
      </c>
      <c r="S261" s="55">
        <v>5.9</v>
      </c>
      <c r="T261" s="57">
        <v>16.149999999999999</v>
      </c>
      <c r="U261" s="56">
        <v>41</v>
      </c>
      <c r="V261" s="54">
        <v>10.4</v>
      </c>
      <c r="W261" s="55">
        <v>0</v>
      </c>
      <c r="X261" s="55">
        <v>6</v>
      </c>
      <c r="Y261" s="57">
        <v>13.46</v>
      </c>
      <c r="Z261" s="53">
        <v>41</v>
      </c>
      <c r="AA261" s="54">
        <v>10.4</v>
      </c>
      <c r="AB261" s="55">
        <v>0</v>
      </c>
      <c r="AC261" s="55">
        <v>6.5</v>
      </c>
      <c r="AD261" s="57">
        <v>14.42</v>
      </c>
      <c r="AE261" s="56">
        <v>41</v>
      </c>
      <c r="AF261" s="54">
        <v>10.5</v>
      </c>
      <c r="AG261" s="55">
        <v>0</v>
      </c>
      <c r="AH261" s="55">
        <v>5.9</v>
      </c>
      <c r="AI261" s="57">
        <v>16.34</v>
      </c>
      <c r="AJ261" s="56">
        <v>42</v>
      </c>
      <c r="AK261" s="54">
        <v>10.5</v>
      </c>
      <c r="AL261" s="54">
        <v>0</v>
      </c>
      <c r="AM261" s="54">
        <v>5.7</v>
      </c>
      <c r="AN261" s="57">
        <v>14.42</v>
      </c>
      <c r="AO261" s="53">
        <v>43</v>
      </c>
      <c r="AP261" s="54">
        <v>10.1</v>
      </c>
      <c r="AQ261" s="54">
        <v>200</v>
      </c>
      <c r="AR261" s="54">
        <v>6.1</v>
      </c>
      <c r="AS261" s="57">
        <v>13.46</v>
      </c>
      <c r="AT261" s="56">
        <v>33</v>
      </c>
      <c r="AU261" s="57">
        <v>140</v>
      </c>
      <c r="AV261" s="56">
        <v>95.052078247070298</v>
      </c>
      <c r="AW261" s="57">
        <v>285.11284756076833</v>
      </c>
      <c r="AX261" s="8"/>
      <c r="AZ261" s="1">
        <v>90</v>
      </c>
    </row>
    <row r="262" spans="3:52" ht="15" customHeight="1" x14ac:dyDescent="0.25">
      <c r="C262" s="42"/>
      <c r="D262" s="43">
        <f>D256</f>
        <v>45709</v>
      </c>
      <c r="E262" s="44">
        <f t="shared" si="25"/>
        <v>20.749999999999975</v>
      </c>
      <c r="F262" s="45">
        <f t="shared" si="21"/>
        <v>45709.750000000597</v>
      </c>
      <c r="G262" s="52">
        <v>0</v>
      </c>
      <c r="H262" s="53">
        <v>40</v>
      </c>
      <c r="I262" s="54">
        <v>10.3</v>
      </c>
      <c r="J262" s="54">
        <v>230</v>
      </c>
      <c r="K262" s="55">
        <v>6.4</v>
      </c>
      <c r="L262" s="56">
        <v>40</v>
      </c>
      <c r="M262" s="54">
        <v>10.6</v>
      </c>
      <c r="N262" s="54">
        <v>300</v>
      </c>
      <c r="O262" s="57">
        <v>6.3</v>
      </c>
      <c r="P262" s="53">
        <v>39</v>
      </c>
      <c r="Q262" s="54">
        <v>10.5</v>
      </c>
      <c r="R262" s="55">
        <v>0</v>
      </c>
      <c r="S262" s="55">
        <v>60</v>
      </c>
      <c r="T262" s="57">
        <v>16.34</v>
      </c>
      <c r="U262" s="56">
        <v>42</v>
      </c>
      <c r="V262" s="54">
        <v>10.4</v>
      </c>
      <c r="W262" s="55">
        <v>0</v>
      </c>
      <c r="X262" s="55">
        <v>6.2</v>
      </c>
      <c r="Y262" s="57">
        <v>13.46</v>
      </c>
      <c r="Z262" s="53">
        <v>40</v>
      </c>
      <c r="AA262" s="54">
        <v>10.4</v>
      </c>
      <c r="AB262" s="55">
        <v>0</v>
      </c>
      <c r="AC262" s="55">
        <v>6.1</v>
      </c>
      <c r="AD262" s="57">
        <v>14.42</v>
      </c>
      <c r="AE262" s="56">
        <v>39</v>
      </c>
      <c r="AF262" s="54">
        <v>10.4</v>
      </c>
      <c r="AG262" s="55">
        <v>0</v>
      </c>
      <c r="AH262" s="55">
        <v>5.7</v>
      </c>
      <c r="AI262" s="57">
        <v>16.34</v>
      </c>
      <c r="AJ262" s="56">
        <v>38</v>
      </c>
      <c r="AK262" s="54">
        <v>10.3</v>
      </c>
      <c r="AL262" s="54">
        <v>0</v>
      </c>
      <c r="AM262" s="54">
        <v>5.9</v>
      </c>
      <c r="AN262" s="57">
        <v>13.84</v>
      </c>
      <c r="AO262" s="53">
        <v>38</v>
      </c>
      <c r="AP262" s="54">
        <v>10.1</v>
      </c>
      <c r="AQ262" s="54">
        <v>200</v>
      </c>
      <c r="AR262" s="54">
        <v>6.1</v>
      </c>
      <c r="AS262" s="57">
        <v>13.46</v>
      </c>
      <c r="AT262" s="56">
        <v>32</v>
      </c>
      <c r="AU262" s="57">
        <v>120</v>
      </c>
      <c r="AV262" s="56">
        <v>94.828285217285199</v>
      </c>
      <c r="AW262" s="57">
        <v>284.97829859930403</v>
      </c>
      <c r="AX262" s="8"/>
      <c r="AZ262" s="1">
        <v>90</v>
      </c>
    </row>
    <row r="263" spans="3:52" ht="15" customHeight="1" x14ac:dyDescent="0.25">
      <c r="C263" s="42"/>
      <c r="D263" s="43">
        <f>D256</f>
        <v>45709</v>
      </c>
      <c r="E263" s="44">
        <f t="shared" si="25"/>
        <v>20.833333333333307</v>
      </c>
      <c r="F263" s="45">
        <f t="shared" si="21"/>
        <v>45709.833333333932</v>
      </c>
      <c r="G263" s="52">
        <v>42</v>
      </c>
      <c r="H263" s="53">
        <v>43</v>
      </c>
      <c r="I263" s="54">
        <v>10.1</v>
      </c>
      <c r="J263" s="54">
        <v>150</v>
      </c>
      <c r="K263" s="55">
        <v>6.1</v>
      </c>
      <c r="L263" s="56">
        <v>42</v>
      </c>
      <c r="M263" s="54">
        <v>10.5</v>
      </c>
      <c r="N263" s="54">
        <v>250</v>
      </c>
      <c r="O263" s="57">
        <v>6.9</v>
      </c>
      <c r="P263" s="53">
        <v>40</v>
      </c>
      <c r="Q263" s="54">
        <v>10.6</v>
      </c>
      <c r="R263" s="55">
        <v>0</v>
      </c>
      <c r="S263" s="55">
        <v>6.5</v>
      </c>
      <c r="T263" s="57">
        <v>16.34</v>
      </c>
      <c r="U263" s="56">
        <v>42</v>
      </c>
      <c r="V263" s="54">
        <v>10.5</v>
      </c>
      <c r="W263" s="55">
        <v>0</v>
      </c>
      <c r="X263" s="55">
        <v>5.6</v>
      </c>
      <c r="Y263" s="57">
        <v>13.46</v>
      </c>
      <c r="Z263" s="53">
        <v>41</v>
      </c>
      <c r="AA263" s="54">
        <v>10.4</v>
      </c>
      <c r="AB263" s="55">
        <v>0</v>
      </c>
      <c r="AC263" s="55">
        <v>5.9</v>
      </c>
      <c r="AD263" s="57">
        <v>14.42</v>
      </c>
      <c r="AE263" s="56">
        <v>40</v>
      </c>
      <c r="AF263" s="54">
        <v>10.4</v>
      </c>
      <c r="AG263" s="55">
        <v>0</v>
      </c>
      <c r="AH263" s="55">
        <v>5.4</v>
      </c>
      <c r="AI263" s="57">
        <v>15.76</v>
      </c>
      <c r="AJ263" s="56">
        <v>40</v>
      </c>
      <c r="AK263" s="54">
        <v>10.3</v>
      </c>
      <c r="AL263" s="54">
        <v>0</v>
      </c>
      <c r="AM263" s="54">
        <v>5.3</v>
      </c>
      <c r="AN263" s="57">
        <v>13.48</v>
      </c>
      <c r="AO263" s="53">
        <v>39</v>
      </c>
      <c r="AP263" s="54">
        <v>10.4</v>
      </c>
      <c r="AQ263" s="54">
        <v>120</v>
      </c>
      <c r="AR263" s="54">
        <v>5.0999999999999996</v>
      </c>
      <c r="AS263" s="57">
        <v>13.46</v>
      </c>
      <c r="AT263" s="56" t="s">
        <v>38</v>
      </c>
      <c r="AU263" s="57" t="s">
        <v>38</v>
      </c>
      <c r="AV263" s="56">
        <v>94.917800903320298</v>
      </c>
      <c r="AW263" s="57">
        <v>277.64829310658394</v>
      </c>
      <c r="AX263" s="8"/>
      <c r="AZ263" s="1">
        <v>90</v>
      </c>
    </row>
    <row r="264" spans="3:52" ht="15" customHeight="1" x14ac:dyDescent="0.25">
      <c r="C264" s="42"/>
      <c r="D264" s="43">
        <f>D256</f>
        <v>45709</v>
      </c>
      <c r="E264" s="44">
        <f t="shared" si="25"/>
        <v>20.916666666666639</v>
      </c>
      <c r="F264" s="45">
        <f t="shared" si="21"/>
        <v>45709.916666667268</v>
      </c>
      <c r="G264" s="52">
        <v>44</v>
      </c>
      <c r="H264" s="53">
        <v>41</v>
      </c>
      <c r="I264" s="54">
        <v>10.3</v>
      </c>
      <c r="J264" s="54">
        <v>250</v>
      </c>
      <c r="K264" s="55">
        <v>6.2</v>
      </c>
      <c r="L264" s="56">
        <v>44</v>
      </c>
      <c r="M264" s="54">
        <v>10.6</v>
      </c>
      <c r="N264" s="54">
        <v>250</v>
      </c>
      <c r="O264" s="57">
        <v>6.6</v>
      </c>
      <c r="P264" s="53">
        <v>41</v>
      </c>
      <c r="Q264" s="54">
        <v>10.6</v>
      </c>
      <c r="R264" s="55">
        <v>0</v>
      </c>
      <c r="S264" s="55">
        <v>6.9</v>
      </c>
      <c r="T264" s="57">
        <v>16.149999999999999</v>
      </c>
      <c r="U264" s="56">
        <v>42</v>
      </c>
      <c r="V264" s="54">
        <v>10.5</v>
      </c>
      <c r="W264" s="55">
        <v>0</v>
      </c>
      <c r="X264" s="55">
        <v>5.9</v>
      </c>
      <c r="Y264" s="57">
        <v>13.84</v>
      </c>
      <c r="Z264" s="53">
        <v>40</v>
      </c>
      <c r="AA264" s="54">
        <v>10.5</v>
      </c>
      <c r="AB264" s="55">
        <v>0</v>
      </c>
      <c r="AC264" s="55">
        <v>6.2</v>
      </c>
      <c r="AD264" s="57">
        <v>14.42</v>
      </c>
      <c r="AE264" s="56">
        <v>41</v>
      </c>
      <c r="AF264" s="54">
        <v>10.5</v>
      </c>
      <c r="AG264" s="55">
        <v>0</v>
      </c>
      <c r="AH264" s="55">
        <v>5.3</v>
      </c>
      <c r="AI264" s="57">
        <v>15.38</v>
      </c>
      <c r="AJ264" s="56">
        <v>39</v>
      </c>
      <c r="AK264" s="54">
        <v>10.4</v>
      </c>
      <c r="AL264" s="54">
        <v>0</v>
      </c>
      <c r="AM264" s="54">
        <v>5.2</v>
      </c>
      <c r="AN264" s="57">
        <v>14.42</v>
      </c>
      <c r="AO264" s="53">
        <v>40</v>
      </c>
      <c r="AP264" s="54">
        <v>10.3</v>
      </c>
      <c r="AQ264" s="54">
        <v>140</v>
      </c>
      <c r="AR264" s="54">
        <v>5</v>
      </c>
      <c r="AS264" s="57">
        <v>13.46</v>
      </c>
      <c r="AT264" s="56">
        <v>30</v>
      </c>
      <c r="AU264" s="57">
        <v>70</v>
      </c>
      <c r="AV264" s="56">
        <v>94.5556640625</v>
      </c>
      <c r="AW264" s="57">
        <v>209.1086753801753</v>
      </c>
      <c r="AX264" s="8"/>
      <c r="AZ264" s="1">
        <v>90</v>
      </c>
    </row>
    <row r="265" spans="3:52" ht="15" customHeight="1" x14ac:dyDescent="0.25">
      <c r="C265" s="42"/>
      <c r="D265" s="43">
        <f>D256</f>
        <v>45709</v>
      </c>
      <c r="E265" s="44">
        <f t="shared" si="25"/>
        <v>20.999999999999972</v>
      </c>
      <c r="F265" s="45">
        <f t="shared" si="21"/>
        <v>45710.000000000604</v>
      </c>
      <c r="G265" s="52">
        <v>43</v>
      </c>
      <c r="H265" s="53">
        <v>42</v>
      </c>
      <c r="I265" s="54">
        <v>10.4</v>
      </c>
      <c r="J265" s="54">
        <v>250</v>
      </c>
      <c r="K265" s="55">
        <v>6.3</v>
      </c>
      <c r="L265" s="56">
        <v>43</v>
      </c>
      <c r="M265" s="54">
        <v>10.6</v>
      </c>
      <c r="N265" s="54">
        <v>250</v>
      </c>
      <c r="O265" s="57">
        <v>6.5</v>
      </c>
      <c r="P265" s="53">
        <v>42</v>
      </c>
      <c r="Q265" s="54">
        <v>10.5</v>
      </c>
      <c r="R265" s="55">
        <v>0</v>
      </c>
      <c r="S265" s="55">
        <v>6.7</v>
      </c>
      <c r="T265" s="57">
        <v>15.38</v>
      </c>
      <c r="U265" s="56">
        <v>41</v>
      </c>
      <c r="V265" s="54">
        <v>10.5</v>
      </c>
      <c r="W265" s="55">
        <v>0</v>
      </c>
      <c r="X265" s="55">
        <v>6</v>
      </c>
      <c r="Y265" s="57">
        <v>13.46</v>
      </c>
      <c r="Z265" s="53">
        <v>40</v>
      </c>
      <c r="AA265" s="54">
        <v>10.5</v>
      </c>
      <c r="AB265" s="55">
        <v>0</v>
      </c>
      <c r="AC265" s="55">
        <v>6.1</v>
      </c>
      <c r="AD265" s="57">
        <v>14.23</v>
      </c>
      <c r="AE265" s="56">
        <v>40</v>
      </c>
      <c r="AF265" s="54">
        <v>10.4</v>
      </c>
      <c r="AG265" s="55">
        <v>0</v>
      </c>
      <c r="AH265" s="55">
        <v>5.8</v>
      </c>
      <c r="AI265" s="57">
        <v>14.42</v>
      </c>
      <c r="AJ265" s="56">
        <v>38</v>
      </c>
      <c r="AK265" s="54">
        <v>10.4</v>
      </c>
      <c r="AL265" s="54">
        <v>0</v>
      </c>
      <c r="AM265" s="54">
        <v>5.4</v>
      </c>
      <c r="AN265" s="57">
        <v>14.23</v>
      </c>
      <c r="AO265" s="53">
        <v>39</v>
      </c>
      <c r="AP265" s="54">
        <v>10.4</v>
      </c>
      <c r="AQ265" s="54">
        <v>150</v>
      </c>
      <c r="AR265" s="54">
        <v>5.2</v>
      </c>
      <c r="AS265" s="57">
        <v>13.84</v>
      </c>
      <c r="AT265" s="56">
        <v>28</v>
      </c>
      <c r="AU265" s="57">
        <v>90</v>
      </c>
      <c r="AV265" s="56">
        <v>94.56787109375</v>
      </c>
      <c r="AW265" s="57">
        <v>284.79287206992353</v>
      </c>
      <c r="AX265" s="8"/>
      <c r="AZ265" s="1">
        <v>90</v>
      </c>
    </row>
    <row r="266" spans="3:52" ht="15" customHeight="1" x14ac:dyDescent="0.25">
      <c r="C266" s="42"/>
      <c r="D266" s="43">
        <f>D256</f>
        <v>45709</v>
      </c>
      <c r="E266" s="44">
        <f t="shared" si="25"/>
        <v>21.083333333333304</v>
      </c>
      <c r="F266" s="45">
        <f t="shared" si="21"/>
        <v>45710.08333333394</v>
      </c>
      <c r="G266" s="52">
        <v>39</v>
      </c>
      <c r="H266" s="53">
        <v>43</v>
      </c>
      <c r="I266" s="54">
        <v>10.1</v>
      </c>
      <c r="J266" s="54">
        <v>250</v>
      </c>
      <c r="K266" s="55">
        <v>6.5</v>
      </c>
      <c r="L266" s="56">
        <v>44</v>
      </c>
      <c r="M266" s="54">
        <v>10.4</v>
      </c>
      <c r="N266" s="54">
        <v>250</v>
      </c>
      <c r="O266" s="57">
        <v>6.9</v>
      </c>
      <c r="P266" s="53">
        <v>42</v>
      </c>
      <c r="Q266" s="54">
        <v>10.6</v>
      </c>
      <c r="R266" s="55">
        <v>0</v>
      </c>
      <c r="S266" s="55">
        <v>6.5</v>
      </c>
      <c r="T266" s="57">
        <v>16.34</v>
      </c>
      <c r="U266" s="56">
        <v>42</v>
      </c>
      <c r="V266" s="54">
        <v>10.6</v>
      </c>
      <c r="W266" s="55">
        <v>0</v>
      </c>
      <c r="X266" s="55">
        <v>5.8</v>
      </c>
      <c r="Y266" s="57">
        <v>13.84</v>
      </c>
      <c r="Z266" s="53">
        <v>41</v>
      </c>
      <c r="AA266" s="54">
        <v>10.6</v>
      </c>
      <c r="AB266" s="55">
        <v>0</v>
      </c>
      <c r="AC266" s="55">
        <v>5.9</v>
      </c>
      <c r="AD266" s="57">
        <v>13.46</v>
      </c>
      <c r="AE266" s="56">
        <v>41</v>
      </c>
      <c r="AF266" s="54">
        <v>10.5</v>
      </c>
      <c r="AG266" s="55">
        <v>0</v>
      </c>
      <c r="AH266" s="55">
        <v>5.9</v>
      </c>
      <c r="AI266" s="57">
        <v>15.38</v>
      </c>
      <c r="AJ266" s="56">
        <v>40</v>
      </c>
      <c r="AK266" s="54">
        <v>10.4</v>
      </c>
      <c r="AL266" s="54">
        <v>0</v>
      </c>
      <c r="AM266" s="54">
        <v>5.5</v>
      </c>
      <c r="AN266" s="57">
        <v>14.42</v>
      </c>
      <c r="AO266" s="53">
        <v>39</v>
      </c>
      <c r="AP266" s="54">
        <v>10.1</v>
      </c>
      <c r="AQ266" s="54">
        <v>150</v>
      </c>
      <c r="AR266" s="54">
        <v>5.4</v>
      </c>
      <c r="AS266" s="57">
        <v>13.46</v>
      </c>
      <c r="AT266" s="56">
        <v>26</v>
      </c>
      <c r="AU266" s="57">
        <v>100</v>
      </c>
      <c r="AV266" s="56">
        <v>94.954421997070298</v>
      </c>
      <c r="AW266" s="57">
        <v>284.53836266243212</v>
      </c>
      <c r="AX266" s="8"/>
      <c r="AZ266" s="1">
        <v>90</v>
      </c>
    </row>
    <row r="267" spans="3:52" ht="15" customHeight="1" x14ac:dyDescent="0.25">
      <c r="C267" s="42"/>
      <c r="D267" s="69">
        <f>D256</f>
        <v>45709</v>
      </c>
      <c r="E267" s="70">
        <f t="shared" si="25"/>
        <v>21.166666666666636</v>
      </c>
      <c r="F267" s="71">
        <f t="shared" si="21"/>
        <v>45710.166666667275</v>
      </c>
      <c r="G267" s="60">
        <v>40</v>
      </c>
      <c r="H267" s="61">
        <v>42</v>
      </c>
      <c r="I267" s="62">
        <v>10</v>
      </c>
      <c r="J267" s="62">
        <v>250</v>
      </c>
      <c r="K267" s="63">
        <v>6.9</v>
      </c>
      <c r="L267" s="64">
        <v>43</v>
      </c>
      <c r="M267" s="62">
        <v>10.199999999999999</v>
      </c>
      <c r="N267" s="62">
        <v>250</v>
      </c>
      <c r="O267" s="65">
        <v>6.7</v>
      </c>
      <c r="P267" s="61">
        <v>41</v>
      </c>
      <c r="Q267" s="62">
        <v>10.4</v>
      </c>
      <c r="R267" s="63">
        <v>0</v>
      </c>
      <c r="S267" s="63">
        <v>5.9</v>
      </c>
      <c r="T267" s="65">
        <v>15.76</v>
      </c>
      <c r="U267" s="64">
        <v>42</v>
      </c>
      <c r="V267" s="62">
        <v>10.5</v>
      </c>
      <c r="W267" s="63">
        <v>0</v>
      </c>
      <c r="X267" s="63">
        <v>5.7</v>
      </c>
      <c r="Y267" s="65">
        <v>13.84</v>
      </c>
      <c r="Z267" s="61">
        <v>40</v>
      </c>
      <c r="AA267" s="62">
        <v>10.5</v>
      </c>
      <c r="AB267" s="63">
        <v>0</v>
      </c>
      <c r="AC267" s="63">
        <v>5.6</v>
      </c>
      <c r="AD267" s="65">
        <v>14.42</v>
      </c>
      <c r="AE267" s="64">
        <v>40</v>
      </c>
      <c r="AF267" s="62">
        <v>10.4</v>
      </c>
      <c r="AG267" s="63">
        <v>0</v>
      </c>
      <c r="AH267" s="63">
        <v>5.6</v>
      </c>
      <c r="AI267" s="65">
        <v>15.76</v>
      </c>
      <c r="AJ267" s="64">
        <v>39</v>
      </c>
      <c r="AK267" s="62">
        <v>10.4</v>
      </c>
      <c r="AL267" s="62">
        <v>0</v>
      </c>
      <c r="AM267" s="62">
        <v>5.6</v>
      </c>
      <c r="AN267" s="65">
        <v>14.23</v>
      </c>
      <c r="AO267" s="61">
        <v>40</v>
      </c>
      <c r="AP267" s="62">
        <v>10.4</v>
      </c>
      <c r="AQ267" s="62">
        <v>200</v>
      </c>
      <c r="AR267" s="62">
        <v>5.5</v>
      </c>
      <c r="AS267" s="65">
        <v>13.46</v>
      </c>
      <c r="AT267" s="64">
        <v>27</v>
      </c>
      <c r="AU267" s="65">
        <v>110</v>
      </c>
      <c r="AV267" s="64">
        <v>94.98291015625</v>
      </c>
      <c r="AW267" s="65">
        <v>283.51610693755407</v>
      </c>
      <c r="AX267" s="8"/>
      <c r="AZ267" s="1">
        <v>90</v>
      </c>
    </row>
    <row r="268" spans="3:52" ht="15" customHeight="1" x14ac:dyDescent="0.25">
      <c r="C268" s="42">
        <f>C256+1</f>
        <v>22</v>
      </c>
      <c r="D268" s="66">
        <f>DATE([2]Dash!$F$3,VLOOKUP([2]Dash!$E$3,[2]Abb!$C$3:$D$14,2,FALSE),C268)</f>
        <v>45710</v>
      </c>
      <c r="E268" s="67">
        <f>E267+2/24</f>
        <v>21.249999999999968</v>
      </c>
      <c r="F268" s="68">
        <f t="shared" si="21"/>
        <v>45710.250000000611</v>
      </c>
      <c r="G268" s="46">
        <v>40</v>
      </c>
      <c r="H268" s="47">
        <v>42</v>
      </c>
      <c r="I268" s="48">
        <v>10.1</v>
      </c>
      <c r="J268" s="48">
        <v>250</v>
      </c>
      <c r="K268" s="49">
        <v>6.8</v>
      </c>
      <c r="L268" s="50">
        <v>43</v>
      </c>
      <c r="M268" s="48">
        <v>10.199999999999999</v>
      </c>
      <c r="N268" s="48">
        <v>250</v>
      </c>
      <c r="O268" s="51">
        <v>6.6</v>
      </c>
      <c r="P268" s="47">
        <v>41</v>
      </c>
      <c r="Q268" s="48">
        <v>10.4</v>
      </c>
      <c r="R268" s="49">
        <v>0</v>
      </c>
      <c r="S268" s="49">
        <v>6</v>
      </c>
      <c r="T268" s="51">
        <v>16.34</v>
      </c>
      <c r="U268" s="50">
        <v>42</v>
      </c>
      <c r="V268" s="48">
        <v>10.5</v>
      </c>
      <c r="W268" s="49">
        <v>0</v>
      </c>
      <c r="X268" s="49">
        <v>5.8</v>
      </c>
      <c r="Y268" s="51">
        <v>13.48</v>
      </c>
      <c r="Z268" s="47">
        <v>40</v>
      </c>
      <c r="AA268" s="48">
        <v>10.5</v>
      </c>
      <c r="AB268" s="49">
        <v>0</v>
      </c>
      <c r="AC268" s="49">
        <v>5.9</v>
      </c>
      <c r="AD268" s="51">
        <v>14.42</v>
      </c>
      <c r="AE268" s="50">
        <v>41</v>
      </c>
      <c r="AF268" s="48">
        <v>10.4</v>
      </c>
      <c r="AG268" s="49">
        <v>0</v>
      </c>
      <c r="AH268" s="49">
        <v>5.6</v>
      </c>
      <c r="AI268" s="51">
        <v>15.38</v>
      </c>
      <c r="AJ268" s="50">
        <v>40</v>
      </c>
      <c r="AK268" s="48">
        <v>10.4</v>
      </c>
      <c r="AL268" s="48">
        <v>0</v>
      </c>
      <c r="AM268" s="48">
        <v>5.6</v>
      </c>
      <c r="AN268" s="51">
        <v>14.23</v>
      </c>
      <c r="AO268" s="47">
        <v>40</v>
      </c>
      <c r="AP268" s="48">
        <v>10.4</v>
      </c>
      <c r="AQ268" s="48">
        <v>0</v>
      </c>
      <c r="AR268" s="48">
        <v>5.4</v>
      </c>
      <c r="AS268" s="51">
        <v>13.46</v>
      </c>
      <c r="AT268" s="50">
        <v>28</v>
      </c>
      <c r="AU268" s="51">
        <v>110</v>
      </c>
      <c r="AV268" s="50">
        <v>94.98291015625</v>
      </c>
      <c r="AW268" s="51">
        <v>286.49655187395399</v>
      </c>
      <c r="AX268" s="8"/>
      <c r="AZ268" s="1">
        <v>90</v>
      </c>
    </row>
    <row r="269" spans="3:52" ht="15" customHeight="1" x14ac:dyDescent="0.25">
      <c r="C269" s="42"/>
      <c r="D269" s="43">
        <f>D268</f>
        <v>45710</v>
      </c>
      <c r="E269" s="44">
        <f>E268+2/24</f>
        <v>21.3333333333333</v>
      </c>
      <c r="F269" s="45">
        <f t="shared" si="21"/>
        <v>45710.333333333947</v>
      </c>
      <c r="G269" s="52">
        <v>0</v>
      </c>
      <c r="H269" s="53">
        <v>43</v>
      </c>
      <c r="I269" s="54">
        <v>10.199999999999999</v>
      </c>
      <c r="J269" s="54">
        <v>250</v>
      </c>
      <c r="K269" s="55">
        <v>6.3</v>
      </c>
      <c r="L269" s="56">
        <v>42</v>
      </c>
      <c r="M269" s="54">
        <v>10.199999999999999</v>
      </c>
      <c r="N269" s="54">
        <v>300</v>
      </c>
      <c r="O269" s="57">
        <v>6.7</v>
      </c>
      <c r="P269" s="53">
        <v>40</v>
      </c>
      <c r="Q269" s="54">
        <v>10.3</v>
      </c>
      <c r="R269" s="55">
        <v>0</v>
      </c>
      <c r="S269" s="55">
        <v>6.6</v>
      </c>
      <c r="T269" s="57">
        <v>15.38</v>
      </c>
      <c r="U269" s="56">
        <v>43</v>
      </c>
      <c r="V269" s="54">
        <v>10.4</v>
      </c>
      <c r="W269" s="55">
        <v>0</v>
      </c>
      <c r="X269" s="55">
        <v>6.7</v>
      </c>
      <c r="Y269" s="57">
        <v>13.46</v>
      </c>
      <c r="Z269" s="53">
        <v>42</v>
      </c>
      <c r="AA269" s="54">
        <v>10.5</v>
      </c>
      <c r="AB269" s="55">
        <v>0</v>
      </c>
      <c r="AC269" s="55">
        <v>6.5</v>
      </c>
      <c r="AD269" s="57">
        <v>13.46</v>
      </c>
      <c r="AE269" s="56">
        <v>41</v>
      </c>
      <c r="AF269" s="54">
        <v>10.6</v>
      </c>
      <c r="AG269" s="55">
        <v>0</v>
      </c>
      <c r="AH269" s="55">
        <v>6.3</v>
      </c>
      <c r="AI269" s="57">
        <v>15.19</v>
      </c>
      <c r="AJ269" s="56">
        <v>40</v>
      </c>
      <c r="AK269" s="54">
        <v>10.6</v>
      </c>
      <c r="AL269" s="54">
        <v>0</v>
      </c>
      <c r="AM269" s="54">
        <v>5.8</v>
      </c>
      <c r="AN269" s="57">
        <v>13.84</v>
      </c>
      <c r="AO269" s="53">
        <v>40</v>
      </c>
      <c r="AP269" s="54">
        <v>10.5</v>
      </c>
      <c r="AQ269" s="54">
        <v>280</v>
      </c>
      <c r="AR269" s="54">
        <v>5.5</v>
      </c>
      <c r="AS269" s="57">
        <v>12.5</v>
      </c>
      <c r="AT269" s="56">
        <v>0</v>
      </c>
      <c r="AU269" s="57">
        <v>0</v>
      </c>
      <c r="AV269" s="56">
        <v>95.052078247070298</v>
      </c>
      <c r="AW269" s="57">
        <v>275.2213550679075</v>
      </c>
      <c r="AX269" s="8"/>
      <c r="AZ269" s="1">
        <v>90</v>
      </c>
    </row>
    <row r="270" spans="3:52" ht="15" customHeight="1" x14ac:dyDescent="0.25">
      <c r="C270" s="42"/>
      <c r="D270" s="43">
        <f>D268</f>
        <v>45710</v>
      </c>
      <c r="E270" s="44">
        <f t="shared" ref="E270:E279" si="26">E269+2/24</f>
        <v>21.416666666666632</v>
      </c>
      <c r="F270" s="45">
        <f t="shared" si="21"/>
        <v>45710.416666667283</v>
      </c>
      <c r="G270" s="52">
        <v>47</v>
      </c>
      <c r="H270" s="53">
        <v>45</v>
      </c>
      <c r="I270" s="54">
        <v>10.199999999999999</v>
      </c>
      <c r="J270" s="54">
        <v>300</v>
      </c>
      <c r="K270" s="55">
        <v>6.1</v>
      </c>
      <c r="L270" s="56">
        <v>43</v>
      </c>
      <c r="M270" s="54">
        <v>10.1</v>
      </c>
      <c r="N270" s="54">
        <v>250</v>
      </c>
      <c r="O270" s="57">
        <v>6.5</v>
      </c>
      <c r="P270" s="53">
        <v>39</v>
      </c>
      <c r="Q270" s="54">
        <v>10.199999999999999</v>
      </c>
      <c r="R270" s="55">
        <v>0</v>
      </c>
      <c r="S270" s="55">
        <v>6.5</v>
      </c>
      <c r="T270" s="57">
        <v>12.5</v>
      </c>
      <c r="U270" s="56">
        <v>43</v>
      </c>
      <c r="V270" s="54">
        <v>10.3</v>
      </c>
      <c r="W270" s="55">
        <v>0</v>
      </c>
      <c r="X270" s="55">
        <v>6.6</v>
      </c>
      <c r="Y270" s="57">
        <v>13.46</v>
      </c>
      <c r="Z270" s="53">
        <v>43</v>
      </c>
      <c r="AA270" s="54">
        <v>10.4</v>
      </c>
      <c r="AB270" s="55">
        <v>0</v>
      </c>
      <c r="AC270" s="55">
        <v>6.4</v>
      </c>
      <c r="AD270" s="57">
        <v>13.46</v>
      </c>
      <c r="AE270" s="56">
        <v>42</v>
      </c>
      <c r="AF270" s="54">
        <v>10.3</v>
      </c>
      <c r="AG270" s="55">
        <v>0</v>
      </c>
      <c r="AH270" s="55">
        <v>6.2</v>
      </c>
      <c r="AI270" s="57">
        <v>15.38</v>
      </c>
      <c r="AJ270" s="56">
        <v>40</v>
      </c>
      <c r="AK270" s="54">
        <v>10.3</v>
      </c>
      <c r="AL270" s="54">
        <v>0</v>
      </c>
      <c r="AM270" s="54">
        <v>5.7</v>
      </c>
      <c r="AN270" s="57">
        <v>13.65</v>
      </c>
      <c r="AO270" s="53">
        <v>41</v>
      </c>
      <c r="AP270" s="54">
        <v>10.199999999999999</v>
      </c>
      <c r="AQ270" s="54">
        <v>240</v>
      </c>
      <c r="AR270" s="54">
        <v>5.4</v>
      </c>
      <c r="AS270" s="57">
        <v>12.5</v>
      </c>
      <c r="AT270" s="56">
        <v>37</v>
      </c>
      <c r="AU270" s="57">
        <v>190</v>
      </c>
      <c r="AV270" s="56">
        <v>95.084632873535199</v>
      </c>
      <c r="AW270" s="57">
        <v>327.39330159885191</v>
      </c>
      <c r="AX270" s="8"/>
      <c r="AZ270" s="1">
        <v>90</v>
      </c>
    </row>
    <row r="271" spans="3:52" ht="15" customHeight="1" x14ac:dyDescent="0.25">
      <c r="C271" s="42"/>
      <c r="D271" s="43">
        <f>D268</f>
        <v>45710</v>
      </c>
      <c r="E271" s="44">
        <f t="shared" si="26"/>
        <v>21.499999999999964</v>
      </c>
      <c r="F271" s="45">
        <f t="shared" si="21"/>
        <v>45710.500000000618</v>
      </c>
      <c r="G271" s="52">
        <v>40</v>
      </c>
      <c r="H271" s="53">
        <v>43</v>
      </c>
      <c r="I271" s="54">
        <v>10.1</v>
      </c>
      <c r="J271" s="54">
        <v>300</v>
      </c>
      <c r="K271" s="55">
        <v>6.1</v>
      </c>
      <c r="L271" s="56">
        <v>42</v>
      </c>
      <c r="M271" s="54">
        <v>10.1</v>
      </c>
      <c r="N271" s="54">
        <v>200</v>
      </c>
      <c r="O271" s="57">
        <v>6.8</v>
      </c>
      <c r="P271" s="53">
        <v>41</v>
      </c>
      <c r="Q271" s="54">
        <v>10.199999999999999</v>
      </c>
      <c r="R271" s="55">
        <v>0</v>
      </c>
      <c r="S271" s="55">
        <v>6.2</v>
      </c>
      <c r="T271" s="57">
        <v>9.8000000000000007</v>
      </c>
      <c r="U271" s="56">
        <v>42</v>
      </c>
      <c r="V271" s="54">
        <v>10.199999999999999</v>
      </c>
      <c r="W271" s="55">
        <v>0</v>
      </c>
      <c r="X271" s="55">
        <v>6.2</v>
      </c>
      <c r="Y271" s="57">
        <v>13.65</v>
      </c>
      <c r="Z271" s="53">
        <v>42</v>
      </c>
      <c r="AA271" s="54">
        <v>10.3</v>
      </c>
      <c r="AB271" s="55">
        <v>0</v>
      </c>
      <c r="AC271" s="55">
        <v>6.1</v>
      </c>
      <c r="AD271" s="57">
        <v>13.84</v>
      </c>
      <c r="AE271" s="56">
        <v>42</v>
      </c>
      <c r="AF271" s="54">
        <v>10.199999999999999</v>
      </c>
      <c r="AG271" s="55">
        <v>0</v>
      </c>
      <c r="AH271" s="55">
        <v>5.9</v>
      </c>
      <c r="AI271" s="57">
        <v>15.38</v>
      </c>
      <c r="AJ271" s="56">
        <v>41</v>
      </c>
      <c r="AK271" s="54">
        <v>10.199999999999999</v>
      </c>
      <c r="AL271" s="54">
        <v>0</v>
      </c>
      <c r="AM271" s="54">
        <v>5.4</v>
      </c>
      <c r="AN271" s="57">
        <v>13.46</v>
      </c>
      <c r="AO271" s="53">
        <v>42</v>
      </c>
      <c r="AP271" s="54">
        <v>10.199999999999999</v>
      </c>
      <c r="AQ271" s="54">
        <v>220</v>
      </c>
      <c r="AR271" s="54">
        <v>5.5</v>
      </c>
      <c r="AS271" s="57">
        <v>12.69</v>
      </c>
      <c r="AT271" s="56">
        <v>37</v>
      </c>
      <c r="AU271" s="57">
        <v>190</v>
      </c>
      <c r="AV271" s="56">
        <v>95.076492309570298</v>
      </c>
      <c r="AW271" s="57">
        <v>278.4385851141376</v>
      </c>
      <c r="AX271" s="8"/>
      <c r="AZ271" s="1">
        <v>90</v>
      </c>
    </row>
    <row r="272" spans="3:52" ht="15" customHeight="1" x14ac:dyDescent="0.25">
      <c r="C272" s="42"/>
      <c r="D272" s="43">
        <f>D268</f>
        <v>45710</v>
      </c>
      <c r="E272" s="44">
        <f t="shared" si="26"/>
        <v>21.583333333333297</v>
      </c>
      <c r="F272" s="45">
        <f t="shared" si="21"/>
        <v>45710.583333333954</v>
      </c>
      <c r="G272" s="52">
        <v>38</v>
      </c>
      <c r="H272" s="53">
        <v>43</v>
      </c>
      <c r="I272" s="54">
        <v>10.1</v>
      </c>
      <c r="J272" s="54">
        <v>250</v>
      </c>
      <c r="K272" s="55">
        <v>6.3</v>
      </c>
      <c r="L272" s="56">
        <v>41</v>
      </c>
      <c r="M272" s="54">
        <v>10.1</v>
      </c>
      <c r="N272" s="54">
        <v>200</v>
      </c>
      <c r="O272" s="57">
        <v>6.8</v>
      </c>
      <c r="P272" s="53">
        <v>40</v>
      </c>
      <c r="Q272" s="54">
        <v>10.199999999999999</v>
      </c>
      <c r="R272" s="55">
        <v>0</v>
      </c>
      <c r="S272" s="55">
        <v>6.2</v>
      </c>
      <c r="T272" s="57">
        <v>9.61</v>
      </c>
      <c r="U272" s="56">
        <v>42</v>
      </c>
      <c r="V272" s="54">
        <v>10.199999999999999</v>
      </c>
      <c r="W272" s="55">
        <v>0</v>
      </c>
      <c r="X272" s="55">
        <v>6.1</v>
      </c>
      <c r="Y272" s="57">
        <v>13.65</v>
      </c>
      <c r="Z272" s="53">
        <v>41</v>
      </c>
      <c r="AA272" s="54">
        <v>10.3</v>
      </c>
      <c r="AB272" s="55">
        <v>0</v>
      </c>
      <c r="AC272" s="55">
        <v>6</v>
      </c>
      <c r="AD272" s="57">
        <v>13.46</v>
      </c>
      <c r="AE272" s="56">
        <v>40</v>
      </c>
      <c r="AF272" s="54">
        <v>10.199999999999999</v>
      </c>
      <c r="AG272" s="55">
        <v>0</v>
      </c>
      <c r="AH272" s="55">
        <v>5.9</v>
      </c>
      <c r="AI272" s="57">
        <v>15.19</v>
      </c>
      <c r="AJ272" s="56">
        <v>41</v>
      </c>
      <c r="AK272" s="54">
        <v>10.199999999999999</v>
      </c>
      <c r="AL272" s="54">
        <v>0</v>
      </c>
      <c r="AM272" s="54">
        <v>5.5</v>
      </c>
      <c r="AN272" s="57">
        <v>13.46</v>
      </c>
      <c r="AO272" s="53">
        <v>41</v>
      </c>
      <c r="AP272" s="54">
        <v>10.199999999999999</v>
      </c>
      <c r="AQ272" s="54">
        <v>200</v>
      </c>
      <c r="AR272" s="54">
        <v>5.5</v>
      </c>
      <c r="AS272" s="57">
        <v>12.69</v>
      </c>
      <c r="AT272" s="56">
        <v>0</v>
      </c>
      <c r="AU272" s="57">
        <v>0</v>
      </c>
      <c r="AV272" s="56">
        <v>95.121253967285199</v>
      </c>
      <c r="AW272" s="57">
        <v>281.08048850234286</v>
      </c>
      <c r="AX272" s="8"/>
      <c r="AZ272" s="1">
        <v>90</v>
      </c>
    </row>
    <row r="273" spans="3:52" ht="15" customHeight="1" x14ac:dyDescent="0.25">
      <c r="C273" s="42"/>
      <c r="D273" s="43">
        <f>D268</f>
        <v>45710</v>
      </c>
      <c r="E273" s="44">
        <f t="shared" si="26"/>
        <v>21.666666666666629</v>
      </c>
      <c r="F273" s="45">
        <f t="shared" si="21"/>
        <v>45710.66666666729</v>
      </c>
      <c r="G273" s="52">
        <v>46</v>
      </c>
      <c r="H273" s="53">
        <v>43</v>
      </c>
      <c r="I273" s="54">
        <v>10.1</v>
      </c>
      <c r="J273" s="54">
        <v>250</v>
      </c>
      <c r="K273" s="55">
        <v>6.7</v>
      </c>
      <c r="L273" s="56">
        <v>41</v>
      </c>
      <c r="M273" s="54">
        <v>10.1</v>
      </c>
      <c r="N273" s="54">
        <v>250</v>
      </c>
      <c r="O273" s="57">
        <v>6.5</v>
      </c>
      <c r="P273" s="53">
        <v>40</v>
      </c>
      <c r="Q273" s="54">
        <v>10.199999999999999</v>
      </c>
      <c r="R273" s="55">
        <v>0</v>
      </c>
      <c r="S273" s="55">
        <v>6</v>
      </c>
      <c r="T273" s="57">
        <v>6.53</v>
      </c>
      <c r="U273" s="56">
        <v>41</v>
      </c>
      <c r="V273" s="54">
        <v>10.199999999999999</v>
      </c>
      <c r="W273" s="55">
        <v>0</v>
      </c>
      <c r="X273" s="55">
        <v>6.2</v>
      </c>
      <c r="Y273" s="57">
        <v>13.46</v>
      </c>
      <c r="Z273" s="53">
        <v>40</v>
      </c>
      <c r="AA273" s="54">
        <v>10.3</v>
      </c>
      <c r="AB273" s="55">
        <v>0</v>
      </c>
      <c r="AC273" s="55">
        <v>6.1</v>
      </c>
      <c r="AD273" s="57">
        <v>13.46</v>
      </c>
      <c r="AE273" s="56">
        <v>40</v>
      </c>
      <c r="AF273" s="54">
        <v>10.3</v>
      </c>
      <c r="AG273" s="55">
        <v>0</v>
      </c>
      <c r="AH273" s="55">
        <v>6.1</v>
      </c>
      <c r="AI273" s="57">
        <v>15.19</v>
      </c>
      <c r="AJ273" s="56">
        <v>40</v>
      </c>
      <c r="AK273" s="54">
        <v>10.3</v>
      </c>
      <c r="AL273" s="54">
        <v>0</v>
      </c>
      <c r="AM273" s="54">
        <v>5.3</v>
      </c>
      <c r="AN273" s="57">
        <v>13.65</v>
      </c>
      <c r="AO273" s="53">
        <v>39</v>
      </c>
      <c r="AP273" s="54">
        <v>10.4</v>
      </c>
      <c r="AQ273" s="54">
        <v>190</v>
      </c>
      <c r="AR273" s="54">
        <v>5.2</v>
      </c>
      <c r="AS273" s="57">
        <v>12.5</v>
      </c>
      <c r="AT273" s="56">
        <v>33</v>
      </c>
      <c r="AU273" s="57">
        <v>130</v>
      </c>
      <c r="AV273" s="56">
        <v>95.039871215820298</v>
      </c>
      <c r="AW273" s="57">
        <v>281.04612701901544</v>
      </c>
      <c r="AX273" s="8"/>
      <c r="AZ273" s="1">
        <v>90</v>
      </c>
    </row>
    <row r="274" spans="3:52" ht="15" customHeight="1" x14ac:dyDescent="0.25">
      <c r="C274" s="42"/>
      <c r="D274" s="43">
        <f>D268</f>
        <v>45710</v>
      </c>
      <c r="E274" s="44">
        <f t="shared" si="26"/>
        <v>21.749999999999961</v>
      </c>
      <c r="F274" s="45">
        <f t="shared" ref="F274:F337" si="27">F273+(E274-E273)</f>
        <v>45710.750000000626</v>
      </c>
      <c r="G274" s="52">
        <v>33</v>
      </c>
      <c r="H274" s="53">
        <v>41</v>
      </c>
      <c r="I274" s="54">
        <v>11.2</v>
      </c>
      <c r="J274" s="54">
        <v>250</v>
      </c>
      <c r="K274" s="55">
        <v>6.1</v>
      </c>
      <c r="L274" s="56">
        <v>40</v>
      </c>
      <c r="M274" s="54">
        <v>10.199999999999999</v>
      </c>
      <c r="N274" s="54">
        <v>250</v>
      </c>
      <c r="O274" s="57">
        <v>5.7</v>
      </c>
      <c r="P274" s="53">
        <v>40</v>
      </c>
      <c r="Q274" s="54">
        <v>10.199999999999999</v>
      </c>
      <c r="R274" s="55">
        <v>0</v>
      </c>
      <c r="S274" s="55">
        <v>5.7</v>
      </c>
      <c r="T274" s="57">
        <v>12.5</v>
      </c>
      <c r="U274" s="56">
        <v>40</v>
      </c>
      <c r="V274" s="54">
        <v>10.199999999999999</v>
      </c>
      <c r="W274" s="55">
        <v>0</v>
      </c>
      <c r="X274" s="55">
        <v>5.7</v>
      </c>
      <c r="Y274" s="57">
        <v>8.65</v>
      </c>
      <c r="Z274" s="53">
        <v>40</v>
      </c>
      <c r="AA274" s="54">
        <v>10.3</v>
      </c>
      <c r="AB274" s="55">
        <v>0</v>
      </c>
      <c r="AC274" s="55">
        <v>5.5</v>
      </c>
      <c r="AD274" s="57">
        <v>13.46</v>
      </c>
      <c r="AE274" s="56">
        <v>40</v>
      </c>
      <c r="AF274" s="54">
        <v>10.3</v>
      </c>
      <c r="AG274" s="55">
        <v>0</v>
      </c>
      <c r="AH274" s="55">
        <v>5.5</v>
      </c>
      <c r="AI274" s="57">
        <v>15.19</v>
      </c>
      <c r="AJ274" s="56">
        <v>40</v>
      </c>
      <c r="AK274" s="54">
        <v>10.3</v>
      </c>
      <c r="AL274" s="54">
        <v>0</v>
      </c>
      <c r="AM274" s="54">
        <v>5.2</v>
      </c>
      <c r="AN274" s="57">
        <v>13.65</v>
      </c>
      <c r="AO274" s="53">
        <v>41</v>
      </c>
      <c r="AP274" s="54">
        <v>10.4</v>
      </c>
      <c r="AQ274" s="54">
        <v>210</v>
      </c>
      <c r="AR274" s="54">
        <v>5.0999999999999996</v>
      </c>
      <c r="AS274" s="57">
        <v>12.5</v>
      </c>
      <c r="AT274" s="56">
        <v>34</v>
      </c>
      <c r="AU274" s="57">
        <v>150</v>
      </c>
      <c r="AV274" s="56">
        <v>95.060218811035199</v>
      </c>
      <c r="AW274" s="57">
        <v>277.28298574216507</v>
      </c>
      <c r="AX274" s="8"/>
      <c r="AZ274" s="1">
        <v>90</v>
      </c>
    </row>
    <row r="275" spans="3:52" ht="15" customHeight="1" x14ac:dyDescent="0.25">
      <c r="C275" s="42"/>
      <c r="D275" s="43">
        <f>D268</f>
        <v>45710</v>
      </c>
      <c r="E275" s="44">
        <f t="shared" si="26"/>
        <v>21.833333333333293</v>
      </c>
      <c r="F275" s="45">
        <f t="shared" si="27"/>
        <v>45710.833333333961</v>
      </c>
      <c r="G275" s="52">
        <v>41</v>
      </c>
      <c r="H275" s="53">
        <v>42</v>
      </c>
      <c r="I275" s="54">
        <v>10.5</v>
      </c>
      <c r="J275" s="54">
        <v>250</v>
      </c>
      <c r="K275" s="55">
        <v>6.3</v>
      </c>
      <c r="L275" s="56">
        <v>40</v>
      </c>
      <c r="M275" s="54">
        <v>10.3</v>
      </c>
      <c r="N275" s="54">
        <v>250</v>
      </c>
      <c r="O275" s="57">
        <v>7</v>
      </c>
      <c r="P275" s="53">
        <v>40</v>
      </c>
      <c r="Q275" s="54">
        <v>10.1</v>
      </c>
      <c r="R275" s="55">
        <v>0</v>
      </c>
      <c r="S275" s="55">
        <v>6.6</v>
      </c>
      <c r="T275" s="57">
        <v>13.4</v>
      </c>
      <c r="U275" s="56">
        <v>39</v>
      </c>
      <c r="V275" s="54">
        <v>10.1</v>
      </c>
      <c r="W275" s="55">
        <v>0</v>
      </c>
      <c r="X275" s="55">
        <v>6.3</v>
      </c>
      <c r="Y275" s="57">
        <v>8.07</v>
      </c>
      <c r="Z275" s="53">
        <v>39</v>
      </c>
      <c r="AA275" s="54">
        <v>10.199999999999999</v>
      </c>
      <c r="AB275" s="55">
        <v>0</v>
      </c>
      <c r="AC275" s="55">
        <v>5.8</v>
      </c>
      <c r="AD275" s="57">
        <v>13.46</v>
      </c>
      <c r="AE275" s="56">
        <v>38</v>
      </c>
      <c r="AF275" s="54">
        <v>10.3</v>
      </c>
      <c r="AG275" s="55">
        <v>0</v>
      </c>
      <c r="AH275" s="55">
        <v>5.8</v>
      </c>
      <c r="AI275" s="57">
        <v>14.42</v>
      </c>
      <c r="AJ275" s="56">
        <v>40</v>
      </c>
      <c r="AK275" s="54">
        <v>10.3</v>
      </c>
      <c r="AL275" s="54">
        <v>0</v>
      </c>
      <c r="AM275" s="54">
        <v>5.5</v>
      </c>
      <c r="AN275" s="57">
        <v>14.42</v>
      </c>
      <c r="AO275" s="53">
        <v>39</v>
      </c>
      <c r="AP275" s="54">
        <v>10.3</v>
      </c>
      <c r="AQ275" s="54">
        <v>180</v>
      </c>
      <c r="AR275" s="54">
        <v>4.9000000000000004</v>
      </c>
      <c r="AS275" s="57">
        <v>13.46</v>
      </c>
      <c r="AT275" s="56">
        <v>30</v>
      </c>
      <c r="AU275" s="57">
        <v>110</v>
      </c>
      <c r="AV275" s="56">
        <v>94.73876953125</v>
      </c>
      <c r="AW275" s="57">
        <v>283.32706393018987</v>
      </c>
      <c r="AX275" s="8"/>
      <c r="AZ275" s="1">
        <v>90</v>
      </c>
    </row>
    <row r="276" spans="3:52" ht="15" customHeight="1" x14ac:dyDescent="0.25">
      <c r="C276" s="42"/>
      <c r="D276" s="43">
        <f>D268</f>
        <v>45710</v>
      </c>
      <c r="E276" s="44">
        <f t="shared" si="26"/>
        <v>21.916666666666625</v>
      </c>
      <c r="F276" s="45">
        <f t="shared" si="27"/>
        <v>45710.916666667297</v>
      </c>
      <c r="G276" s="52">
        <v>35</v>
      </c>
      <c r="H276" s="53">
        <v>40</v>
      </c>
      <c r="I276" s="54">
        <v>10.4</v>
      </c>
      <c r="J276" s="54">
        <v>200</v>
      </c>
      <c r="K276" s="55">
        <v>6.5</v>
      </c>
      <c r="L276" s="56">
        <v>41</v>
      </c>
      <c r="M276" s="54">
        <v>10.4</v>
      </c>
      <c r="N276" s="54">
        <v>250</v>
      </c>
      <c r="O276" s="57">
        <v>6.9</v>
      </c>
      <c r="P276" s="53">
        <v>40</v>
      </c>
      <c r="Q276" s="54">
        <v>10.199999999999999</v>
      </c>
      <c r="R276" s="55">
        <v>0</v>
      </c>
      <c r="S276" s="55">
        <v>6.5</v>
      </c>
      <c r="T276" s="57">
        <v>16.34</v>
      </c>
      <c r="U276" s="56">
        <v>40</v>
      </c>
      <c r="V276" s="54">
        <v>10.199999999999999</v>
      </c>
      <c r="W276" s="55">
        <v>0</v>
      </c>
      <c r="X276" s="55">
        <v>6.2</v>
      </c>
      <c r="Y276" s="57">
        <v>4.8</v>
      </c>
      <c r="Z276" s="53">
        <v>39</v>
      </c>
      <c r="AA276" s="54">
        <v>10.199999999999999</v>
      </c>
      <c r="AB276" s="55">
        <v>0</v>
      </c>
      <c r="AC276" s="55">
        <v>5.6</v>
      </c>
      <c r="AD276" s="57">
        <v>13.46</v>
      </c>
      <c r="AE276" s="56">
        <v>39</v>
      </c>
      <c r="AF276" s="54">
        <v>10.4</v>
      </c>
      <c r="AG276" s="55">
        <v>0</v>
      </c>
      <c r="AH276" s="55">
        <v>5.7</v>
      </c>
      <c r="AI276" s="57">
        <v>14.23</v>
      </c>
      <c r="AJ276" s="56">
        <v>39</v>
      </c>
      <c r="AK276" s="54">
        <v>10.4</v>
      </c>
      <c r="AL276" s="54">
        <v>0</v>
      </c>
      <c r="AM276" s="54">
        <v>5.6</v>
      </c>
      <c r="AN276" s="57">
        <v>14.42</v>
      </c>
      <c r="AO276" s="53">
        <v>38</v>
      </c>
      <c r="AP276" s="54">
        <v>10.4</v>
      </c>
      <c r="AQ276" s="54">
        <v>170</v>
      </c>
      <c r="AR276" s="54">
        <v>5</v>
      </c>
      <c r="AS276" s="57">
        <v>13.26</v>
      </c>
      <c r="AT276" s="56">
        <v>32</v>
      </c>
      <c r="AU276" s="57">
        <v>130</v>
      </c>
      <c r="AV276" s="56">
        <v>95.035804748535199</v>
      </c>
      <c r="AW276" s="57">
        <v>279.93344884221443</v>
      </c>
      <c r="AX276" s="8"/>
      <c r="AZ276" s="1">
        <v>90</v>
      </c>
    </row>
    <row r="277" spans="3:52" ht="15" customHeight="1" x14ac:dyDescent="0.25">
      <c r="C277" s="42"/>
      <c r="D277" s="43">
        <f>D268</f>
        <v>45710</v>
      </c>
      <c r="E277" s="44">
        <f t="shared" si="26"/>
        <v>21.999999999999957</v>
      </c>
      <c r="F277" s="45">
        <f t="shared" si="27"/>
        <v>45711.000000000633</v>
      </c>
      <c r="G277" s="52">
        <v>37</v>
      </c>
      <c r="H277" s="53">
        <v>40</v>
      </c>
      <c r="I277" s="54">
        <v>10.5</v>
      </c>
      <c r="J277" s="54">
        <v>200</v>
      </c>
      <c r="K277" s="55">
        <v>6.2</v>
      </c>
      <c r="L277" s="56">
        <v>40</v>
      </c>
      <c r="M277" s="54">
        <v>10.5</v>
      </c>
      <c r="N277" s="54">
        <v>250</v>
      </c>
      <c r="O277" s="57">
        <v>6.6</v>
      </c>
      <c r="P277" s="53">
        <v>39</v>
      </c>
      <c r="Q277" s="54">
        <v>10.4</v>
      </c>
      <c r="R277" s="55">
        <v>0</v>
      </c>
      <c r="S277" s="55">
        <v>6.3</v>
      </c>
      <c r="T277" s="57">
        <v>17.3</v>
      </c>
      <c r="U277" s="56">
        <v>39</v>
      </c>
      <c r="V277" s="54">
        <v>10.4</v>
      </c>
      <c r="W277" s="55">
        <v>0</v>
      </c>
      <c r="X277" s="55">
        <v>6</v>
      </c>
      <c r="Y277" s="57">
        <v>7.69</v>
      </c>
      <c r="Z277" s="53">
        <v>38</v>
      </c>
      <c r="AA277" s="54">
        <v>10.3</v>
      </c>
      <c r="AB277" s="55">
        <v>0</v>
      </c>
      <c r="AC277" s="55">
        <v>5.7</v>
      </c>
      <c r="AD277" s="57">
        <v>9.61</v>
      </c>
      <c r="AE277" s="56">
        <v>39</v>
      </c>
      <c r="AF277" s="54">
        <v>10.4</v>
      </c>
      <c r="AG277" s="55">
        <v>0</v>
      </c>
      <c r="AH277" s="55">
        <v>5.5</v>
      </c>
      <c r="AI277" s="57">
        <v>13.84</v>
      </c>
      <c r="AJ277" s="56">
        <v>39</v>
      </c>
      <c r="AK277" s="54">
        <v>10.4</v>
      </c>
      <c r="AL277" s="54">
        <v>0</v>
      </c>
      <c r="AM277" s="54">
        <v>5.4</v>
      </c>
      <c r="AN277" s="57">
        <v>14.23</v>
      </c>
      <c r="AO277" s="53">
        <v>38</v>
      </c>
      <c r="AP277" s="54">
        <v>10.5</v>
      </c>
      <c r="AQ277" s="54">
        <v>170</v>
      </c>
      <c r="AR277" s="54">
        <v>5.0999999999999996</v>
      </c>
      <c r="AS277" s="57">
        <v>13.46</v>
      </c>
      <c r="AT277" s="56">
        <v>29</v>
      </c>
      <c r="AU277" s="57">
        <v>130</v>
      </c>
      <c r="AV277" s="56">
        <v>95.157875061035199</v>
      </c>
      <c r="AW277" s="57">
        <v>277.58692653980108</v>
      </c>
      <c r="AX277" s="8"/>
      <c r="AZ277" s="1">
        <v>90</v>
      </c>
    </row>
    <row r="278" spans="3:52" ht="15" customHeight="1" x14ac:dyDescent="0.25">
      <c r="C278" s="42"/>
      <c r="D278" s="43">
        <f>D268</f>
        <v>45710</v>
      </c>
      <c r="E278" s="44">
        <f t="shared" si="26"/>
        <v>22.08333333333329</v>
      </c>
      <c r="F278" s="45">
        <f t="shared" si="27"/>
        <v>45711.083333333969</v>
      </c>
      <c r="G278" s="52">
        <v>39</v>
      </c>
      <c r="H278" s="53">
        <v>40</v>
      </c>
      <c r="I278" s="54">
        <v>10.7</v>
      </c>
      <c r="J278" s="54">
        <v>200</v>
      </c>
      <c r="K278" s="55">
        <v>6.5</v>
      </c>
      <c r="L278" s="56">
        <v>38</v>
      </c>
      <c r="M278" s="54">
        <v>10.6</v>
      </c>
      <c r="N278" s="54">
        <v>250</v>
      </c>
      <c r="O278" s="57">
        <v>6.4</v>
      </c>
      <c r="P278" s="53">
        <v>39</v>
      </c>
      <c r="Q278" s="54">
        <v>10.5</v>
      </c>
      <c r="R278" s="55">
        <v>0</v>
      </c>
      <c r="S278" s="55">
        <v>6.5</v>
      </c>
      <c r="T278" s="57">
        <v>17.690000000000001</v>
      </c>
      <c r="U278" s="56">
        <v>39</v>
      </c>
      <c r="V278" s="54">
        <v>10.4</v>
      </c>
      <c r="W278" s="55">
        <v>0</v>
      </c>
      <c r="X278" s="55">
        <v>6.2</v>
      </c>
      <c r="Y278" s="57">
        <v>11.53</v>
      </c>
      <c r="Z278" s="53">
        <v>37</v>
      </c>
      <c r="AA278" s="54">
        <v>10.4</v>
      </c>
      <c r="AB278" s="55">
        <v>0</v>
      </c>
      <c r="AC278" s="55">
        <v>5.9</v>
      </c>
      <c r="AD278" s="57">
        <v>4.8</v>
      </c>
      <c r="AE278" s="56">
        <v>38</v>
      </c>
      <c r="AF278" s="54">
        <v>10.4</v>
      </c>
      <c r="AG278" s="55">
        <v>0</v>
      </c>
      <c r="AH278" s="55">
        <v>5.7</v>
      </c>
      <c r="AI278" s="57">
        <v>14.23</v>
      </c>
      <c r="AJ278" s="56">
        <v>39</v>
      </c>
      <c r="AK278" s="54">
        <v>10.3</v>
      </c>
      <c r="AL278" s="54">
        <v>0</v>
      </c>
      <c r="AM278" s="54">
        <v>5.6</v>
      </c>
      <c r="AN278" s="57">
        <v>13.84</v>
      </c>
      <c r="AO278" s="53">
        <v>39</v>
      </c>
      <c r="AP278" s="54">
        <v>10.3</v>
      </c>
      <c r="AQ278" s="54">
        <v>160</v>
      </c>
      <c r="AR278" s="54">
        <v>5</v>
      </c>
      <c r="AS278" s="57">
        <v>13.26</v>
      </c>
      <c r="AT278" s="56">
        <v>32</v>
      </c>
      <c r="AU278" s="57">
        <v>130</v>
      </c>
      <c r="AV278" s="56">
        <v>95.035804748535199</v>
      </c>
      <c r="AW278" s="57">
        <v>271.35247823278576</v>
      </c>
      <c r="AX278" s="8"/>
      <c r="AZ278" s="1">
        <v>90</v>
      </c>
    </row>
    <row r="279" spans="3:52" ht="15" customHeight="1" x14ac:dyDescent="0.25">
      <c r="C279" s="42"/>
      <c r="D279" s="69">
        <f>D268</f>
        <v>45710</v>
      </c>
      <c r="E279" s="70">
        <f t="shared" si="26"/>
        <v>22.166666666666622</v>
      </c>
      <c r="F279" s="71">
        <f t="shared" si="27"/>
        <v>45711.166666667305</v>
      </c>
      <c r="G279" s="60">
        <v>40</v>
      </c>
      <c r="H279" s="61">
        <v>39</v>
      </c>
      <c r="I279" s="62">
        <v>10.6</v>
      </c>
      <c r="J279" s="62">
        <v>250</v>
      </c>
      <c r="K279" s="63">
        <v>6.7</v>
      </c>
      <c r="L279" s="64">
        <v>40</v>
      </c>
      <c r="M279" s="62">
        <v>10.5</v>
      </c>
      <c r="N279" s="62">
        <v>250</v>
      </c>
      <c r="O279" s="65">
        <v>6.6</v>
      </c>
      <c r="P279" s="61">
        <v>39</v>
      </c>
      <c r="Q279" s="62">
        <v>10.5</v>
      </c>
      <c r="R279" s="63">
        <v>0</v>
      </c>
      <c r="S279" s="63">
        <v>6.2</v>
      </c>
      <c r="T279" s="65">
        <v>17.3</v>
      </c>
      <c r="U279" s="64">
        <v>39</v>
      </c>
      <c r="V279" s="62">
        <v>10.4</v>
      </c>
      <c r="W279" s="63">
        <v>0</v>
      </c>
      <c r="X279" s="63">
        <v>6</v>
      </c>
      <c r="Y279" s="65">
        <v>13.46</v>
      </c>
      <c r="Z279" s="61">
        <v>38</v>
      </c>
      <c r="AA279" s="62">
        <v>10.4</v>
      </c>
      <c r="AB279" s="63">
        <v>0</v>
      </c>
      <c r="AC279" s="63">
        <v>6</v>
      </c>
      <c r="AD279" s="65" t="s">
        <v>38</v>
      </c>
      <c r="AE279" s="64">
        <v>38</v>
      </c>
      <c r="AF279" s="62">
        <v>10.4</v>
      </c>
      <c r="AG279" s="63">
        <v>0</v>
      </c>
      <c r="AH279" s="63">
        <v>5.9</v>
      </c>
      <c r="AI279" s="65">
        <v>13.46</v>
      </c>
      <c r="AJ279" s="64">
        <v>39</v>
      </c>
      <c r="AK279" s="62">
        <v>10.4</v>
      </c>
      <c r="AL279" s="62">
        <v>0</v>
      </c>
      <c r="AM279" s="62">
        <v>5.7</v>
      </c>
      <c r="AN279" s="65">
        <v>14.23</v>
      </c>
      <c r="AO279" s="61">
        <v>39</v>
      </c>
      <c r="AP279" s="62">
        <v>10.4</v>
      </c>
      <c r="AQ279" s="62">
        <v>160</v>
      </c>
      <c r="AR279" s="62">
        <v>5.2</v>
      </c>
      <c r="AS279" s="65">
        <v>13.26</v>
      </c>
      <c r="AT279" s="64">
        <v>30</v>
      </c>
      <c r="AU279" s="65">
        <v>120</v>
      </c>
      <c r="AV279" s="64">
        <v>95.068359375</v>
      </c>
      <c r="AW279" s="65">
        <v>266.5383880074757</v>
      </c>
      <c r="AX279" s="8"/>
      <c r="AZ279" s="1">
        <v>90</v>
      </c>
    </row>
    <row r="280" spans="3:52" ht="15" customHeight="1" x14ac:dyDescent="0.25">
      <c r="C280" s="42">
        <f>C268+1</f>
        <v>23</v>
      </c>
      <c r="D280" s="66">
        <f>DATE([2]Dash!$F$3,VLOOKUP([2]Dash!$E$3,[2]Abb!$C$3:$D$14,2,FALSE),C280)</f>
        <v>45711</v>
      </c>
      <c r="E280" s="67">
        <f>E279+2/24</f>
        <v>22.249999999999954</v>
      </c>
      <c r="F280" s="68">
        <f t="shared" si="27"/>
        <v>45711.25000000064</v>
      </c>
      <c r="G280" s="46">
        <v>38</v>
      </c>
      <c r="H280" s="47">
        <v>39</v>
      </c>
      <c r="I280" s="48">
        <v>10.5</v>
      </c>
      <c r="J280" s="48">
        <v>250</v>
      </c>
      <c r="K280" s="49">
        <v>6.5</v>
      </c>
      <c r="L280" s="50">
        <v>39</v>
      </c>
      <c r="M280" s="48">
        <v>10.5</v>
      </c>
      <c r="N280" s="48">
        <v>250</v>
      </c>
      <c r="O280" s="51">
        <v>6.9</v>
      </c>
      <c r="P280" s="47">
        <v>38</v>
      </c>
      <c r="Q280" s="48">
        <v>10.5</v>
      </c>
      <c r="R280" s="49">
        <v>0</v>
      </c>
      <c r="S280" s="49">
        <v>6.2</v>
      </c>
      <c r="T280" s="51">
        <v>17.3</v>
      </c>
      <c r="U280" s="50">
        <v>39</v>
      </c>
      <c r="V280" s="48">
        <v>10.4</v>
      </c>
      <c r="W280" s="49">
        <v>0</v>
      </c>
      <c r="X280" s="49">
        <v>6</v>
      </c>
      <c r="Y280" s="51">
        <v>14.42</v>
      </c>
      <c r="Z280" s="47">
        <v>38</v>
      </c>
      <c r="AA280" s="48">
        <v>10.4</v>
      </c>
      <c r="AB280" s="49">
        <v>0</v>
      </c>
      <c r="AC280" s="49">
        <v>5.8</v>
      </c>
      <c r="AD280" s="51">
        <v>9.61</v>
      </c>
      <c r="AE280" s="50">
        <v>38</v>
      </c>
      <c r="AF280" s="48">
        <v>10.4</v>
      </c>
      <c r="AG280" s="49">
        <v>0</v>
      </c>
      <c r="AH280" s="49">
        <v>5.5</v>
      </c>
      <c r="AI280" s="51">
        <v>11.53</v>
      </c>
      <c r="AJ280" s="50">
        <v>38</v>
      </c>
      <c r="AK280" s="48">
        <v>10.4</v>
      </c>
      <c r="AL280" s="48">
        <v>0</v>
      </c>
      <c r="AM280" s="48">
        <v>5.6</v>
      </c>
      <c r="AN280" s="51">
        <v>14.23</v>
      </c>
      <c r="AO280" s="47">
        <v>38</v>
      </c>
      <c r="AP280" s="48">
        <v>10.4</v>
      </c>
      <c r="AQ280" s="48">
        <v>170</v>
      </c>
      <c r="AR280" s="48">
        <v>5.0999999999999996</v>
      </c>
      <c r="AS280" s="51">
        <v>13.26</v>
      </c>
      <c r="AT280" s="50">
        <v>30</v>
      </c>
      <c r="AU280" s="51">
        <v>120</v>
      </c>
      <c r="AV280" s="50">
        <v>94.938148498535199</v>
      </c>
      <c r="AW280" s="51">
        <v>247.79803233027923</v>
      </c>
      <c r="AX280" s="8"/>
      <c r="AZ280" s="1">
        <v>90</v>
      </c>
    </row>
    <row r="281" spans="3:52" ht="15" customHeight="1" x14ac:dyDescent="0.25">
      <c r="C281" s="42"/>
      <c r="D281" s="43">
        <f>D280</f>
        <v>45711</v>
      </c>
      <c r="E281" s="44">
        <f>E280+2/24</f>
        <v>22.333333333333286</v>
      </c>
      <c r="F281" s="45">
        <f t="shared" si="27"/>
        <v>45711.333333333976</v>
      </c>
      <c r="G281" s="52">
        <v>43</v>
      </c>
      <c r="H281" s="53">
        <v>41</v>
      </c>
      <c r="I281" s="54">
        <v>10.9</v>
      </c>
      <c r="J281" s="54">
        <v>300</v>
      </c>
      <c r="K281" s="55">
        <v>6.2</v>
      </c>
      <c r="L281" s="56">
        <v>44</v>
      </c>
      <c r="M281" s="54">
        <v>10.4</v>
      </c>
      <c r="N281" s="54">
        <v>250</v>
      </c>
      <c r="O281" s="57">
        <v>6.7</v>
      </c>
      <c r="P281" s="53">
        <v>45</v>
      </c>
      <c r="Q281" s="54">
        <v>10.4</v>
      </c>
      <c r="R281" s="55">
        <v>0</v>
      </c>
      <c r="S281" s="55">
        <v>6.7</v>
      </c>
      <c r="T281" s="57">
        <v>17.3</v>
      </c>
      <c r="U281" s="56">
        <v>41</v>
      </c>
      <c r="V281" s="54">
        <v>10.4</v>
      </c>
      <c r="W281" s="55">
        <v>0</v>
      </c>
      <c r="X281" s="55">
        <v>6.9</v>
      </c>
      <c r="Y281" s="57">
        <v>15.38</v>
      </c>
      <c r="Z281" s="53">
        <v>41</v>
      </c>
      <c r="AA281" s="54">
        <v>10.3</v>
      </c>
      <c r="AB281" s="55">
        <v>0</v>
      </c>
      <c r="AC281" s="55">
        <v>6.6</v>
      </c>
      <c r="AD281" s="57">
        <v>12.5</v>
      </c>
      <c r="AE281" s="56">
        <v>43</v>
      </c>
      <c r="AF281" s="54">
        <v>10.3</v>
      </c>
      <c r="AG281" s="55">
        <v>0</v>
      </c>
      <c r="AH281" s="55">
        <v>6.6</v>
      </c>
      <c r="AI281" s="57">
        <v>8.65</v>
      </c>
      <c r="AJ281" s="56">
        <v>40</v>
      </c>
      <c r="AK281" s="54">
        <v>10.3</v>
      </c>
      <c r="AL281" s="54">
        <v>0</v>
      </c>
      <c r="AM281" s="54">
        <v>6.4</v>
      </c>
      <c r="AN281" s="57">
        <v>9.61</v>
      </c>
      <c r="AO281" s="53">
        <v>42</v>
      </c>
      <c r="AP281" s="54">
        <v>10.4</v>
      </c>
      <c r="AQ281" s="54">
        <v>170</v>
      </c>
      <c r="AR281" s="54">
        <v>6.1</v>
      </c>
      <c r="AS281" s="57">
        <v>10.19</v>
      </c>
      <c r="AT281" s="56">
        <v>32</v>
      </c>
      <c r="AU281" s="57">
        <v>140</v>
      </c>
      <c r="AV281" s="56">
        <v>94.706214904785199</v>
      </c>
      <c r="AW281" s="57">
        <v>269.18065199030872</v>
      </c>
      <c r="AX281" s="8"/>
      <c r="AZ281" s="1">
        <v>90</v>
      </c>
    </row>
    <row r="282" spans="3:52" ht="15" customHeight="1" x14ac:dyDescent="0.25">
      <c r="C282" s="42"/>
      <c r="D282" s="43">
        <f>D280</f>
        <v>45711</v>
      </c>
      <c r="E282" s="44">
        <f t="shared" ref="E282:E291" si="28">E281+2/24</f>
        <v>22.416666666666618</v>
      </c>
      <c r="F282" s="45">
        <f t="shared" si="27"/>
        <v>45711.416666667312</v>
      </c>
      <c r="G282" s="52">
        <v>39</v>
      </c>
      <c r="H282" s="53">
        <v>42</v>
      </c>
      <c r="I282" s="54">
        <v>10.8</v>
      </c>
      <c r="J282" s="54">
        <v>300</v>
      </c>
      <c r="K282" s="55">
        <v>6.5</v>
      </c>
      <c r="L282" s="56">
        <v>40</v>
      </c>
      <c r="M282" s="54">
        <v>10.4</v>
      </c>
      <c r="N282" s="54">
        <v>250</v>
      </c>
      <c r="O282" s="57">
        <v>6.5</v>
      </c>
      <c r="P282" s="53">
        <v>43</v>
      </c>
      <c r="Q282" s="54">
        <v>10.4</v>
      </c>
      <c r="R282" s="55">
        <v>0</v>
      </c>
      <c r="S282" s="55">
        <v>6.6</v>
      </c>
      <c r="T282" s="57">
        <v>17.3</v>
      </c>
      <c r="U282" s="56">
        <v>42</v>
      </c>
      <c r="V282" s="54">
        <v>10.199999999999999</v>
      </c>
      <c r="W282" s="55">
        <v>0</v>
      </c>
      <c r="X282" s="55">
        <v>6.6</v>
      </c>
      <c r="Y282" s="57">
        <v>15.38</v>
      </c>
      <c r="Z282" s="53">
        <v>41</v>
      </c>
      <c r="AA282" s="54">
        <v>10.3</v>
      </c>
      <c r="AB282" s="55">
        <v>0</v>
      </c>
      <c r="AC282" s="55">
        <v>6.4</v>
      </c>
      <c r="AD282" s="57">
        <v>15</v>
      </c>
      <c r="AE282" s="56">
        <v>41</v>
      </c>
      <c r="AF282" s="54">
        <v>10.3</v>
      </c>
      <c r="AG282" s="55">
        <v>0</v>
      </c>
      <c r="AH282" s="55">
        <v>6.4</v>
      </c>
      <c r="AI282" s="57">
        <v>8.4600000000000009</v>
      </c>
      <c r="AJ282" s="56">
        <v>41</v>
      </c>
      <c r="AK282" s="54">
        <v>10.4</v>
      </c>
      <c r="AL282" s="54">
        <v>0</v>
      </c>
      <c r="AM282" s="54">
        <v>6.2</v>
      </c>
      <c r="AN282" s="57">
        <v>7.64</v>
      </c>
      <c r="AO282" s="53">
        <v>42</v>
      </c>
      <c r="AP282" s="54">
        <v>10.3</v>
      </c>
      <c r="AQ282" s="54">
        <v>170</v>
      </c>
      <c r="AR282" s="54">
        <v>6.1</v>
      </c>
      <c r="AS282" s="57">
        <v>12.3</v>
      </c>
      <c r="AT282" s="56">
        <v>33</v>
      </c>
      <c r="AU282" s="57">
        <v>140</v>
      </c>
      <c r="AV282" s="56">
        <v>95.048011779785199</v>
      </c>
      <c r="AW282" s="57">
        <v>277.59126649349929</v>
      </c>
      <c r="AX282" s="8"/>
      <c r="AZ282" s="1">
        <v>90</v>
      </c>
    </row>
    <row r="283" spans="3:52" ht="15" customHeight="1" x14ac:dyDescent="0.25">
      <c r="C283" s="42"/>
      <c r="D283" s="43">
        <f>D280</f>
        <v>45711</v>
      </c>
      <c r="E283" s="44">
        <f t="shared" si="28"/>
        <v>22.49999999999995</v>
      </c>
      <c r="F283" s="45">
        <f t="shared" si="27"/>
        <v>45711.500000000648</v>
      </c>
      <c r="G283" s="52">
        <v>38</v>
      </c>
      <c r="H283" s="53">
        <v>40</v>
      </c>
      <c r="I283" s="54">
        <v>10.1</v>
      </c>
      <c r="J283" s="54">
        <v>250</v>
      </c>
      <c r="K283" s="55">
        <v>6.1</v>
      </c>
      <c r="L283" s="56">
        <v>40</v>
      </c>
      <c r="M283" s="54">
        <v>10.4</v>
      </c>
      <c r="N283" s="54">
        <v>250</v>
      </c>
      <c r="O283" s="57">
        <v>6.4</v>
      </c>
      <c r="P283" s="53">
        <v>41</v>
      </c>
      <c r="Q283" s="54">
        <v>10.3</v>
      </c>
      <c r="R283" s="55">
        <v>0</v>
      </c>
      <c r="S283" s="55">
        <v>6.2</v>
      </c>
      <c r="T283" s="57">
        <v>17.11</v>
      </c>
      <c r="U283" s="56">
        <v>40</v>
      </c>
      <c r="V283" s="54">
        <v>10.199999999999999</v>
      </c>
      <c r="W283" s="55">
        <v>0</v>
      </c>
      <c r="X283" s="55">
        <v>6.5</v>
      </c>
      <c r="Y283" s="57">
        <v>15.57</v>
      </c>
      <c r="Z283" s="53">
        <v>40</v>
      </c>
      <c r="AA283" s="54">
        <v>10.3</v>
      </c>
      <c r="AB283" s="55">
        <v>0</v>
      </c>
      <c r="AC283" s="55">
        <v>6.4</v>
      </c>
      <c r="AD283" s="57">
        <v>14.8</v>
      </c>
      <c r="AE283" s="56">
        <v>41</v>
      </c>
      <c r="AF283" s="54">
        <v>10.3</v>
      </c>
      <c r="AG283" s="55">
        <v>0</v>
      </c>
      <c r="AH283" s="55">
        <v>6.3</v>
      </c>
      <c r="AI283" s="57">
        <v>10.57</v>
      </c>
      <c r="AJ283" s="56">
        <v>39</v>
      </c>
      <c r="AK283" s="54">
        <v>10.3</v>
      </c>
      <c r="AL283" s="54">
        <v>0</v>
      </c>
      <c r="AM283" s="54">
        <v>6</v>
      </c>
      <c r="AN283" s="57">
        <v>3.84</v>
      </c>
      <c r="AO283" s="53">
        <v>37</v>
      </c>
      <c r="AP283" s="54">
        <v>10.199999999999999</v>
      </c>
      <c r="AQ283" s="54">
        <v>160</v>
      </c>
      <c r="AR283" s="54">
        <v>6.9</v>
      </c>
      <c r="AS283" s="57">
        <v>12.5</v>
      </c>
      <c r="AT283" s="56">
        <v>30</v>
      </c>
      <c r="AU283" s="57">
        <v>120</v>
      </c>
      <c r="AV283" s="56">
        <v>95.271804809570298</v>
      </c>
      <c r="AW283" s="57">
        <v>270.98042079318935</v>
      </c>
      <c r="AX283" s="8"/>
      <c r="AZ283" s="1">
        <v>90</v>
      </c>
    </row>
    <row r="284" spans="3:52" ht="15" customHeight="1" x14ac:dyDescent="0.25">
      <c r="C284" s="42"/>
      <c r="D284" s="43">
        <f>D280</f>
        <v>45711</v>
      </c>
      <c r="E284" s="44">
        <f t="shared" si="28"/>
        <v>22.583333333333282</v>
      </c>
      <c r="F284" s="45">
        <f t="shared" si="27"/>
        <v>45711.583333333983</v>
      </c>
      <c r="G284" s="52">
        <v>41</v>
      </c>
      <c r="H284" s="53">
        <v>40</v>
      </c>
      <c r="I284" s="54">
        <v>10</v>
      </c>
      <c r="J284" s="54">
        <v>250</v>
      </c>
      <c r="K284" s="55">
        <v>6.2</v>
      </c>
      <c r="L284" s="56">
        <v>41</v>
      </c>
      <c r="M284" s="54">
        <v>10.199999999999999</v>
      </c>
      <c r="N284" s="54">
        <v>250</v>
      </c>
      <c r="O284" s="57">
        <v>6.3</v>
      </c>
      <c r="P284" s="53">
        <v>40</v>
      </c>
      <c r="Q284" s="54">
        <v>10.3</v>
      </c>
      <c r="R284" s="55">
        <v>0</v>
      </c>
      <c r="S284" s="55">
        <v>6.1</v>
      </c>
      <c r="T284" s="57">
        <v>17.690000000000001</v>
      </c>
      <c r="U284" s="56">
        <v>40</v>
      </c>
      <c r="V284" s="54">
        <v>10.3</v>
      </c>
      <c r="W284" s="55">
        <v>0</v>
      </c>
      <c r="X284" s="55">
        <v>6.4</v>
      </c>
      <c r="Y284" s="57">
        <v>15.38</v>
      </c>
      <c r="Z284" s="53">
        <v>40</v>
      </c>
      <c r="AA284" s="54">
        <v>10.3</v>
      </c>
      <c r="AB284" s="55">
        <v>0</v>
      </c>
      <c r="AC284" s="55">
        <v>6.2</v>
      </c>
      <c r="AD284" s="57">
        <v>15.38</v>
      </c>
      <c r="AE284" s="56">
        <v>40</v>
      </c>
      <c r="AF284" s="54">
        <v>10.3</v>
      </c>
      <c r="AG284" s="55">
        <v>0</v>
      </c>
      <c r="AH284" s="55">
        <v>6.3</v>
      </c>
      <c r="AI284" s="57">
        <v>14.42</v>
      </c>
      <c r="AJ284" s="56">
        <v>38</v>
      </c>
      <c r="AK284" s="54">
        <v>10.199999999999999</v>
      </c>
      <c r="AL284" s="54">
        <v>0</v>
      </c>
      <c r="AM284" s="54">
        <v>5.9</v>
      </c>
      <c r="AN284" s="57">
        <v>7.69</v>
      </c>
      <c r="AO284" s="53">
        <v>37</v>
      </c>
      <c r="AP284" s="54">
        <v>10.199999999999999</v>
      </c>
      <c r="AQ284" s="54">
        <v>190</v>
      </c>
      <c r="AR284" s="54">
        <v>5.7</v>
      </c>
      <c r="AS284" s="57">
        <v>5.76</v>
      </c>
      <c r="AT284" s="56">
        <v>31</v>
      </c>
      <c r="AU284" s="57">
        <v>140</v>
      </c>
      <c r="AV284" s="56">
        <v>94.62890625</v>
      </c>
      <c r="AW284" s="57">
        <v>261.99676960361347</v>
      </c>
      <c r="AX284" s="8"/>
      <c r="AZ284" s="1">
        <v>90</v>
      </c>
    </row>
    <row r="285" spans="3:52" ht="15" customHeight="1" x14ac:dyDescent="0.25">
      <c r="C285" s="42"/>
      <c r="D285" s="43">
        <f>D280</f>
        <v>45711</v>
      </c>
      <c r="E285" s="44">
        <f t="shared" si="28"/>
        <v>22.666666666666615</v>
      </c>
      <c r="F285" s="45">
        <f t="shared" si="27"/>
        <v>45711.666666667319</v>
      </c>
      <c r="G285" s="52">
        <v>43</v>
      </c>
      <c r="H285" s="53">
        <v>40</v>
      </c>
      <c r="I285" s="54">
        <v>9.4600000000000009</v>
      </c>
      <c r="J285" s="54">
        <v>250</v>
      </c>
      <c r="K285" s="55">
        <v>6.1</v>
      </c>
      <c r="L285" s="56">
        <v>35</v>
      </c>
      <c r="M285" s="54">
        <v>10.1</v>
      </c>
      <c r="N285" s="54">
        <v>250</v>
      </c>
      <c r="O285" s="57">
        <v>6.5</v>
      </c>
      <c r="P285" s="53">
        <v>38</v>
      </c>
      <c r="Q285" s="54">
        <v>10.199999999999999</v>
      </c>
      <c r="R285" s="55">
        <v>0</v>
      </c>
      <c r="S285" s="55">
        <v>5.8</v>
      </c>
      <c r="T285" s="57">
        <v>17.690000000000001</v>
      </c>
      <c r="U285" s="56">
        <v>31</v>
      </c>
      <c r="V285" s="54">
        <v>10.199999999999999</v>
      </c>
      <c r="W285" s="55">
        <v>0</v>
      </c>
      <c r="X285" s="55">
        <v>6.2</v>
      </c>
      <c r="Y285" s="57">
        <v>14.42</v>
      </c>
      <c r="Z285" s="53">
        <v>38</v>
      </c>
      <c r="AA285" s="54">
        <v>10.199999999999999</v>
      </c>
      <c r="AB285" s="55">
        <v>0</v>
      </c>
      <c r="AC285" s="55">
        <v>6</v>
      </c>
      <c r="AD285" s="57">
        <v>15.19</v>
      </c>
      <c r="AE285" s="56">
        <v>37</v>
      </c>
      <c r="AF285" s="54">
        <v>10.3</v>
      </c>
      <c r="AG285" s="55">
        <v>0</v>
      </c>
      <c r="AH285" s="55">
        <v>6.2</v>
      </c>
      <c r="AI285" s="57">
        <v>14.42</v>
      </c>
      <c r="AJ285" s="56">
        <v>36</v>
      </c>
      <c r="AK285" s="54">
        <v>10.3</v>
      </c>
      <c r="AL285" s="54">
        <v>0</v>
      </c>
      <c r="AM285" s="54">
        <v>5.7</v>
      </c>
      <c r="AN285" s="57">
        <v>6.73</v>
      </c>
      <c r="AO285" s="53">
        <v>35</v>
      </c>
      <c r="AP285" s="54">
        <v>10.3</v>
      </c>
      <c r="AQ285" s="54">
        <v>180</v>
      </c>
      <c r="AR285" s="54">
        <v>5.4</v>
      </c>
      <c r="AS285" s="57">
        <v>7.69</v>
      </c>
      <c r="AT285" s="56">
        <v>29</v>
      </c>
      <c r="AU285" s="57">
        <v>130</v>
      </c>
      <c r="AV285" s="56">
        <v>95.011390686035199</v>
      </c>
      <c r="AW285" s="57">
        <v>280.85720446145473</v>
      </c>
      <c r="AX285" s="8"/>
      <c r="AZ285" s="1">
        <v>90</v>
      </c>
    </row>
    <row r="286" spans="3:52" ht="15" customHeight="1" x14ac:dyDescent="0.25">
      <c r="C286" s="42"/>
      <c r="D286" s="43">
        <f>D280</f>
        <v>45711</v>
      </c>
      <c r="E286" s="44">
        <f t="shared" si="28"/>
        <v>22.749999999999947</v>
      </c>
      <c r="F286" s="45">
        <f t="shared" si="27"/>
        <v>45711.750000000655</v>
      </c>
      <c r="G286" s="52">
        <v>41</v>
      </c>
      <c r="H286" s="53">
        <v>40</v>
      </c>
      <c r="I286" s="54">
        <v>10</v>
      </c>
      <c r="J286" s="54">
        <v>250</v>
      </c>
      <c r="K286" s="55">
        <v>6.5</v>
      </c>
      <c r="L286" s="56">
        <v>34</v>
      </c>
      <c r="M286" s="54">
        <v>10</v>
      </c>
      <c r="N286" s="54">
        <v>250</v>
      </c>
      <c r="O286" s="57">
        <v>6.7</v>
      </c>
      <c r="P286" s="53">
        <v>38</v>
      </c>
      <c r="Q286" s="54">
        <v>10.199999999999999</v>
      </c>
      <c r="R286" s="55">
        <v>0</v>
      </c>
      <c r="S286" s="55">
        <v>6.2</v>
      </c>
      <c r="T286" s="57">
        <v>17.690000000000001</v>
      </c>
      <c r="U286" s="56">
        <v>36</v>
      </c>
      <c r="V286" s="54">
        <v>10.199999999999999</v>
      </c>
      <c r="W286" s="55">
        <v>0</v>
      </c>
      <c r="X286" s="55">
        <v>6.1</v>
      </c>
      <c r="Y286" s="57">
        <v>15.38</v>
      </c>
      <c r="Z286" s="53">
        <v>37</v>
      </c>
      <c r="AA286" s="54">
        <v>10.199999999999999</v>
      </c>
      <c r="AB286" s="55">
        <v>0</v>
      </c>
      <c r="AC286" s="55">
        <v>6</v>
      </c>
      <c r="AD286" s="57">
        <v>15.38</v>
      </c>
      <c r="AE286" s="56">
        <v>36</v>
      </c>
      <c r="AF286" s="54">
        <v>10.199999999999999</v>
      </c>
      <c r="AG286" s="55">
        <v>0</v>
      </c>
      <c r="AH286" s="55">
        <v>6.2</v>
      </c>
      <c r="AI286" s="57">
        <v>14.8</v>
      </c>
      <c r="AJ286" s="56">
        <v>37</v>
      </c>
      <c r="AK286" s="54">
        <v>10.3</v>
      </c>
      <c r="AL286" s="54">
        <v>0</v>
      </c>
      <c r="AM286" s="54">
        <v>5.4</v>
      </c>
      <c r="AN286" s="57">
        <v>6.73</v>
      </c>
      <c r="AO286" s="53">
        <v>34</v>
      </c>
      <c r="AP286" s="54">
        <v>10.4</v>
      </c>
      <c r="AQ286" s="54">
        <v>180</v>
      </c>
      <c r="AR286" s="54">
        <v>5.3</v>
      </c>
      <c r="AS286" s="57">
        <v>9.61</v>
      </c>
      <c r="AT286" s="56">
        <v>27</v>
      </c>
      <c r="AU286" s="57">
        <v>130</v>
      </c>
      <c r="AV286" s="56">
        <v>95.01953125</v>
      </c>
      <c r="AW286" s="57">
        <v>278.59676424033631</v>
      </c>
      <c r="AX286" s="8"/>
      <c r="AZ286" s="1">
        <v>90</v>
      </c>
    </row>
    <row r="287" spans="3:52" ht="15" customHeight="1" x14ac:dyDescent="0.25">
      <c r="C287" s="42"/>
      <c r="D287" s="43">
        <f>D280</f>
        <v>45711</v>
      </c>
      <c r="E287" s="44">
        <f t="shared" si="28"/>
        <v>22.833333333333279</v>
      </c>
      <c r="F287" s="45">
        <f t="shared" si="27"/>
        <v>45711.833333333991</v>
      </c>
      <c r="G287" s="52">
        <v>39</v>
      </c>
      <c r="H287" s="53">
        <v>39</v>
      </c>
      <c r="I287" s="54">
        <v>10</v>
      </c>
      <c r="J287" s="54">
        <v>250</v>
      </c>
      <c r="K287" s="55">
        <v>6.3</v>
      </c>
      <c r="L287" s="56">
        <v>39</v>
      </c>
      <c r="M287" s="54">
        <v>9.8000000000000007</v>
      </c>
      <c r="N287" s="54">
        <v>250</v>
      </c>
      <c r="O287" s="57">
        <v>6.3</v>
      </c>
      <c r="P287" s="53">
        <v>39</v>
      </c>
      <c r="Q287" s="54">
        <v>10</v>
      </c>
      <c r="R287" s="55">
        <v>0</v>
      </c>
      <c r="S287" s="55">
        <v>6.8</v>
      </c>
      <c r="T287" s="57">
        <v>17.3</v>
      </c>
      <c r="U287" s="56">
        <v>39</v>
      </c>
      <c r="V287" s="54">
        <v>10.1</v>
      </c>
      <c r="W287" s="55">
        <v>0</v>
      </c>
      <c r="X287" s="55">
        <v>6.1</v>
      </c>
      <c r="Y287" s="57">
        <v>16.34</v>
      </c>
      <c r="Z287" s="53">
        <v>39</v>
      </c>
      <c r="AA287" s="54">
        <v>10.199999999999999</v>
      </c>
      <c r="AB287" s="55">
        <v>0</v>
      </c>
      <c r="AC287" s="55">
        <v>6</v>
      </c>
      <c r="AD287" s="57">
        <v>15.38</v>
      </c>
      <c r="AE287" s="56">
        <v>38</v>
      </c>
      <c r="AF287" s="54">
        <v>10.1</v>
      </c>
      <c r="AG287" s="55">
        <v>0</v>
      </c>
      <c r="AH287" s="55">
        <v>5.5</v>
      </c>
      <c r="AI287" s="57">
        <v>14.42</v>
      </c>
      <c r="AJ287" s="56">
        <v>38</v>
      </c>
      <c r="AK287" s="54">
        <v>10.1</v>
      </c>
      <c r="AL287" s="54">
        <v>0</v>
      </c>
      <c r="AM287" s="54">
        <v>5.9</v>
      </c>
      <c r="AN287" s="57">
        <v>8.65</v>
      </c>
      <c r="AO287" s="53">
        <v>38</v>
      </c>
      <c r="AP287" s="54">
        <v>10.1</v>
      </c>
      <c r="AQ287" s="54">
        <v>140</v>
      </c>
      <c r="AR287" s="54">
        <v>5.6</v>
      </c>
      <c r="AS287" s="57">
        <v>11.46</v>
      </c>
      <c r="AT287" s="56">
        <v>27</v>
      </c>
      <c r="AU287" s="57">
        <v>80</v>
      </c>
      <c r="AV287" s="56">
        <v>95.12939453125</v>
      </c>
      <c r="AW287" s="57">
        <v>281.29460867123368</v>
      </c>
      <c r="AX287" s="8"/>
      <c r="AZ287" s="1">
        <v>90</v>
      </c>
    </row>
    <row r="288" spans="3:52" ht="15" customHeight="1" x14ac:dyDescent="0.25">
      <c r="C288" s="42"/>
      <c r="D288" s="43">
        <f>D280</f>
        <v>45711</v>
      </c>
      <c r="E288" s="44">
        <f t="shared" si="28"/>
        <v>22.916666666666611</v>
      </c>
      <c r="F288" s="45">
        <f t="shared" si="27"/>
        <v>45711.916666667326</v>
      </c>
      <c r="G288" s="52">
        <v>38</v>
      </c>
      <c r="H288" s="53">
        <v>39</v>
      </c>
      <c r="I288" s="54">
        <v>10.5</v>
      </c>
      <c r="J288" s="54">
        <v>300</v>
      </c>
      <c r="K288" s="55">
        <v>6.5</v>
      </c>
      <c r="L288" s="56">
        <v>37</v>
      </c>
      <c r="M288" s="54">
        <v>9.9</v>
      </c>
      <c r="N288" s="54">
        <v>250</v>
      </c>
      <c r="O288" s="57">
        <v>6.2</v>
      </c>
      <c r="P288" s="53">
        <v>38</v>
      </c>
      <c r="Q288" s="54">
        <v>10.1</v>
      </c>
      <c r="R288" s="55">
        <v>0</v>
      </c>
      <c r="S288" s="55">
        <v>6.5</v>
      </c>
      <c r="T288" s="57">
        <v>17.3</v>
      </c>
      <c r="U288" s="56">
        <v>38</v>
      </c>
      <c r="V288" s="54">
        <v>10.1</v>
      </c>
      <c r="W288" s="55">
        <v>0</v>
      </c>
      <c r="X288" s="55">
        <v>6</v>
      </c>
      <c r="Y288" s="57">
        <v>15.38</v>
      </c>
      <c r="Z288" s="53">
        <v>38</v>
      </c>
      <c r="AA288" s="54">
        <v>10.199999999999999</v>
      </c>
      <c r="AB288" s="55">
        <v>0</v>
      </c>
      <c r="AC288" s="55">
        <v>5.9</v>
      </c>
      <c r="AD288" s="57">
        <v>14.42</v>
      </c>
      <c r="AE288" s="56">
        <v>37</v>
      </c>
      <c r="AF288" s="54">
        <v>10.199999999999999</v>
      </c>
      <c r="AG288" s="55">
        <v>0</v>
      </c>
      <c r="AH288" s="55">
        <v>5.4</v>
      </c>
      <c r="AI288" s="57">
        <v>14.42</v>
      </c>
      <c r="AJ288" s="56">
        <v>37</v>
      </c>
      <c r="AK288" s="54">
        <v>10.199999999999999</v>
      </c>
      <c r="AL288" s="54">
        <v>0</v>
      </c>
      <c r="AM288" s="54">
        <v>5.7</v>
      </c>
      <c r="AN288" s="57">
        <v>9.61</v>
      </c>
      <c r="AO288" s="53">
        <v>35</v>
      </c>
      <c r="AP288" s="54">
        <v>10.199999999999999</v>
      </c>
      <c r="AQ288" s="54">
        <v>150</v>
      </c>
      <c r="AR288" s="54">
        <v>5.5</v>
      </c>
      <c r="AS288" s="57">
        <v>11.53</v>
      </c>
      <c r="AT288" s="56">
        <v>30</v>
      </c>
      <c r="AU288" s="57">
        <v>100</v>
      </c>
      <c r="AV288" s="56">
        <v>95.035804748535199</v>
      </c>
      <c r="AW288" s="57">
        <v>282.82877651969903</v>
      </c>
      <c r="AX288" s="8"/>
      <c r="AZ288" s="1">
        <v>90</v>
      </c>
    </row>
    <row r="289" spans="3:52" ht="15" customHeight="1" x14ac:dyDescent="0.25">
      <c r="C289" s="42"/>
      <c r="D289" s="43">
        <f>D280</f>
        <v>45711</v>
      </c>
      <c r="E289" s="44">
        <f t="shared" si="28"/>
        <v>22.999999999999943</v>
      </c>
      <c r="F289" s="45">
        <f t="shared" si="27"/>
        <v>45712.000000000662</v>
      </c>
      <c r="G289" s="52">
        <v>39</v>
      </c>
      <c r="H289" s="53">
        <v>40</v>
      </c>
      <c r="I289" s="54">
        <v>10.1</v>
      </c>
      <c r="J289" s="54">
        <v>250</v>
      </c>
      <c r="K289" s="55">
        <v>6.7</v>
      </c>
      <c r="L289" s="56">
        <v>38</v>
      </c>
      <c r="M289" s="54">
        <v>10</v>
      </c>
      <c r="N289" s="54">
        <v>250</v>
      </c>
      <c r="O289" s="57">
        <v>6.3</v>
      </c>
      <c r="P289" s="53">
        <v>37</v>
      </c>
      <c r="Q289" s="54">
        <v>10.199999999999999</v>
      </c>
      <c r="R289" s="55">
        <v>0</v>
      </c>
      <c r="S289" s="55">
        <v>6.3</v>
      </c>
      <c r="T289" s="57">
        <v>17.690000000000001</v>
      </c>
      <c r="U289" s="56">
        <v>37</v>
      </c>
      <c r="V289" s="54">
        <v>10.199999999999999</v>
      </c>
      <c r="W289" s="55">
        <v>0</v>
      </c>
      <c r="X289" s="55">
        <v>5.9</v>
      </c>
      <c r="Y289" s="57">
        <v>16.149999999999999</v>
      </c>
      <c r="Z289" s="53">
        <v>38</v>
      </c>
      <c r="AA289" s="54">
        <v>10.199999999999999</v>
      </c>
      <c r="AB289" s="55">
        <v>0</v>
      </c>
      <c r="AC289" s="55">
        <v>5.7</v>
      </c>
      <c r="AD289" s="57">
        <v>15.38</v>
      </c>
      <c r="AE289" s="56">
        <v>37</v>
      </c>
      <c r="AF289" s="54">
        <v>10.3</v>
      </c>
      <c r="AG289" s="55">
        <v>0</v>
      </c>
      <c r="AH289" s="55">
        <v>5.5</v>
      </c>
      <c r="AI289" s="57">
        <v>14.23</v>
      </c>
      <c r="AJ289" s="56">
        <v>38</v>
      </c>
      <c r="AK289" s="54">
        <v>10.3</v>
      </c>
      <c r="AL289" s="54">
        <v>0</v>
      </c>
      <c r="AM289" s="54">
        <v>5.8</v>
      </c>
      <c r="AN289" s="57">
        <v>9.42</v>
      </c>
      <c r="AO289" s="53">
        <v>37</v>
      </c>
      <c r="AP289" s="54">
        <v>10.4</v>
      </c>
      <c r="AQ289" s="54">
        <v>140</v>
      </c>
      <c r="AR289" s="54">
        <v>5.6</v>
      </c>
      <c r="AS289" s="57">
        <v>11.53</v>
      </c>
      <c r="AT289" s="56">
        <v>29</v>
      </c>
      <c r="AU289" s="57">
        <v>100</v>
      </c>
      <c r="AV289" s="56">
        <v>95.03173828125</v>
      </c>
      <c r="AW289" s="57">
        <v>282.77717422202693</v>
      </c>
      <c r="AX289" s="8"/>
      <c r="AZ289" s="1">
        <v>90</v>
      </c>
    </row>
    <row r="290" spans="3:52" ht="15" customHeight="1" x14ac:dyDescent="0.25">
      <c r="C290" s="42"/>
      <c r="D290" s="43">
        <f>D280</f>
        <v>45711</v>
      </c>
      <c r="E290" s="44">
        <f t="shared" si="28"/>
        <v>23.083333333333275</v>
      </c>
      <c r="F290" s="45">
        <f t="shared" si="27"/>
        <v>45712.083333333998</v>
      </c>
      <c r="G290" s="52">
        <v>40</v>
      </c>
      <c r="H290" s="53">
        <v>40</v>
      </c>
      <c r="I290" s="54">
        <v>10.199999999999999</v>
      </c>
      <c r="J290" s="54">
        <v>300</v>
      </c>
      <c r="K290" s="55">
        <v>6.5</v>
      </c>
      <c r="L290" s="56">
        <v>40</v>
      </c>
      <c r="M290" s="54">
        <v>10</v>
      </c>
      <c r="N290" s="54">
        <v>300</v>
      </c>
      <c r="O290" s="57">
        <v>6.6</v>
      </c>
      <c r="P290" s="53">
        <v>39</v>
      </c>
      <c r="Q290" s="54">
        <v>10.199999999999999</v>
      </c>
      <c r="R290" s="55">
        <v>0</v>
      </c>
      <c r="S290" s="55">
        <v>6.1</v>
      </c>
      <c r="T290" s="57">
        <v>17.3</v>
      </c>
      <c r="U290" s="56">
        <v>38</v>
      </c>
      <c r="V290" s="54">
        <v>10.199999999999999</v>
      </c>
      <c r="W290" s="55">
        <v>0</v>
      </c>
      <c r="X290" s="55">
        <v>6</v>
      </c>
      <c r="Y290" s="57">
        <v>15.38</v>
      </c>
      <c r="Z290" s="53">
        <v>38</v>
      </c>
      <c r="AA290" s="54">
        <v>10.199999999999999</v>
      </c>
      <c r="AB290" s="55">
        <v>0</v>
      </c>
      <c r="AC290" s="55">
        <v>5.5</v>
      </c>
      <c r="AD290" s="57">
        <v>13.46</v>
      </c>
      <c r="AE290" s="56">
        <v>38</v>
      </c>
      <c r="AF290" s="54">
        <v>10.199999999999999</v>
      </c>
      <c r="AG290" s="55">
        <v>0</v>
      </c>
      <c r="AH290" s="55">
        <v>5.8</v>
      </c>
      <c r="AI290" s="57">
        <v>14.42</v>
      </c>
      <c r="AJ290" s="56">
        <v>38</v>
      </c>
      <c r="AK290" s="54">
        <v>10.199999999999999</v>
      </c>
      <c r="AL290" s="54">
        <v>0</v>
      </c>
      <c r="AM290" s="54">
        <v>5.5</v>
      </c>
      <c r="AN290" s="57">
        <v>9.61</v>
      </c>
      <c r="AO290" s="53">
        <v>38</v>
      </c>
      <c r="AP290" s="54">
        <v>10.199999999999999</v>
      </c>
      <c r="AQ290" s="54">
        <v>140</v>
      </c>
      <c r="AR290" s="54">
        <v>5.4</v>
      </c>
      <c r="AS290" s="57">
        <v>11.57</v>
      </c>
      <c r="AT290" s="56">
        <v>33</v>
      </c>
      <c r="AU290" s="57">
        <v>90</v>
      </c>
      <c r="AV290" s="56">
        <v>95.05615234375</v>
      </c>
      <c r="AW290" s="57">
        <v>280.32202409354505</v>
      </c>
      <c r="AX290" s="8"/>
      <c r="AZ290" s="1">
        <v>90</v>
      </c>
    </row>
    <row r="291" spans="3:52" ht="15" customHeight="1" x14ac:dyDescent="0.25">
      <c r="C291" s="42"/>
      <c r="D291" s="69">
        <f>D280</f>
        <v>45711</v>
      </c>
      <c r="E291" s="70">
        <f t="shared" si="28"/>
        <v>23.166666666666607</v>
      </c>
      <c r="F291" s="71">
        <f t="shared" si="27"/>
        <v>45712.166666667334</v>
      </c>
      <c r="G291" s="60">
        <v>39</v>
      </c>
      <c r="H291" s="61">
        <v>40</v>
      </c>
      <c r="I291" s="62">
        <v>10.4</v>
      </c>
      <c r="J291" s="62">
        <v>300</v>
      </c>
      <c r="K291" s="63">
        <v>6.2</v>
      </c>
      <c r="L291" s="64">
        <v>39</v>
      </c>
      <c r="M291" s="62">
        <v>10.199999999999999</v>
      </c>
      <c r="N291" s="62">
        <v>300</v>
      </c>
      <c r="O291" s="65">
        <v>6.4</v>
      </c>
      <c r="P291" s="61">
        <v>38</v>
      </c>
      <c r="Q291" s="62">
        <v>10.199999999999999</v>
      </c>
      <c r="R291" s="63">
        <v>0</v>
      </c>
      <c r="S291" s="63">
        <v>6.4</v>
      </c>
      <c r="T291" s="65">
        <v>17.3</v>
      </c>
      <c r="U291" s="64">
        <v>38</v>
      </c>
      <c r="V291" s="62">
        <v>10.199999999999999</v>
      </c>
      <c r="W291" s="63">
        <v>0</v>
      </c>
      <c r="X291" s="63">
        <v>5.9</v>
      </c>
      <c r="Y291" s="65">
        <v>16.34</v>
      </c>
      <c r="Z291" s="61">
        <v>37</v>
      </c>
      <c r="AA291" s="62">
        <v>10.199999999999999</v>
      </c>
      <c r="AB291" s="63">
        <v>0</v>
      </c>
      <c r="AC291" s="63">
        <v>5.7</v>
      </c>
      <c r="AD291" s="65">
        <v>14.42</v>
      </c>
      <c r="AE291" s="64">
        <v>37</v>
      </c>
      <c r="AF291" s="62">
        <v>10.3</v>
      </c>
      <c r="AG291" s="63">
        <v>0</v>
      </c>
      <c r="AH291" s="63">
        <v>5.6</v>
      </c>
      <c r="AI291" s="65">
        <v>14.23</v>
      </c>
      <c r="AJ291" s="64">
        <v>37</v>
      </c>
      <c r="AK291" s="62">
        <v>10.3</v>
      </c>
      <c r="AL291" s="62">
        <v>0</v>
      </c>
      <c r="AM291" s="62">
        <v>5.2</v>
      </c>
      <c r="AN291" s="65">
        <v>9.61</v>
      </c>
      <c r="AO291" s="61">
        <v>36</v>
      </c>
      <c r="AP291" s="62">
        <v>10.3</v>
      </c>
      <c r="AQ291" s="62">
        <v>150</v>
      </c>
      <c r="AR291" s="62">
        <v>5.0999999999999996</v>
      </c>
      <c r="AS291" s="65">
        <v>12.5</v>
      </c>
      <c r="AT291" s="64">
        <v>30</v>
      </c>
      <c r="AU291" s="65">
        <v>90</v>
      </c>
      <c r="AV291" s="64">
        <v>94.9951171875</v>
      </c>
      <c r="AW291" s="65">
        <v>284.30109474953883</v>
      </c>
      <c r="AX291" s="8"/>
      <c r="AZ291" s="1">
        <v>90</v>
      </c>
    </row>
    <row r="292" spans="3:52" ht="15" customHeight="1" x14ac:dyDescent="0.25">
      <c r="C292" s="42">
        <f>C280+1</f>
        <v>24</v>
      </c>
      <c r="D292" s="66">
        <f>DATE([2]Dash!$F$3,VLOOKUP([2]Dash!$E$3,[2]Abb!$C$3:$D$14,2,FALSE),C292)</f>
        <v>45712</v>
      </c>
      <c r="E292" s="67">
        <f>E291+2/24</f>
        <v>23.24999999999994</v>
      </c>
      <c r="F292" s="68">
        <f t="shared" si="27"/>
        <v>45712.250000000669</v>
      </c>
      <c r="G292" s="46">
        <v>39</v>
      </c>
      <c r="H292" s="47">
        <v>39</v>
      </c>
      <c r="I292" s="48">
        <v>10.5</v>
      </c>
      <c r="J292" s="48">
        <v>300</v>
      </c>
      <c r="K292" s="49">
        <v>6.5</v>
      </c>
      <c r="L292" s="50">
        <v>39</v>
      </c>
      <c r="M292" s="48">
        <v>10.199999999999999</v>
      </c>
      <c r="N292" s="48">
        <v>300</v>
      </c>
      <c r="O292" s="51">
        <v>6.6</v>
      </c>
      <c r="P292" s="47">
        <v>38</v>
      </c>
      <c r="Q292" s="48">
        <v>10.199999999999999</v>
      </c>
      <c r="R292" s="49">
        <v>0</v>
      </c>
      <c r="S292" s="49">
        <v>6.5</v>
      </c>
      <c r="T292" s="51">
        <v>17.3</v>
      </c>
      <c r="U292" s="50">
        <v>38</v>
      </c>
      <c r="V292" s="48">
        <v>10.199999999999999</v>
      </c>
      <c r="W292" s="49">
        <v>0</v>
      </c>
      <c r="X292" s="49">
        <v>6</v>
      </c>
      <c r="Y292" s="51">
        <v>15.38</v>
      </c>
      <c r="Z292" s="47">
        <v>38</v>
      </c>
      <c r="AA292" s="48">
        <v>10.199999999999999</v>
      </c>
      <c r="AB292" s="49">
        <v>0</v>
      </c>
      <c r="AC292" s="49">
        <v>5.7</v>
      </c>
      <c r="AD292" s="51">
        <v>14.42</v>
      </c>
      <c r="AE292" s="50">
        <v>37</v>
      </c>
      <c r="AF292" s="48">
        <v>10.3</v>
      </c>
      <c r="AG292" s="49">
        <v>0</v>
      </c>
      <c r="AH292" s="49">
        <v>5.5</v>
      </c>
      <c r="AI292" s="51">
        <v>14.42</v>
      </c>
      <c r="AJ292" s="50">
        <v>37</v>
      </c>
      <c r="AK292" s="48">
        <v>10.3</v>
      </c>
      <c r="AL292" s="48">
        <v>0</v>
      </c>
      <c r="AM292" s="48">
        <v>5.5</v>
      </c>
      <c r="AN292" s="51">
        <v>9.61</v>
      </c>
      <c r="AO292" s="47">
        <v>35</v>
      </c>
      <c r="AP292" s="48">
        <v>10.4</v>
      </c>
      <c r="AQ292" s="48">
        <v>160</v>
      </c>
      <c r="AR292" s="48">
        <v>5.3</v>
      </c>
      <c r="AS292" s="51">
        <v>12.5</v>
      </c>
      <c r="AT292" s="50">
        <v>29</v>
      </c>
      <c r="AU292" s="51">
        <v>100</v>
      </c>
      <c r="AV292" s="50">
        <v>95.015457153320298</v>
      </c>
      <c r="AW292" s="51">
        <v>288.95351146175528</v>
      </c>
      <c r="AX292" s="8"/>
      <c r="AZ292" s="1">
        <v>90</v>
      </c>
    </row>
    <row r="293" spans="3:52" ht="15" customHeight="1" x14ac:dyDescent="0.25">
      <c r="C293" s="42"/>
      <c r="D293" s="43">
        <f>D292</f>
        <v>45712</v>
      </c>
      <c r="E293" s="44">
        <f>E292+2/24</f>
        <v>23.333333333333272</v>
      </c>
      <c r="F293" s="45">
        <f t="shared" si="27"/>
        <v>45712.333333334005</v>
      </c>
      <c r="G293" s="52">
        <v>39</v>
      </c>
      <c r="H293" s="53">
        <v>43</v>
      </c>
      <c r="I293" s="54">
        <v>10.1</v>
      </c>
      <c r="J293" s="54">
        <v>350</v>
      </c>
      <c r="K293" s="55">
        <v>6</v>
      </c>
      <c r="L293" s="56">
        <v>40</v>
      </c>
      <c r="M293" s="54">
        <v>10.199999999999999</v>
      </c>
      <c r="N293" s="54">
        <v>300</v>
      </c>
      <c r="O293" s="57">
        <v>7</v>
      </c>
      <c r="P293" s="53">
        <v>39</v>
      </c>
      <c r="Q293" s="54">
        <v>10.199999999999999</v>
      </c>
      <c r="R293" s="55">
        <v>0</v>
      </c>
      <c r="S293" s="55">
        <v>7.3</v>
      </c>
      <c r="T293" s="57">
        <v>17.3</v>
      </c>
      <c r="U293" s="56">
        <v>38</v>
      </c>
      <c r="V293" s="54">
        <v>10.199999999999999</v>
      </c>
      <c r="W293" s="55">
        <v>0</v>
      </c>
      <c r="X293" s="55">
        <v>6.4</v>
      </c>
      <c r="Y293" s="57">
        <v>14.61</v>
      </c>
      <c r="Z293" s="53">
        <v>38</v>
      </c>
      <c r="AA293" s="54">
        <v>10.1</v>
      </c>
      <c r="AB293" s="55">
        <v>0</v>
      </c>
      <c r="AC293" s="55">
        <v>6.3</v>
      </c>
      <c r="AD293" s="57">
        <v>14.8</v>
      </c>
      <c r="AE293" s="56">
        <v>38</v>
      </c>
      <c r="AF293" s="54">
        <v>10.1</v>
      </c>
      <c r="AG293" s="55">
        <v>0</v>
      </c>
      <c r="AH293" s="55">
        <v>6.1</v>
      </c>
      <c r="AI293" s="57">
        <v>14.23</v>
      </c>
      <c r="AJ293" s="56">
        <v>40</v>
      </c>
      <c r="AK293" s="54">
        <v>10.1</v>
      </c>
      <c r="AL293" s="54">
        <v>0</v>
      </c>
      <c r="AM293" s="54">
        <v>5.9</v>
      </c>
      <c r="AN293" s="57">
        <v>9.6300000000000008</v>
      </c>
      <c r="AO293" s="53">
        <v>40</v>
      </c>
      <c r="AP293" s="54">
        <v>10.199999999999999</v>
      </c>
      <c r="AQ293" s="54">
        <v>150</v>
      </c>
      <c r="AR293" s="54">
        <v>5.0999999999999996</v>
      </c>
      <c r="AS293" s="57">
        <v>10.57</v>
      </c>
      <c r="AT293" s="56">
        <v>33</v>
      </c>
      <c r="AU293" s="57">
        <v>120</v>
      </c>
      <c r="AV293" s="56">
        <v>95.023597717285199</v>
      </c>
      <c r="AW293" s="57">
        <v>285.26439658990131</v>
      </c>
      <c r="AX293" s="8"/>
      <c r="AZ293" s="1">
        <v>90</v>
      </c>
    </row>
    <row r="294" spans="3:52" ht="15" customHeight="1" x14ac:dyDescent="0.25">
      <c r="C294" s="42"/>
      <c r="D294" s="43">
        <f>D292</f>
        <v>45712</v>
      </c>
      <c r="E294" s="44">
        <f t="shared" ref="E294:E303" si="29">E293+2/24</f>
        <v>23.416666666666604</v>
      </c>
      <c r="F294" s="45">
        <f t="shared" si="27"/>
        <v>45712.416666667341</v>
      </c>
      <c r="G294" s="52">
        <v>0</v>
      </c>
      <c r="H294" s="53">
        <v>39</v>
      </c>
      <c r="I294" s="54">
        <v>10</v>
      </c>
      <c r="J294" s="54">
        <v>300</v>
      </c>
      <c r="K294" s="55">
        <v>6.5</v>
      </c>
      <c r="L294" s="56">
        <v>35</v>
      </c>
      <c r="M294" s="54">
        <v>10.1</v>
      </c>
      <c r="N294" s="54">
        <v>350</v>
      </c>
      <c r="O294" s="57">
        <v>6.9</v>
      </c>
      <c r="P294" s="53">
        <v>38</v>
      </c>
      <c r="Q294" s="54">
        <v>10.199999999999999</v>
      </c>
      <c r="R294" s="55">
        <v>0</v>
      </c>
      <c r="S294" s="55">
        <v>7.1</v>
      </c>
      <c r="T294" s="57">
        <v>17.11</v>
      </c>
      <c r="U294" s="56">
        <v>37</v>
      </c>
      <c r="V294" s="54">
        <v>10.199999999999999</v>
      </c>
      <c r="W294" s="55">
        <v>0</v>
      </c>
      <c r="X294" s="55">
        <v>6.4</v>
      </c>
      <c r="Y294" s="57">
        <v>14.23</v>
      </c>
      <c r="Z294" s="53">
        <v>37</v>
      </c>
      <c r="AA294" s="54">
        <v>10.1</v>
      </c>
      <c r="AB294" s="55">
        <v>0</v>
      </c>
      <c r="AC294" s="55">
        <v>6.2</v>
      </c>
      <c r="AD294" s="57">
        <v>15</v>
      </c>
      <c r="AE294" s="56">
        <v>39</v>
      </c>
      <c r="AF294" s="54">
        <v>10.1</v>
      </c>
      <c r="AG294" s="55">
        <v>0</v>
      </c>
      <c r="AH294" s="55">
        <v>6.1</v>
      </c>
      <c r="AI294" s="57">
        <v>14.23</v>
      </c>
      <c r="AJ294" s="56">
        <v>39</v>
      </c>
      <c r="AK294" s="54">
        <v>10.1</v>
      </c>
      <c r="AL294" s="54">
        <v>0</v>
      </c>
      <c r="AM294" s="54">
        <v>5.7</v>
      </c>
      <c r="AN294" s="57">
        <v>9.8000000000000007</v>
      </c>
      <c r="AO294" s="53">
        <v>39</v>
      </c>
      <c r="AP294" s="54">
        <v>10.1</v>
      </c>
      <c r="AQ294" s="54">
        <v>170</v>
      </c>
      <c r="AR294" s="54">
        <v>5.2</v>
      </c>
      <c r="AS294" s="57">
        <v>12.3</v>
      </c>
      <c r="AT294" s="56">
        <v>0</v>
      </c>
      <c r="AU294" s="57">
        <v>0</v>
      </c>
      <c r="AV294" s="56">
        <v>95.068359375</v>
      </c>
      <c r="AW294" s="57">
        <v>288.19553027153017</v>
      </c>
      <c r="AX294" s="8"/>
      <c r="AZ294" s="1">
        <v>90</v>
      </c>
    </row>
    <row r="295" spans="3:52" ht="15" customHeight="1" x14ac:dyDescent="0.25">
      <c r="C295" s="42"/>
      <c r="D295" s="43">
        <f>D292</f>
        <v>45712</v>
      </c>
      <c r="E295" s="44">
        <f t="shared" si="29"/>
        <v>23.499999999999936</v>
      </c>
      <c r="F295" s="45">
        <f t="shared" si="27"/>
        <v>45712.500000000677</v>
      </c>
      <c r="G295" s="52">
        <v>40</v>
      </c>
      <c r="H295" s="53">
        <v>37</v>
      </c>
      <c r="I295" s="54">
        <v>10</v>
      </c>
      <c r="J295" s="54">
        <v>300</v>
      </c>
      <c r="K295" s="55">
        <v>6.2</v>
      </c>
      <c r="L295" s="56">
        <v>36</v>
      </c>
      <c r="M295" s="54">
        <v>10</v>
      </c>
      <c r="N295" s="54">
        <v>300</v>
      </c>
      <c r="O295" s="57">
        <v>7.2</v>
      </c>
      <c r="P295" s="53">
        <v>38</v>
      </c>
      <c r="Q295" s="54">
        <v>10.1</v>
      </c>
      <c r="R295" s="55">
        <v>0</v>
      </c>
      <c r="S295" s="55">
        <v>6.9</v>
      </c>
      <c r="T295" s="57">
        <v>17.11</v>
      </c>
      <c r="U295" s="56">
        <v>37</v>
      </c>
      <c r="V295" s="54">
        <v>10.1</v>
      </c>
      <c r="W295" s="55">
        <v>0</v>
      </c>
      <c r="X295" s="55">
        <v>6.2</v>
      </c>
      <c r="Y295" s="57">
        <v>15.38</v>
      </c>
      <c r="Z295" s="53">
        <v>36</v>
      </c>
      <c r="AA295" s="54">
        <v>10.1</v>
      </c>
      <c r="AB295" s="55">
        <v>0</v>
      </c>
      <c r="AC295" s="55">
        <v>6</v>
      </c>
      <c r="AD295" s="57">
        <v>15.19</v>
      </c>
      <c r="AE295" s="56">
        <v>37</v>
      </c>
      <c r="AF295" s="54">
        <v>10</v>
      </c>
      <c r="AG295" s="55">
        <v>0</v>
      </c>
      <c r="AH295" s="55">
        <v>6</v>
      </c>
      <c r="AI295" s="57">
        <v>14.23</v>
      </c>
      <c r="AJ295" s="56">
        <v>38</v>
      </c>
      <c r="AK295" s="54">
        <v>10</v>
      </c>
      <c r="AL295" s="54">
        <v>0</v>
      </c>
      <c r="AM295" s="54">
        <v>5.5</v>
      </c>
      <c r="AN295" s="57">
        <v>10.57</v>
      </c>
      <c r="AO295" s="53">
        <v>39</v>
      </c>
      <c r="AP295" s="54">
        <v>10</v>
      </c>
      <c r="AQ295" s="54">
        <v>170</v>
      </c>
      <c r="AR295" s="54">
        <v>5.2</v>
      </c>
      <c r="AS295" s="57">
        <v>12.5</v>
      </c>
      <c r="AT295" s="56">
        <v>32</v>
      </c>
      <c r="AU295" s="57">
        <v>120</v>
      </c>
      <c r="AV295" s="56">
        <v>95.137527465820298</v>
      </c>
      <c r="AW295" s="57">
        <v>286.19888043876273</v>
      </c>
      <c r="AX295" s="8"/>
      <c r="AZ295" s="1">
        <v>90</v>
      </c>
    </row>
    <row r="296" spans="3:52" ht="15" customHeight="1" x14ac:dyDescent="0.25">
      <c r="C296" s="42"/>
      <c r="D296" s="43">
        <f>D292</f>
        <v>45712</v>
      </c>
      <c r="E296" s="44">
        <f t="shared" si="29"/>
        <v>23.583333333333268</v>
      </c>
      <c r="F296" s="45">
        <f t="shared" si="27"/>
        <v>45712.583333334012</v>
      </c>
      <c r="G296" s="52">
        <v>38</v>
      </c>
      <c r="H296" s="53">
        <v>39</v>
      </c>
      <c r="I296" s="54">
        <v>9.9</v>
      </c>
      <c r="J296" s="54">
        <v>300</v>
      </c>
      <c r="K296" s="55">
        <v>6.4</v>
      </c>
      <c r="L296" s="56">
        <v>39</v>
      </c>
      <c r="M296" s="54">
        <v>10</v>
      </c>
      <c r="N296" s="54">
        <v>300</v>
      </c>
      <c r="O296" s="57">
        <v>6.7</v>
      </c>
      <c r="P296" s="53">
        <v>39</v>
      </c>
      <c r="Q296" s="54">
        <v>10</v>
      </c>
      <c r="R296" s="55">
        <v>0</v>
      </c>
      <c r="S296" s="55">
        <v>6.7</v>
      </c>
      <c r="T296" s="57">
        <v>17.3</v>
      </c>
      <c r="U296" s="56">
        <v>39</v>
      </c>
      <c r="V296" s="54">
        <v>10</v>
      </c>
      <c r="W296" s="55">
        <v>0</v>
      </c>
      <c r="X296" s="55">
        <v>6</v>
      </c>
      <c r="Y296" s="57">
        <v>15.38</v>
      </c>
      <c r="Z296" s="53">
        <v>37</v>
      </c>
      <c r="AA296" s="54">
        <v>10</v>
      </c>
      <c r="AB296" s="55">
        <v>0</v>
      </c>
      <c r="AC296" s="55">
        <v>5.9</v>
      </c>
      <c r="AD296" s="57">
        <v>15.19</v>
      </c>
      <c r="AE296" s="56">
        <v>37</v>
      </c>
      <c r="AF296" s="54">
        <v>10</v>
      </c>
      <c r="AG296" s="55">
        <v>0</v>
      </c>
      <c r="AH296" s="55">
        <v>5.9</v>
      </c>
      <c r="AI296" s="57">
        <v>14.42</v>
      </c>
      <c r="AJ296" s="56">
        <v>38</v>
      </c>
      <c r="AK296" s="54">
        <v>10</v>
      </c>
      <c r="AL296" s="54">
        <v>0</v>
      </c>
      <c r="AM296" s="54">
        <v>5.4</v>
      </c>
      <c r="AN296" s="57">
        <v>10.57</v>
      </c>
      <c r="AO296" s="53">
        <v>38</v>
      </c>
      <c r="AP296" s="54">
        <v>10</v>
      </c>
      <c r="AQ296" s="54">
        <v>150</v>
      </c>
      <c r="AR296" s="54">
        <v>5.3</v>
      </c>
      <c r="AS296" s="57">
        <v>12.5</v>
      </c>
      <c r="AT296" s="56">
        <v>32</v>
      </c>
      <c r="AU296" s="57">
        <v>110</v>
      </c>
      <c r="AV296" s="56">
        <v>95.064285278320298</v>
      </c>
      <c r="AW296" s="57">
        <v>284.82337498093642</v>
      </c>
      <c r="AX296" s="8"/>
      <c r="AZ296" s="1">
        <v>90</v>
      </c>
    </row>
    <row r="297" spans="3:52" ht="15" customHeight="1" x14ac:dyDescent="0.25">
      <c r="C297" s="42"/>
      <c r="D297" s="43">
        <f>D292</f>
        <v>45712</v>
      </c>
      <c r="E297" s="44">
        <f t="shared" si="29"/>
        <v>23.6666666666666</v>
      </c>
      <c r="F297" s="45">
        <f t="shared" si="27"/>
        <v>45712.666666667348</v>
      </c>
      <c r="G297" s="52">
        <v>37</v>
      </c>
      <c r="H297" s="53">
        <v>36</v>
      </c>
      <c r="I297" s="54">
        <v>9.3000000000000007</v>
      </c>
      <c r="J297" s="54">
        <v>350</v>
      </c>
      <c r="K297" s="55">
        <v>6.1</v>
      </c>
      <c r="L297" s="56">
        <v>39</v>
      </c>
      <c r="M297" s="54">
        <v>9.8000000000000007</v>
      </c>
      <c r="N297" s="54">
        <v>300</v>
      </c>
      <c r="O297" s="57">
        <v>6.6</v>
      </c>
      <c r="P297" s="53">
        <v>39</v>
      </c>
      <c r="Q297" s="54">
        <v>9.9</v>
      </c>
      <c r="R297" s="55">
        <v>0</v>
      </c>
      <c r="S297" s="55">
        <v>6.7</v>
      </c>
      <c r="T297" s="57">
        <v>17.3</v>
      </c>
      <c r="U297" s="56">
        <v>39</v>
      </c>
      <c r="V297" s="54">
        <v>9.9</v>
      </c>
      <c r="W297" s="55">
        <v>0</v>
      </c>
      <c r="X297" s="55">
        <v>6.4</v>
      </c>
      <c r="Y297" s="57">
        <v>15.38</v>
      </c>
      <c r="Z297" s="53">
        <v>37</v>
      </c>
      <c r="AA297" s="54">
        <v>9.9</v>
      </c>
      <c r="AB297" s="55">
        <v>0</v>
      </c>
      <c r="AC297" s="55">
        <v>6.2</v>
      </c>
      <c r="AD297" s="57">
        <v>15.38</v>
      </c>
      <c r="AE297" s="56">
        <v>37</v>
      </c>
      <c r="AF297" s="54">
        <v>8.9</v>
      </c>
      <c r="AG297" s="55">
        <v>0</v>
      </c>
      <c r="AH297" s="55">
        <v>5.8</v>
      </c>
      <c r="AI297" s="57">
        <v>14.23</v>
      </c>
      <c r="AJ297" s="56">
        <v>39</v>
      </c>
      <c r="AK297" s="54">
        <v>9.8000000000000007</v>
      </c>
      <c r="AL297" s="54">
        <v>0</v>
      </c>
      <c r="AM297" s="54">
        <v>5.7</v>
      </c>
      <c r="AN297" s="57">
        <v>8.6</v>
      </c>
      <c r="AO297" s="53">
        <v>37</v>
      </c>
      <c r="AP297" s="54">
        <v>9.8000000000000007</v>
      </c>
      <c r="AQ297" s="54">
        <v>130</v>
      </c>
      <c r="AR297" s="54">
        <v>5.8</v>
      </c>
      <c r="AS297" s="57">
        <v>12.5</v>
      </c>
      <c r="AT297" s="56">
        <v>32</v>
      </c>
      <c r="AU297" s="57">
        <v>110</v>
      </c>
      <c r="AV297" s="56">
        <v>95.133460998535199</v>
      </c>
      <c r="AW297" s="57">
        <v>284.50858444419379</v>
      </c>
      <c r="AX297" s="8"/>
      <c r="AZ297" s="1">
        <v>90</v>
      </c>
    </row>
    <row r="298" spans="3:52" ht="15" customHeight="1" x14ac:dyDescent="0.25">
      <c r="C298" s="42"/>
      <c r="D298" s="43">
        <f>D292</f>
        <v>45712</v>
      </c>
      <c r="E298" s="44">
        <f t="shared" si="29"/>
        <v>23.749999999999932</v>
      </c>
      <c r="F298" s="45">
        <f t="shared" si="27"/>
        <v>45712.750000000684</v>
      </c>
      <c r="G298" s="52">
        <v>37</v>
      </c>
      <c r="H298" s="53">
        <v>39</v>
      </c>
      <c r="I298" s="54">
        <v>9</v>
      </c>
      <c r="J298" s="54">
        <v>250</v>
      </c>
      <c r="K298" s="55">
        <v>6.2</v>
      </c>
      <c r="L298" s="56">
        <v>39</v>
      </c>
      <c r="M298" s="54">
        <v>9.5</v>
      </c>
      <c r="N298" s="54">
        <v>250</v>
      </c>
      <c r="O298" s="57">
        <v>6.5</v>
      </c>
      <c r="P298" s="53">
        <v>39</v>
      </c>
      <c r="Q298" s="54">
        <v>9.9</v>
      </c>
      <c r="R298" s="55">
        <v>0</v>
      </c>
      <c r="S298" s="55">
        <v>6.6</v>
      </c>
      <c r="T298" s="57">
        <v>16.34</v>
      </c>
      <c r="U298" s="56">
        <v>39</v>
      </c>
      <c r="V298" s="54">
        <v>9.9</v>
      </c>
      <c r="W298" s="55">
        <v>0</v>
      </c>
      <c r="X298" s="55">
        <v>6.3</v>
      </c>
      <c r="Y298" s="57">
        <v>14.42</v>
      </c>
      <c r="Z298" s="53">
        <v>37</v>
      </c>
      <c r="AA298" s="54">
        <v>9.9</v>
      </c>
      <c r="AB298" s="55">
        <v>0</v>
      </c>
      <c r="AC298" s="55">
        <v>5.7</v>
      </c>
      <c r="AD298" s="57">
        <v>14.8</v>
      </c>
      <c r="AE298" s="56">
        <v>38</v>
      </c>
      <c r="AF298" s="54">
        <v>9.8000000000000007</v>
      </c>
      <c r="AG298" s="55">
        <v>0</v>
      </c>
      <c r="AH298" s="55">
        <v>5.4</v>
      </c>
      <c r="AI298" s="57">
        <v>14.61</v>
      </c>
      <c r="AJ298" s="56">
        <v>38</v>
      </c>
      <c r="AK298" s="54">
        <v>9.8000000000000007</v>
      </c>
      <c r="AL298" s="54">
        <v>0</v>
      </c>
      <c r="AM298" s="54">
        <v>5.4</v>
      </c>
      <c r="AN298" s="57">
        <v>10.57</v>
      </c>
      <c r="AO298" s="53">
        <v>37</v>
      </c>
      <c r="AP298" s="54">
        <v>9.8000000000000007</v>
      </c>
      <c r="AQ298" s="54">
        <v>140</v>
      </c>
      <c r="AR298" s="54">
        <v>5.2</v>
      </c>
      <c r="AS298" s="57">
        <v>12.5</v>
      </c>
      <c r="AT298" s="56">
        <v>33</v>
      </c>
      <c r="AU298" s="57">
        <v>120</v>
      </c>
      <c r="AV298" s="56">
        <v>95.035804748535199</v>
      </c>
      <c r="AW298" s="57">
        <v>285.748215740143</v>
      </c>
      <c r="AX298" s="8"/>
      <c r="AZ298" s="1">
        <v>90</v>
      </c>
    </row>
    <row r="299" spans="3:52" ht="15" customHeight="1" x14ac:dyDescent="0.25">
      <c r="C299" s="42"/>
      <c r="D299" s="43">
        <f>D292</f>
        <v>45712</v>
      </c>
      <c r="E299" s="44">
        <f t="shared" si="29"/>
        <v>23.833333333333265</v>
      </c>
      <c r="F299" s="45">
        <f t="shared" si="27"/>
        <v>45712.83333333402</v>
      </c>
      <c r="G299" s="52">
        <v>40</v>
      </c>
      <c r="H299" s="53">
        <v>39</v>
      </c>
      <c r="I299" s="54">
        <v>8.8000000000000007</v>
      </c>
      <c r="J299" s="54">
        <v>200</v>
      </c>
      <c r="K299" s="55">
        <v>7.3</v>
      </c>
      <c r="L299" s="56">
        <v>40</v>
      </c>
      <c r="M299" s="54">
        <v>9.4</v>
      </c>
      <c r="N299" s="54">
        <v>250</v>
      </c>
      <c r="O299" s="57">
        <v>8</v>
      </c>
      <c r="P299" s="53">
        <v>38</v>
      </c>
      <c r="Q299" s="54">
        <v>9.6</v>
      </c>
      <c r="R299" s="55">
        <v>0</v>
      </c>
      <c r="S299" s="55">
        <v>8.4</v>
      </c>
      <c r="T299" s="57">
        <v>18.2</v>
      </c>
      <c r="U299" s="56">
        <v>38</v>
      </c>
      <c r="V299" s="54">
        <v>9.6999999999999993</v>
      </c>
      <c r="W299" s="55">
        <v>0</v>
      </c>
      <c r="X299" s="55">
        <v>7.7</v>
      </c>
      <c r="Y299" s="57">
        <v>16.3</v>
      </c>
      <c r="Z299" s="53">
        <v>40</v>
      </c>
      <c r="AA299" s="54">
        <v>9.8000000000000007</v>
      </c>
      <c r="AB299" s="55">
        <v>0</v>
      </c>
      <c r="AC299" s="55">
        <v>6.8</v>
      </c>
      <c r="AD299" s="57">
        <v>15.3</v>
      </c>
      <c r="AE299" s="56">
        <v>38</v>
      </c>
      <c r="AF299" s="54">
        <v>9.6999999999999993</v>
      </c>
      <c r="AG299" s="55">
        <v>0</v>
      </c>
      <c r="AH299" s="55">
        <v>6.6</v>
      </c>
      <c r="AI299" s="57">
        <v>15.3</v>
      </c>
      <c r="AJ299" s="56">
        <v>40</v>
      </c>
      <c r="AK299" s="54">
        <v>9.8000000000000007</v>
      </c>
      <c r="AL299" s="54">
        <v>0</v>
      </c>
      <c r="AM299" s="54">
        <v>65</v>
      </c>
      <c r="AN299" s="57">
        <v>11.5</v>
      </c>
      <c r="AO299" s="53">
        <v>38</v>
      </c>
      <c r="AP299" s="54">
        <v>9.9</v>
      </c>
      <c r="AQ299" s="54">
        <v>16</v>
      </c>
      <c r="AR299" s="54">
        <v>6.7</v>
      </c>
      <c r="AS299" s="57">
        <v>14.4</v>
      </c>
      <c r="AT299" s="56">
        <v>28</v>
      </c>
      <c r="AU299" s="57">
        <v>100</v>
      </c>
      <c r="AV299" s="56">
        <v>95.076492309570298</v>
      </c>
      <c r="AW299" s="57">
        <v>279.80770198476188</v>
      </c>
      <c r="AX299" s="8"/>
      <c r="AZ299" s="1">
        <v>90</v>
      </c>
    </row>
    <row r="300" spans="3:52" ht="15" customHeight="1" x14ac:dyDescent="0.25">
      <c r="C300" s="42"/>
      <c r="D300" s="43">
        <f>D292</f>
        <v>45712</v>
      </c>
      <c r="E300" s="44">
        <f t="shared" si="29"/>
        <v>23.916666666666597</v>
      </c>
      <c r="F300" s="45">
        <f t="shared" si="27"/>
        <v>45712.916666667355</v>
      </c>
      <c r="G300" s="52">
        <v>39</v>
      </c>
      <c r="H300" s="53">
        <v>39</v>
      </c>
      <c r="I300" s="54">
        <v>8.8000000000000007</v>
      </c>
      <c r="J300" s="54">
        <v>200</v>
      </c>
      <c r="K300" s="55">
        <v>7.6</v>
      </c>
      <c r="L300" s="56">
        <v>40</v>
      </c>
      <c r="M300" s="54">
        <v>9.3000000000000007</v>
      </c>
      <c r="N300" s="54">
        <v>200</v>
      </c>
      <c r="O300" s="57">
        <v>8.4</v>
      </c>
      <c r="P300" s="53">
        <v>38</v>
      </c>
      <c r="Q300" s="54">
        <v>9.6</v>
      </c>
      <c r="R300" s="55">
        <v>0</v>
      </c>
      <c r="S300" s="55">
        <v>8.1999999999999993</v>
      </c>
      <c r="T300" s="57">
        <v>18.2</v>
      </c>
      <c r="U300" s="56">
        <v>38</v>
      </c>
      <c r="V300" s="54">
        <v>9.6999999999999993</v>
      </c>
      <c r="W300" s="55">
        <v>0</v>
      </c>
      <c r="X300" s="55">
        <v>7.5</v>
      </c>
      <c r="Y300" s="57">
        <v>16.3</v>
      </c>
      <c r="Z300" s="53">
        <v>40</v>
      </c>
      <c r="AA300" s="54">
        <v>9.8000000000000007</v>
      </c>
      <c r="AB300" s="55">
        <v>0</v>
      </c>
      <c r="AC300" s="55">
        <v>7.1</v>
      </c>
      <c r="AD300" s="57">
        <v>15.3</v>
      </c>
      <c r="AE300" s="56">
        <v>38</v>
      </c>
      <c r="AF300" s="54">
        <v>9.6999999999999993</v>
      </c>
      <c r="AG300" s="55">
        <v>0</v>
      </c>
      <c r="AH300" s="55">
        <v>5.8</v>
      </c>
      <c r="AI300" s="57">
        <v>15.3</v>
      </c>
      <c r="AJ300" s="56">
        <v>39</v>
      </c>
      <c r="AK300" s="54">
        <v>9.8000000000000007</v>
      </c>
      <c r="AL300" s="54">
        <v>0</v>
      </c>
      <c r="AM300" s="54">
        <v>5.7</v>
      </c>
      <c r="AN300" s="57">
        <v>11.5</v>
      </c>
      <c r="AO300" s="53">
        <v>38</v>
      </c>
      <c r="AP300" s="54">
        <v>9.8000000000000007</v>
      </c>
      <c r="AQ300" s="54">
        <v>18</v>
      </c>
      <c r="AR300" s="54">
        <v>6.9</v>
      </c>
      <c r="AS300" s="57">
        <v>14.4</v>
      </c>
      <c r="AT300" s="56">
        <v>29</v>
      </c>
      <c r="AU300" s="57">
        <v>110</v>
      </c>
      <c r="AV300" s="56">
        <v>95.003250122070298</v>
      </c>
      <c r="AW300" s="57">
        <v>285.23425427246843</v>
      </c>
      <c r="AX300" s="8"/>
      <c r="AZ300" s="1">
        <v>90</v>
      </c>
    </row>
    <row r="301" spans="3:52" ht="15" customHeight="1" x14ac:dyDescent="0.25">
      <c r="C301" s="42"/>
      <c r="D301" s="43">
        <f>D292</f>
        <v>45712</v>
      </c>
      <c r="E301" s="44">
        <f t="shared" si="29"/>
        <v>23.999999999999929</v>
      </c>
      <c r="F301" s="45">
        <f t="shared" si="27"/>
        <v>45713.000000000691</v>
      </c>
      <c r="G301" s="52">
        <v>41</v>
      </c>
      <c r="H301" s="53">
        <v>40</v>
      </c>
      <c r="I301" s="54">
        <v>8.6999999999999993</v>
      </c>
      <c r="J301" s="54">
        <v>150</v>
      </c>
      <c r="K301" s="55">
        <v>8.1</v>
      </c>
      <c r="L301" s="56">
        <v>41</v>
      </c>
      <c r="M301" s="54">
        <v>9.1</v>
      </c>
      <c r="N301" s="54">
        <v>200</v>
      </c>
      <c r="O301" s="57">
        <v>8.1999999999999993</v>
      </c>
      <c r="P301" s="53">
        <v>39</v>
      </c>
      <c r="Q301" s="54">
        <v>9.3000000000000007</v>
      </c>
      <c r="R301" s="55">
        <v>0</v>
      </c>
      <c r="S301" s="55">
        <v>8.5</v>
      </c>
      <c r="T301" s="57">
        <v>17.600000000000001</v>
      </c>
      <c r="U301" s="56">
        <v>40</v>
      </c>
      <c r="V301" s="54">
        <v>9.3000000000000007</v>
      </c>
      <c r="W301" s="55">
        <v>0</v>
      </c>
      <c r="X301" s="55">
        <v>7.2</v>
      </c>
      <c r="Y301" s="57">
        <v>16.7</v>
      </c>
      <c r="Z301" s="53">
        <v>40</v>
      </c>
      <c r="AA301" s="54">
        <v>9.6999999999999993</v>
      </c>
      <c r="AB301" s="55">
        <v>0</v>
      </c>
      <c r="AC301" s="55">
        <v>6.7</v>
      </c>
      <c r="AD301" s="57">
        <v>15.7</v>
      </c>
      <c r="AE301" s="56">
        <v>40</v>
      </c>
      <c r="AF301" s="54">
        <v>9.6999999999999993</v>
      </c>
      <c r="AG301" s="55">
        <v>0</v>
      </c>
      <c r="AH301" s="55">
        <v>6.3</v>
      </c>
      <c r="AI301" s="57">
        <v>15.3</v>
      </c>
      <c r="AJ301" s="56">
        <v>39</v>
      </c>
      <c r="AK301" s="54">
        <v>9.8000000000000007</v>
      </c>
      <c r="AL301" s="54">
        <v>0</v>
      </c>
      <c r="AM301" s="54">
        <v>6.1</v>
      </c>
      <c r="AN301" s="57">
        <v>11.9</v>
      </c>
      <c r="AO301" s="53">
        <v>39</v>
      </c>
      <c r="AP301" s="54">
        <v>9.8000000000000007</v>
      </c>
      <c r="AQ301" s="54">
        <v>20</v>
      </c>
      <c r="AR301" s="54">
        <v>6.3</v>
      </c>
      <c r="AS301" s="57">
        <v>15</v>
      </c>
      <c r="AT301" s="56">
        <v>30</v>
      </c>
      <c r="AU301" s="57">
        <v>130</v>
      </c>
      <c r="AV301" s="56">
        <v>95.03173828125</v>
      </c>
      <c r="AW301" s="57">
        <v>283.16768059007205</v>
      </c>
      <c r="AX301" s="8"/>
      <c r="AZ301" s="1">
        <v>90</v>
      </c>
    </row>
    <row r="302" spans="3:52" ht="15" customHeight="1" x14ac:dyDescent="0.25">
      <c r="C302" s="42"/>
      <c r="D302" s="43">
        <f>D292</f>
        <v>45712</v>
      </c>
      <c r="E302" s="44">
        <f t="shared" si="29"/>
        <v>24.083333333333261</v>
      </c>
      <c r="F302" s="45">
        <f t="shared" si="27"/>
        <v>45713.083333334027</v>
      </c>
      <c r="G302" s="52">
        <v>43</v>
      </c>
      <c r="H302" s="53">
        <v>39</v>
      </c>
      <c r="I302" s="54">
        <v>8.9</v>
      </c>
      <c r="J302" s="54">
        <v>150</v>
      </c>
      <c r="K302" s="55">
        <v>8.1</v>
      </c>
      <c r="L302" s="56">
        <v>40</v>
      </c>
      <c r="M302" s="54">
        <v>9.1</v>
      </c>
      <c r="N302" s="54">
        <v>200</v>
      </c>
      <c r="O302" s="57">
        <v>8.5</v>
      </c>
      <c r="P302" s="53">
        <v>39</v>
      </c>
      <c r="Q302" s="54">
        <v>9.3000000000000007</v>
      </c>
      <c r="R302" s="55">
        <v>0</v>
      </c>
      <c r="S302" s="55">
        <v>8.1</v>
      </c>
      <c r="T302" s="57">
        <v>18.2</v>
      </c>
      <c r="U302" s="56">
        <v>39</v>
      </c>
      <c r="V302" s="54">
        <v>9.3000000000000007</v>
      </c>
      <c r="W302" s="55">
        <v>0</v>
      </c>
      <c r="X302" s="55">
        <v>7.4</v>
      </c>
      <c r="Y302" s="57">
        <v>16.7</v>
      </c>
      <c r="Z302" s="53">
        <v>40</v>
      </c>
      <c r="AA302" s="54">
        <v>9.6999999999999993</v>
      </c>
      <c r="AB302" s="55">
        <v>0</v>
      </c>
      <c r="AC302" s="55">
        <v>5.9</v>
      </c>
      <c r="AD302" s="57">
        <v>15.3</v>
      </c>
      <c r="AE302" s="56">
        <v>40</v>
      </c>
      <c r="AF302" s="54">
        <v>9.6999999999999993</v>
      </c>
      <c r="AG302" s="55">
        <v>0</v>
      </c>
      <c r="AH302" s="55">
        <v>6.7</v>
      </c>
      <c r="AI302" s="57">
        <v>15.3</v>
      </c>
      <c r="AJ302" s="56">
        <v>39</v>
      </c>
      <c r="AK302" s="54">
        <v>9.6999999999999993</v>
      </c>
      <c r="AL302" s="54">
        <v>0</v>
      </c>
      <c r="AM302" s="54">
        <v>6.5</v>
      </c>
      <c r="AN302" s="57">
        <v>11.9</v>
      </c>
      <c r="AO302" s="53">
        <v>39</v>
      </c>
      <c r="AP302" s="54">
        <v>9.6999999999999993</v>
      </c>
      <c r="AQ302" s="54">
        <v>190</v>
      </c>
      <c r="AR302" s="54">
        <v>6.5</v>
      </c>
      <c r="AS302" s="57">
        <v>15</v>
      </c>
      <c r="AT302" s="56">
        <v>32</v>
      </c>
      <c r="AU302" s="57">
        <v>110</v>
      </c>
      <c r="AV302" s="56">
        <v>94.954421997070298</v>
      </c>
      <c r="AW302" s="57">
        <v>282.55485684430852</v>
      </c>
      <c r="AX302" s="8"/>
      <c r="AZ302" s="1">
        <v>90</v>
      </c>
    </row>
    <row r="303" spans="3:52" ht="15" customHeight="1" x14ac:dyDescent="0.25">
      <c r="C303" s="42"/>
      <c r="D303" s="69">
        <f>D292</f>
        <v>45712</v>
      </c>
      <c r="E303" s="70">
        <f t="shared" si="29"/>
        <v>24.166666666666593</v>
      </c>
      <c r="F303" s="71">
        <f t="shared" si="27"/>
        <v>45713.166666667363</v>
      </c>
      <c r="G303" s="60">
        <v>41</v>
      </c>
      <c r="H303" s="61">
        <v>39</v>
      </c>
      <c r="I303" s="62">
        <v>8.9</v>
      </c>
      <c r="J303" s="62">
        <v>150</v>
      </c>
      <c r="K303" s="63">
        <v>7.5</v>
      </c>
      <c r="L303" s="64">
        <v>40</v>
      </c>
      <c r="M303" s="62">
        <v>9.1</v>
      </c>
      <c r="N303" s="62">
        <v>200</v>
      </c>
      <c r="O303" s="65">
        <v>7.9</v>
      </c>
      <c r="P303" s="61">
        <v>39</v>
      </c>
      <c r="Q303" s="62">
        <v>9.3000000000000007</v>
      </c>
      <c r="R303" s="63">
        <v>0</v>
      </c>
      <c r="S303" s="63">
        <v>8.5</v>
      </c>
      <c r="T303" s="65">
        <v>18.399999999999999</v>
      </c>
      <c r="U303" s="64">
        <v>39</v>
      </c>
      <c r="V303" s="62">
        <v>9.3000000000000007</v>
      </c>
      <c r="W303" s="63">
        <v>0</v>
      </c>
      <c r="X303" s="63">
        <v>7.2</v>
      </c>
      <c r="Y303" s="65">
        <v>16.100000000000001</v>
      </c>
      <c r="Z303" s="61">
        <v>40</v>
      </c>
      <c r="AA303" s="62">
        <v>9.6</v>
      </c>
      <c r="AB303" s="63">
        <v>0</v>
      </c>
      <c r="AC303" s="63">
        <v>6.3</v>
      </c>
      <c r="AD303" s="65">
        <v>15.7</v>
      </c>
      <c r="AE303" s="64">
        <v>40</v>
      </c>
      <c r="AF303" s="62">
        <v>9.6</v>
      </c>
      <c r="AG303" s="63">
        <v>0</v>
      </c>
      <c r="AH303" s="63">
        <v>6.5</v>
      </c>
      <c r="AI303" s="65">
        <v>15.9</v>
      </c>
      <c r="AJ303" s="64">
        <v>39</v>
      </c>
      <c r="AK303" s="62">
        <v>9.6</v>
      </c>
      <c r="AL303" s="62">
        <v>0</v>
      </c>
      <c r="AM303" s="62">
        <v>5.9</v>
      </c>
      <c r="AN303" s="65">
        <v>11.5</v>
      </c>
      <c r="AO303" s="61">
        <v>38</v>
      </c>
      <c r="AP303" s="62">
        <v>9.6999999999999993</v>
      </c>
      <c r="AQ303" s="62">
        <v>190</v>
      </c>
      <c r="AR303" s="62">
        <v>6.3</v>
      </c>
      <c r="AS303" s="65">
        <v>14.8</v>
      </c>
      <c r="AT303" s="64">
        <v>30</v>
      </c>
      <c r="AU303" s="65">
        <v>120</v>
      </c>
      <c r="AV303" s="64">
        <v>94.974769592285199</v>
      </c>
      <c r="AW303" s="65">
        <v>282.16254370314226</v>
      </c>
      <c r="AX303" s="8"/>
      <c r="AZ303" s="1">
        <v>90</v>
      </c>
    </row>
    <row r="304" spans="3:52" ht="15" customHeight="1" x14ac:dyDescent="0.25">
      <c r="C304" s="42">
        <f>C292+1</f>
        <v>25</v>
      </c>
      <c r="D304" s="66">
        <f>DATE([2]Dash!$F$3,VLOOKUP([2]Dash!$E$3,[2]Abb!$C$3:$D$14,2,FALSE),C304)</f>
        <v>45713</v>
      </c>
      <c r="E304" s="67">
        <f>E303+2/24</f>
        <v>24.249999999999925</v>
      </c>
      <c r="F304" s="68">
        <f t="shared" si="27"/>
        <v>45713.250000000698</v>
      </c>
      <c r="G304" s="46">
        <v>43</v>
      </c>
      <c r="H304" s="47">
        <v>40</v>
      </c>
      <c r="I304" s="48">
        <v>9.4</v>
      </c>
      <c r="J304" s="48">
        <v>200</v>
      </c>
      <c r="K304" s="49">
        <v>8.1</v>
      </c>
      <c r="L304" s="50">
        <v>41</v>
      </c>
      <c r="M304" s="48">
        <v>9.1</v>
      </c>
      <c r="N304" s="48">
        <v>150</v>
      </c>
      <c r="O304" s="51">
        <v>8.3000000000000007</v>
      </c>
      <c r="P304" s="47">
        <v>40</v>
      </c>
      <c r="Q304" s="48">
        <v>9.1</v>
      </c>
      <c r="R304" s="49">
        <v>0</v>
      </c>
      <c r="S304" s="49">
        <v>8.6999999999999993</v>
      </c>
      <c r="T304" s="51">
        <v>18.2</v>
      </c>
      <c r="U304" s="50">
        <v>38</v>
      </c>
      <c r="V304" s="48">
        <v>9</v>
      </c>
      <c r="W304" s="49">
        <v>0</v>
      </c>
      <c r="X304" s="49">
        <v>7.5</v>
      </c>
      <c r="Y304" s="51">
        <v>16.3</v>
      </c>
      <c r="Z304" s="47">
        <v>39</v>
      </c>
      <c r="AA304" s="48">
        <v>9.4</v>
      </c>
      <c r="AB304" s="49">
        <v>0</v>
      </c>
      <c r="AC304" s="49">
        <v>6.7</v>
      </c>
      <c r="AD304" s="51">
        <v>15.3</v>
      </c>
      <c r="AE304" s="50">
        <v>40</v>
      </c>
      <c r="AF304" s="48">
        <v>9.6</v>
      </c>
      <c r="AG304" s="49">
        <v>0</v>
      </c>
      <c r="AH304" s="49">
        <v>6.8</v>
      </c>
      <c r="AI304" s="51">
        <v>15.3</v>
      </c>
      <c r="AJ304" s="50">
        <v>40</v>
      </c>
      <c r="AK304" s="48">
        <v>9.6</v>
      </c>
      <c r="AL304" s="48">
        <v>0</v>
      </c>
      <c r="AM304" s="48">
        <v>6.3</v>
      </c>
      <c r="AN304" s="51">
        <v>12.5</v>
      </c>
      <c r="AO304" s="47">
        <v>38</v>
      </c>
      <c r="AP304" s="48">
        <v>9.8000000000000007</v>
      </c>
      <c r="AQ304" s="48">
        <v>210</v>
      </c>
      <c r="AR304" s="48">
        <v>6.7</v>
      </c>
      <c r="AS304" s="51">
        <v>5</v>
      </c>
      <c r="AT304" s="50">
        <v>30</v>
      </c>
      <c r="AU304" s="51">
        <v>120</v>
      </c>
      <c r="AV304" s="50">
        <v>95.011390686035199</v>
      </c>
      <c r="AW304" s="51">
        <v>282.05138399108932</v>
      </c>
      <c r="AX304" s="8"/>
      <c r="AZ304" s="1">
        <v>90</v>
      </c>
    </row>
    <row r="305" spans="3:52" ht="15" customHeight="1" x14ac:dyDescent="0.25">
      <c r="C305" s="42"/>
      <c r="D305" s="43">
        <f>D304</f>
        <v>45713</v>
      </c>
      <c r="E305" s="44">
        <f>E304+2/24</f>
        <v>24.333333333333258</v>
      </c>
      <c r="F305" s="45">
        <f t="shared" si="27"/>
        <v>45713.333333334034</v>
      </c>
      <c r="G305" s="52">
        <v>43</v>
      </c>
      <c r="H305" s="53">
        <v>42</v>
      </c>
      <c r="I305" s="54">
        <v>9.6999999999999993</v>
      </c>
      <c r="J305" s="54">
        <v>200</v>
      </c>
      <c r="K305" s="55">
        <v>6.6</v>
      </c>
      <c r="L305" s="56">
        <v>41</v>
      </c>
      <c r="M305" s="54">
        <v>9.1999999999999993</v>
      </c>
      <c r="N305" s="54">
        <v>200</v>
      </c>
      <c r="O305" s="57">
        <v>7.1</v>
      </c>
      <c r="P305" s="53">
        <v>35</v>
      </c>
      <c r="Q305" s="54">
        <v>9.1</v>
      </c>
      <c r="R305" s="55">
        <v>0</v>
      </c>
      <c r="S305" s="55">
        <v>5.9</v>
      </c>
      <c r="T305" s="57">
        <v>17.11</v>
      </c>
      <c r="U305" s="56">
        <v>36</v>
      </c>
      <c r="V305" s="54">
        <v>9.1999999999999993</v>
      </c>
      <c r="W305" s="55">
        <v>0</v>
      </c>
      <c r="X305" s="55">
        <v>6.2</v>
      </c>
      <c r="Y305" s="57">
        <v>15.38</v>
      </c>
      <c r="Z305" s="53">
        <v>37</v>
      </c>
      <c r="AA305" s="54">
        <v>9.4</v>
      </c>
      <c r="AB305" s="55">
        <v>0</v>
      </c>
      <c r="AC305" s="55">
        <v>6</v>
      </c>
      <c r="AD305" s="57">
        <v>14.42</v>
      </c>
      <c r="AE305" s="56">
        <v>37</v>
      </c>
      <c r="AF305" s="54">
        <v>9.6</v>
      </c>
      <c r="AG305" s="55">
        <v>0</v>
      </c>
      <c r="AH305" s="55">
        <v>5.5</v>
      </c>
      <c r="AI305" s="57">
        <v>14.42</v>
      </c>
      <c r="AJ305" s="56">
        <v>35</v>
      </c>
      <c r="AK305" s="54">
        <v>9.8000000000000007</v>
      </c>
      <c r="AL305" s="54">
        <v>0</v>
      </c>
      <c r="AM305" s="54">
        <v>5.5</v>
      </c>
      <c r="AN305" s="57">
        <v>10.57</v>
      </c>
      <c r="AO305" s="53">
        <v>35</v>
      </c>
      <c r="AP305" s="54">
        <v>9.8000000000000007</v>
      </c>
      <c r="AQ305" s="54">
        <v>160</v>
      </c>
      <c r="AR305" s="54">
        <v>5.5</v>
      </c>
      <c r="AS305" s="57">
        <v>12.5</v>
      </c>
      <c r="AT305" s="56">
        <v>32</v>
      </c>
      <c r="AU305" s="57">
        <v>120</v>
      </c>
      <c r="AV305" s="56">
        <v>94.999183654785199</v>
      </c>
      <c r="AW305" s="57">
        <v>281.41215769984603</v>
      </c>
      <c r="AX305" s="8"/>
      <c r="AZ305" s="1">
        <v>90</v>
      </c>
    </row>
    <row r="306" spans="3:52" ht="15" customHeight="1" x14ac:dyDescent="0.25">
      <c r="C306" s="42"/>
      <c r="D306" s="43">
        <f>D304</f>
        <v>45713</v>
      </c>
      <c r="E306" s="44">
        <f t="shared" ref="E306:E315" si="30">E305+2/24</f>
        <v>24.41666666666659</v>
      </c>
      <c r="F306" s="45">
        <f t="shared" si="27"/>
        <v>45713.41666666737</v>
      </c>
      <c r="G306" s="52">
        <v>40</v>
      </c>
      <c r="H306" s="53">
        <v>40</v>
      </c>
      <c r="I306" s="54">
        <v>11</v>
      </c>
      <c r="J306" s="54">
        <v>250</v>
      </c>
      <c r="K306" s="55">
        <v>6.5</v>
      </c>
      <c r="L306" s="56">
        <v>41</v>
      </c>
      <c r="M306" s="54">
        <v>9.6999999999999993</v>
      </c>
      <c r="N306" s="54">
        <v>250</v>
      </c>
      <c r="O306" s="57">
        <v>7.2</v>
      </c>
      <c r="P306" s="53">
        <v>39</v>
      </c>
      <c r="Q306" s="54">
        <v>9.1999999999999993</v>
      </c>
      <c r="R306" s="55">
        <v>0</v>
      </c>
      <c r="S306" s="55">
        <v>5.7</v>
      </c>
      <c r="T306" s="57">
        <v>17.3</v>
      </c>
      <c r="U306" s="56">
        <v>39</v>
      </c>
      <c r="V306" s="54">
        <v>9.1999999999999993</v>
      </c>
      <c r="W306" s="55">
        <v>0</v>
      </c>
      <c r="X306" s="55">
        <v>6.1</v>
      </c>
      <c r="Y306" s="57">
        <v>15.38</v>
      </c>
      <c r="Z306" s="53">
        <v>38</v>
      </c>
      <c r="AA306" s="54">
        <v>9.1999999999999993</v>
      </c>
      <c r="AB306" s="55">
        <v>0</v>
      </c>
      <c r="AC306" s="55">
        <v>6.1</v>
      </c>
      <c r="AD306" s="57">
        <v>14.8</v>
      </c>
      <c r="AE306" s="56">
        <v>37</v>
      </c>
      <c r="AF306" s="54">
        <v>9.6999999999999993</v>
      </c>
      <c r="AG306" s="55">
        <v>0</v>
      </c>
      <c r="AH306" s="55">
        <v>5.7</v>
      </c>
      <c r="AI306" s="57">
        <v>14.42</v>
      </c>
      <c r="AJ306" s="56">
        <v>36</v>
      </c>
      <c r="AK306" s="54">
        <v>9.8000000000000007</v>
      </c>
      <c r="AL306" s="54">
        <v>0</v>
      </c>
      <c r="AM306" s="54">
        <v>5.4</v>
      </c>
      <c r="AN306" s="57">
        <v>10.38</v>
      </c>
      <c r="AO306" s="53">
        <v>36</v>
      </c>
      <c r="AP306" s="54">
        <v>9.8000000000000007</v>
      </c>
      <c r="AQ306" s="54">
        <v>180</v>
      </c>
      <c r="AR306" s="54">
        <v>5.4</v>
      </c>
      <c r="AS306" s="57">
        <v>12.5</v>
      </c>
      <c r="AT306" s="56">
        <v>32</v>
      </c>
      <c r="AU306" s="57">
        <v>120</v>
      </c>
      <c r="AV306" s="56">
        <v>95.10498046875</v>
      </c>
      <c r="AW306" s="57">
        <v>278.22711676433681</v>
      </c>
      <c r="AX306" s="8"/>
      <c r="AZ306" s="1">
        <v>90</v>
      </c>
    </row>
    <row r="307" spans="3:52" ht="15" customHeight="1" x14ac:dyDescent="0.25">
      <c r="C307" s="42"/>
      <c r="D307" s="43">
        <f>D304</f>
        <v>45713</v>
      </c>
      <c r="E307" s="44">
        <f t="shared" si="30"/>
        <v>24.499999999999922</v>
      </c>
      <c r="F307" s="45">
        <f t="shared" si="27"/>
        <v>45713.500000000706</v>
      </c>
      <c r="G307" s="52">
        <v>40</v>
      </c>
      <c r="H307" s="53">
        <v>40</v>
      </c>
      <c r="I307" s="54">
        <v>10.4</v>
      </c>
      <c r="J307" s="54">
        <v>300</v>
      </c>
      <c r="K307" s="55">
        <v>6.2</v>
      </c>
      <c r="L307" s="56">
        <v>41</v>
      </c>
      <c r="M307" s="54">
        <v>9.8000000000000007</v>
      </c>
      <c r="N307" s="54">
        <v>250</v>
      </c>
      <c r="O307" s="57">
        <v>6.9</v>
      </c>
      <c r="P307" s="53">
        <v>40</v>
      </c>
      <c r="Q307" s="54">
        <v>9.1999999999999993</v>
      </c>
      <c r="R307" s="55">
        <v>0</v>
      </c>
      <c r="S307" s="55">
        <v>5.7</v>
      </c>
      <c r="T307" s="57">
        <v>17.11</v>
      </c>
      <c r="U307" s="56">
        <v>40</v>
      </c>
      <c r="V307" s="54">
        <v>9.1</v>
      </c>
      <c r="W307" s="55">
        <v>0</v>
      </c>
      <c r="X307" s="55">
        <v>5.9</v>
      </c>
      <c r="Y307" s="57">
        <v>15.59</v>
      </c>
      <c r="Z307" s="53">
        <v>39</v>
      </c>
      <c r="AA307" s="54">
        <v>9.1</v>
      </c>
      <c r="AB307" s="55">
        <v>0</v>
      </c>
      <c r="AC307" s="55">
        <v>5.9</v>
      </c>
      <c r="AD307" s="57">
        <v>15</v>
      </c>
      <c r="AE307" s="56">
        <v>37</v>
      </c>
      <c r="AF307" s="54">
        <v>9.1999999999999993</v>
      </c>
      <c r="AG307" s="55">
        <v>0</v>
      </c>
      <c r="AH307" s="55">
        <v>5.5</v>
      </c>
      <c r="AI307" s="57">
        <v>14.61</v>
      </c>
      <c r="AJ307" s="56">
        <v>37</v>
      </c>
      <c r="AK307" s="54">
        <v>9.6</v>
      </c>
      <c r="AL307" s="54">
        <v>0</v>
      </c>
      <c r="AM307" s="54">
        <v>5.4</v>
      </c>
      <c r="AN307" s="57">
        <v>10.35</v>
      </c>
      <c r="AO307" s="53">
        <v>37</v>
      </c>
      <c r="AP307" s="54">
        <v>9.6</v>
      </c>
      <c r="AQ307" s="54">
        <v>150</v>
      </c>
      <c r="AR307" s="54">
        <v>5.4</v>
      </c>
      <c r="AS307" s="57">
        <v>12.69</v>
      </c>
      <c r="AT307" s="56">
        <v>24</v>
      </c>
      <c r="AU307" s="57">
        <v>110</v>
      </c>
      <c r="AV307" s="56">
        <v>95.157875061035199</v>
      </c>
      <c r="AW307" s="57">
        <v>259.77117037419231</v>
      </c>
      <c r="AX307" s="8"/>
      <c r="AZ307" s="1">
        <v>90</v>
      </c>
    </row>
    <row r="308" spans="3:52" ht="15" customHeight="1" x14ac:dyDescent="0.25">
      <c r="C308" s="42"/>
      <c r="D308" s="43">
        <f>D304</f>
        <v>45713</v>
      </c>
      <c r="E308" s="44">
        <f t="shared" si="30"/>
        <v>24.583333333333254</v>
      </c>
      <c r="F308" s="45">
        <f t="shared" si="27"/>
        <v>45713.583333334042</v>
      </c>
      <c r="G308" s="52">
        <v>42</v>
      </c>
      <c r="H308" s="53">
        <v>41</v>
      </c>
      <c r="I308" s="54">
        <v>10.8</v>
      </c>
      <c r="J308" s="54">
        <v>300</v>
      </c>
      <c r="K308" s="55">
        <v>6.2</v>
      </c>
      <c r="L308" s="56">
        <v>41</v>
      </c>
      <c r="M308" s="54">
        <v>10</v>
      </c>
      <c r="N308" s="54">
        <v>250</v>
      </c>
      <c r="O308" s="57">
        <v>6.7</v>
      </c>
      <c r="P308" s="53">
        <v>41</v>
      </c>
      <c r="Q308" s="54">
        <v>9.4</v>
      </c>
      <c r="R308" s="55">
        <v>0</v>
      </c>
      <c r="S308" s="55">
        <v>5.9</v>
      </c>
      <c r="T308" s="57">
        <v>17.3</v>
      </c>
      <c r="U308" s="56">
        <v>40</v>
      </c>
      <c r="V308" s="54">
        <v>9.1999999999999993</v>
      </c>
      <c r="W308" s="55">
        <v>0</v>
      </c>
      <c r="X308" s="55">
        <v>6</v>
      </c>
      <c r="Y308" s="57">
        <v>15.19</v>
      </c>
      <c r="Z308" s="53">
        <v>40</v>
      </c>
      <c r="AA308" s="54">
        <v>9.1999999999999993</v>
      </c>
      <c r="AB308" s="55">
        <v>0</v>
      </c>
      <c r="AC308" s="55">
        <v>5.7</v>
      </c>
      <c r="AD308" s="57">
        <v>15.19</v>
      </c>
      <c r="AE308" s="56">
        <v>38</v>
      </c>
      <c r="AF308" s="54">
        <v>9.3000000000000007</v>
      </c>
      <c r="AG308" s="55">
        <v>0</v>
      </c>
      <c r="AH308" s="55">
        <v>5.5</v>
      </c>
      <c r="AI308" s="57">
        <v>14.61</v>
      </c>
      <c r="AJ308" s="56">
        <v>39</v>
      </c>
      <c r="AK308" s="54">
        <v>9.6</v>
      </c>
      <c r="AL308" s="54">
        <v>0</v>
      </c>
      <c r="AM308" s="54">
        <v>5.2</v>
      </c>
      <c r="AN308" s="57">
        <v>10.19</v>
      </c>
      <c r="AO308" s="53">
        <v>39</v>
      </c>
      <c r="AP308" s="54">
        <v>9.6</v>
      </c>
      <c r="AQ308" s="54">
        <v>180</v>
      </c>
      <c r="AR308" s="54">
        <v>5.2</v>
      </c>
      <c r="AS308" s="57">
        <v>12.5</v>
      </c>
      <c r="AT308" s="56">
        <v>25</v>
      </c>
      <c r="AU308" s="57">
        <v>130</v>
      </c>
      <c r="AV308" s="56">
        <v>95.088699340820298</v>
      </c>
      <c r="AW308" s="57">
        <v>277.74124692150701</v>
      </c>
      <c r="AX308" s="8"/>
      <c r="AZ308" s="1">
        <v>90</v>
      </c>
    </row>
    <row r="309" spans="3:52" ht="15" customHeight="1" x14ac:dyDescent="0.25">
      <c r="C309" s="42"/>
      <c r="D309" s="43">
        <f>D304</f>
        <v>45713</v>
      </c>
      <c r="E309" s="44">
        <f t="shared" si="30"/>
        <v>24.666666666666586</v>
      </c>
      <c r="F309" s="45">
        <f t="shared" si="27"/>
        <v>45713.666666667377</v>
      </c>
      <c r="G309" s="52">
        <v>43</v>
      </c>
      <c r="H309" s="53">
        <v>42</v>
      </c>
      <c r="I309" s="54">
        <v>10.7</v>
      </c>
      <c r="J309" s="54">
        <v>300</v>
      </c>
      <c r="K309" s="55">
        <v>6.1</v>
      </c>
      <c r="L309" s="56">
        <v>41</v>
      </c>
      <c r="M309" s="54">
        <v>10.199999999999999</v>
      </c>
      <c r="N309" s="54">
        <v>250</v>
      </c>
      <c r="O309" s="57">
        <v>6.5</v>
      </c>
      <c r="P309" s="53">
        <v>40</v>
      </c>
      <c r="Q309" s="54">
        <v>9.8000000000000007</v>
      </c>
      <c r="R309" s="55">
        <v>0</v>
      </c>
      <c r="S309" s="55">
        <v>5.8</v>
      </c>
      <c r="T309" s="57">
        <v>17.3</v>
      </c>
      <c r="U309" s="56">
        <v>40</v>
      </c>
      <c r="V309" s="54">
        <v>9.3000000000000007</v>
      </c>
      <c r="W309" s="55">
        <v>0</v>
      </c>
      <c r="X309" s="55">
        <v>6.1</v>
      </c>
      <c r="Y309" s="57">
        <v>15.8</v>
      </c>
      <c r="Z309" s="53">
        <v>38</v>
      </c>
      <c r="AA309" s="54">
        <v>9.3000000000000007</v>
      </c>
      <c r="AB309" s="55">
        <v>0</v>
      </c>
      <c r="AC309" s="55">
        <v>5.9</v>
      </c>
      <c r="AD309" s="57">
        <v>14.8</v>
      </c>
      <c r="AE309" s="56">
        <v>38</v>
      </c>
      <c r="AF309" s="54">
        <v>9.1999999999999993</v>
      </c>
      <c r="AG309" s="55">
        <v>0</v>
      </c>
      <c r="AH309" s="55">
        <v>5.7</v>
      </c>
      <c r="AI309" s="57">
        <v>14.42</v>
      </c>
      <c r="AJ309" s="56">
        <v>37</v>
      </c>
      <c r="AK309" s="54">
        <v>9.3000000000000007</v>
      </c>
      <c r="AL309" s="54">
        <v>0</v>
      </c>
      <c r="AM309" s="54">
        <v>5.5</v>
      </c>
      <c r="AN309" s="57">
        <v>10.57</v>
      </c>
      <c r="AO309" s="53">
        <v>38</v>
      </c>
      <c r="AP309" s="54">
        <v>9.3000000000000007</v>
      </c>
      <c r="AQ309" s="54">
        <v>160</v>
      </c>
      <c r="AR309" s="54">
        <v>5.5</v>
      </c>
      <c r="AS309" s="57">
        <v>12.5</v>
      </c>
      <c r="AT309" s="56">
        <v>24</v>
      </c>
      <c r="AU309" s="57">
        <v>130</v>
      </c>
      <c r="AV309" s="56">
        <v>95.003250122070298</v>
      </c>
      <c r="AW309" s="57">
        <v>279.72234284632526</v>
      </c>
      <c r="AX309" s="8"/>
      <c r="AZ309" s="1">
        <v>90</v>
      </c>
    </row>
    <row r="310" spans="3:52" ht="15" customHeight="1" x14ac:dyDescent="0.25">
      <c r="C310" s="42"/>
      <c r="D310" s="43">
        <f>D304</f>
        <v>45713</v>
      </c>
      <c r="E310" s="44">
        <f t="shared" si="30"/>
        <v>24.749999999999918</v>
      </c>
      <c r="F310" s="45">
        <f t="shared" si="27"/>
        <v>45713.750000000713</v>
      </c>
      <c r="G310" s="52">
        <v>44</v>
      </c>
      <c r="H310" s="53">
        <v>42</v>
      </c>
      <c r="I310" s="54">
        <v>10.5</v>
      </c>
      <c r="J310" s="54">
        <v>300</v>
      </c>
      <c r="K310" s="55">
        <v>6</v>
      </c>
      <c r="L310" s="56">
        <v>42</v>
      </c>
      <c r="M310" s="54">
        <v>10.3</v>
      </c>
      <c r="N310" s="54">
        <v>300</v>
      </c>
      <c r="O310" s="57">
        <v>6.8</v>
      </c>
      <c r="P310" s="53">
        <v>40</v>
      </c>
      <c r="Q310" s="54">
        <v>10</v>
      </c>
      <c r="R310" s="55">
        <v>0</v>
      </c>
      <c r="S310" s="55">
        <v>6</v>
      </c>
      <c r="T310" s="57">
        <v>17.11</v>
      </c>
      <c r="U310" s="56">
        <v>41</v>
      </c>
      <c r="V310" s="54">
        <v>9.4</v>
      </c>
      <c r="W310" s="55">
        <v>0</v>
      </c>
      <c r="X310" s="55">
        <v>6</v>
      </c>
      <c r="Y310" s="57">
        <v>14.8</v>
      </c>
      <c r="Z310" s="53">
        <v>39</v>
      </c>
      <c r="AA310" s="54">
        <v>9.4</v>
      </c>
      <c r="AB310" s="55">
        <v>0</v>
      </c>
      <c r="AC310" s="55">
        <v>5.7</v>
      </c>
      <c r="AD310" s="57">
        <v>14.8</v>
      </c>
      <c r="AE310" s="56">
        <v>38</v>
      </c>
      <c r="AF310" s="54">
        <v>9.3000000000000007</v>
      </c>
      <c r="AG310" s="55">
        <v>0</v>
      </c>
      <c r="AH310" s="55">
        <v>5.5</v>
      </c>
      <c r="AI310" s="57">
        <v>14.42</v>
      </c>
      <c r="AJ310" s="56">
        <v>38</v>
      </c>
      <c r="AK310" s="54">
        <v>9.3000000000000007</v>
      </c>
      <c r="AL310" s="54">
        <v>0</v>
      </c>
      <c r="AM310" s="54">
        <v>5.3</v>
      </c>
      <c r="AN310" s="57">
        <v>10.57</v>
      </c>
      <c r="AO310" s="53">
        <v>38</v>
      </c>
      <c r="AP310" s="54">
        <v>9.4</v>
      </c>
      <c r="AQ310" s="54">
        <v>160</v>
      </c>
      <c r="AR310" s="54">
        <v>5.2</v>
      </c>
      <c r="AS310" s="57">
        <v>12.69</v>
      </c>
      <c r="AT310" s="56">
        <v>35</v>
      </c>
      <c r="AU310" s="57">
        <v>140</v>
      </c>
      <c r="AV310" s="56">
        <v>94.950355529785199</v>
      </c>
      <c r="AW310" s="57">
        <v>279.34425558340735</v>
      </c>
      <c r="AX310" s="8"/>
      <c r="AZ310" s="1">
        <v>90</v>
      </c>
    </row>
    <row r="311" spans="3:52" ht="15" customHeight="1" x14ac:dyDescent="0.25">
      <c r="C311" s="42"/>
      <c r="D311" s="43">
        <f>D304</f>
        <v>45713</v>
      </c>
      <c r="E311" s="44">
        <f t="shared" si="30"/>
        <v>24.83333333333325</v>
      </c>
      <c r="F311" s="45">
        <f t="shared" si="27"/>
        <v>45713.833333334049</v>
      </c>
      <c r="G311" s="52">
        <v>42</v>
      </c>
      <c r="H311" s="53">
        <v>42</v>
      </c>
      <c r="I311" s="54">
        <v>9.9</v>
      </c>
      <c r="J311" s="54">
        <v>250</v>
      </c>
      <c r="K311" s="55">
        <v>7.5</v>
      </c>
      <c r="L311" s="56">
        <v>41</v>
      </c>
      <c r="M311" s="54">
        <v>10.1</v>
      </c>
      <c r="N311" s="54">
        <v>250</v>
      </c>
      <c r="O311" s="57">
        <v>7.9</v>
      </c>
      <c r="P311" s="53">
        <v>41</v>
      </c>
      <c r="Q311" s="54">
        <v>10</v>
      </c>
      <c r="R311" s="55">
        <v>0</v>
      </c>
      <c r="S311" s="55">
        <v>8.4</v>
      </c>
      <c r="T311" s="57">
        <v>18.2</v>
      </c>
      <c r="U311" s="56">
        <v>41</v>
      </c>
      <c r="V311" s="54">
        <v>9.8000000000000007</v>
      </c>
      <c r="W311" s="55">
        <v>0</v>
      </c>
      <c r="X311" s="55">
        <v>7.3</v>
      </c>
      <c r="Y311" s="57">
        <v>14.4</v>
      </c>
      <c r="Z311" s="53">
        <v>39</v>
      </c>
      <c r="AA311" s="54">
        <v>9.3000000000000007</v>
      </c>
      <c r="AB311" s="55">
        <v>0</v>
      </c>
      <c r="AC311" s="55">
        <v>6.5</v>
      </c>
      <c r="AD311" s="57">
        <v>15.3</v>
      </c>
      <c r="AE311" s="56">
        <v>40</v>
      </c>
      <c r="AF311" s="54">
        <v>9.1999999999999993</v>
      </c>
      <c r="AG311" s="55">
        <v>0</v>
      </c>
      <c r="AH311" s="55">
        <v>6.3</v>
      </c>
      <c r="AI311" s="57">
        <v>13.4</v>
      </c>
      <c r="AJ311" s="56">
        <v>40</v>
      </c>
      <c r="AK311" s="54">
        <v>9.1</v>
      </c>
      <c r="AL311" s="54">
        <v>0</v>
      </c>
      <c r="AM311" s="54">
        <v>6.7</v>
      </c>
      <c r="AN311" s="57">
        <v>11.5</v>
      </c>
      <c r="AO311" s="53">
        <v>38</v>
      </c>
      <c r="AP311" s="54">
        <v>9.1999999999999993</v>
      </c>
      <c r="AQ311" s="54">
        <v>170</v>
      </c>
      <c r="AR311" s="54">
        <v>6.3</v>
      </c>
      <c r="AS311" s="57">
        <v>13.4</v>
      </c>
      <c r="AT311" s="56">
        <v>30</v>
      </c>
      <c r="AU311" s="57">
        <v>100</v>
      </c>
      <c r="AV311" s="56">
        <v>95.027664184570298</v>
      </c>
      <c r="AW311" s="57">
        <v>280.03592695482075</v>
      </c>
      <c r="AX311" s="8"/>
      <c r="AZ311" s="1">
        <v>90</v>
      </c>
    </row>
    <row r="312" spans="3:52" ht="15" customHeight="1" x14ac:dyDescent="0.25">
      <c r="C312" s="42"/>
      <c r="D312" s="43">
        <f>D304</f>
        <v>45713</v>
      </c>
      <c r="E312" s="44">
        <f t="shared" si="30"/>
        <v>24.916666666666583</v>
      </c>
      <c r="F312" s="45">
        <f t="shared" si="27"/>
        <v>45713.916666667385</v>
      </c>
      <c r="G312" s="52">
        <v>40</v>
      </c>
      <c r="H312" s="53">
        <v>41</v>
      </c>
      <c r="I312" s="54">
        <v>10.4</v>
      </c>
      <c r="J312" s="54">
        <v>200</v>
      </c>
      <c r="K312" s="55">
        <v>7.3</v>
      </c>
      <c r="L312" s="56">
        <v>41</v>
      </c>
      <c r="M312" s="54">
        <v>10.1</v>
      </c>
      <c r="N312" s="54">
        <v>250</v>
      </c>
      <c r="O312" s="57">
        <v>7.5</v>
      </c>
      <c r="P312" s="53">
        <v>41</v>
      </c>
      <c r="Q312" s="54">
        <v>10</v>
      </c>
      <c r="R312" s="55">
        <v>0</v>
      </c>
      <c r="S312" s="55">
        <v>8.1</v>
      </c>
      <c r="T312" s="57">
        <v>18.600000000000001</v>
      </c>
      <c r="U312" s="56">
        <v>41</v>
      </c>
      <c r="V312" s="54">
        <v>9.8000000000000007</v>
      </c>
      <c r="W312" s="55">
        <v>0</v>
      </c>
      <c r="X312" s="55">
        <v>7.5</v>
      </c>
      <c r="Y312" s="57">
        <v>15.3</v>
      </c>
      <c r="Z312" s="53">
        <v>40</v>
      </c>
      <c r="AA312" s="54">
        <v>9.1999999999999993</v>
      </c>
      <c r="AB312" s="55">
        <v>0</v>
      </c>
      <c r="AC312" s="55">
        <v>6.8</v>
      </c>
      <c r="AD312" s="57">
        <v>15.3</v>
      </c>
      <c r="AE312" s="56">
        <v>40</v>
      </c>
      <c r="AF312" s="54">
        <v>9.1999999999999993</v>
      </c>
      <c r="AG312" s="55">
        <v>0</v>
      </c>
      <c r="AH312" s="55">
        <v>6.3</v>
      </c>
      <c r="AI312" s="57">
        <v>13.4</v>
      </c>
      <c r="AJ312" s="56">
        <v>40</v>
      </c>
      <c r="AK312" s="54">
        <v>9.1</v>
      </c>
      <c r="AL312" s="54">
        <v>0</v>
      </c>
      <c r="AM312" s="54">
        <v>6.4</v>
      </c>
      <c r="AN312" s="57">
        <v>12.5</v>
      </c>
      <c r="AO312" s="53">
        <v>39</v>
      </c>
      <c r="AP312" s="54">
        <v>9.1999999999999993</v>
      </c>
      <c r="AQ312" s="54">
        <v>150</v>
      </c>
      <c r="AR312" s="54">
        <v>6.7</v>
      </c>
      <c r="AS312" s="57">
        <v>15.3</v>
      </c>
      <c r="AT312" s="56">
        <v>30</v>
      </c>
      <c r="AU312" s="57">
        <v>80</v>
      </c>
      <c r="AV312" s="56">
        <v>94.98291015625</v>
      </c>
      <c r="AW312" s="57">
        <v>281.02334187766536</v>
      </c>
      <c r="AX312" s="8"/>
      <c r="AZ312" s="1">
        <v>90</v>
      </c>
    </row>
    <row r="313" spans="3:52" ht="15" customHeight="1" x14ac:dyDescent="0.25">
      <c r="C313" s="42"/>
      <c r="D313" s="43">
        <f>D304</f>
        <v>45713</v>
      </c>
      <c r="E313" s="44">
        <f t="shared" si="30"/>
        <v>24.999999999999915</v>
      </c>
      <c r="F313" s="45">
        <f t="shared" si="27"/>
        <v>45714.00000000072</v>
      </c>
      <c r="G313" s="52">
        <v>40</v>
      </c>
      <c r="H313" s="53">
        <v>41</v>
      </c>
      <c r="I313" s="54">
        <v>10.3</v>
      </c>
      <c r="J313" s="54">
        <v>200</v>
      </c>
      <c r="K313" s="55">
        <v>7.9</v>
      </c>
      <c r="L313" s="56">
        <v>40</v>
      </c>
      <c r="M313" s="54">
        <v>10.199999999999999</v>
      </c>
      <c r="N313" s="54">
        <v>250</v>
      </c>
      <c r="O313" s="57">
        <v>8.1999999999999993</v>
      </c>
      <c r="P313" s="53">
        <v>39</v>
      </c>
      <c r="Q313" s="54">
        <v>10</v>
      </c>
      <c r="R313" s="55">
        <v>0</v>
      </c>
      <c r="S313" s="55">
        <v>8.5</v>
      </c>
      <c r="T313" s="57">
        <v>18.600000000000001</v>
      </c>
      <c r="U313" s="56">
        <v>39</v>
      </c>
      <c r="V313" s="54">
        <v>10</v>
      </c>
      <c r="W313" s="55">
        <v>0</v>
      </c>
      <c r="X313" s="55">
        <v>7.2</v>
      </c>
      <c r="Y313" s="57">
        <v>14.4</v>
      </c>
      <c r="Z313" s="53">
        <v>41</v>
      </c>
      <c r="AA313" s="54">
        <v>9.4</v>
      </c>
      <c r="AB313" s="55">
        <v>0</v>
      </c>
      <c r="AC313" s="55">
        <v>6.3</v>
      </c>
      <c r="AD313" s="57">
        <v>13.8</v>
      </c>
      <c r="AE313" s="56">
        <v>41</v>
      </c>
      <c r="AF313" s="54">
        <v>9.4</v>
      </c>
      <c r="AG313" s="55">
        <v>0</v>
      </c>
      <c r="AH313" s="55">
        <v>6.3</v>
      </c>
      <c r="AI313" s="57">
        <v>13.8</v>
      </c>
      <c r="AJ313" s="56">
        <v>41</v>
      </c>
      <c r="AK313" s="54">
        <v>9.1999999999999993</v>
      </c>
      <c r="AL313" s="54">
        <v>0</v>
      </c>
      <c r="AM313" s="54">
        <v>6.1</v>
      </c>
      <c r="AN313" s="57">
        <v>12.5</v>
      </c>
      <c r="AO313" s="53">
        <v>40</v>
      </c>
      <c r="AP313" s="54">
        <v>9.3000000000000007</v>
      </c>
      <c r="AQ313" s="54">
        <v>120</v>
      </c>
      <c r="AR313" s="54">
        <v>5.9</v>
      </c>
      <c r="AS313" s="57">
        <v>18.2</v>
      </c>
      <c r="AT313" s="56">
        <v>32</v>
      </c>
      <c r="AU313" s="57">
        <v>70</v>
      </c>
      <c r="AV313" s="56">
        <v>94.942214965820298</v>
      </c>
      <c r="AW313" s="57">
        <v>281.43807846771864</v>
      </c>
      <c r="AX313" s="8"/>
      <c r="AZ313" s="1">
        <v>90</v>
      </c>
    </row>
    <row r="314" spans="3:52" ht="15" customHeight="1" x14ac:dyDescent="0.25">
      <c r="C314" s="42"/>
      <c r="D314" s="43">
        <f>D304</f>
        <v>45713</v>
      </c>
      <c r="E314" s="44">
        <f t="shared" si="30"/>
        <v>25.083333333333247</v>
      </c>
      <c r="F314" s="45">
        <f t="shared" si="27"/>
        <v>45714.083333334056</v>
      </c>
      <c r="G314" s="52">
        <v>42</v>
      </c>
      <c r="H314" s="53">
        <v>42</v>
      </c>
      <c r="I314" s="54">
        <v>10.3</v>
      </c>
      <c r="J314" s="54">
        <v>200</v>
      </c>
      <c r="K314" s="55">
        <v>7.6</v>
      </c>
      <c r="L314" s="56">
        <v>41</v>
      </c>
      <c r="M314" s="54">
        <v>10.3</v>
      </c>
      <c r="N314" s="54">
        <v>200</v>
      </c>
      <c r="O314" s="57">
        <v>7.9</v>
      </c>
      <c r="P314" s="53">
        <v>40</v>
      </c>
      <c r="Q314" s="54">
        <v>10.1</v>
      </c>
      <c r="R314" s="55">
        <v>0</v>
      </c>
      <c r="S314" s="55">
        <v>8.1</v>
      </c>
      <c r="T314" s="57">
        <v>18.2</v>
      </c>
      <c r="U314" s="56">
        <v>41</v>
      </c>
      <c r="V314" s="54">
        <v>10</v>
      </c>
      <c r="W314" s="55">
        <v>0</v>
      </c>
      <c r="X314" s="55">
        <v>7.8</v>
      </c>
      <c r="Y314" s="57">
        <v>15.43</v>
      </c>
      <c r="Z314" s="53">
        <v>41</v>
      </c>
      <c r="AA314" s="54">
        <v>9.8000000000000007</v>
      </c>
      <c r="AB314" s="55">
        <v>0</v>
      </c>
      <c r="AC314" s="55">
        <v>6.5</v>
      </c>
      <c r="AD314" s="57">
        <v>15.7</v>
      </c>
      <c r="AE314" s="56">
        <v>41</v>
      </c>
      <c r="AF314" s="54">
        <v>9.4</v>
      </c>
      <c r="AG314" s="55">
        <v>0</v>
      </c>
      <c r="AH314" s="55">
        <v>6.7</v>
      </c>
      <c r="AI314" s="57">
        <v>13.8</v>
      </c>
      <c r="AJ314" s="56">
        <v>41</v>
      </c>
      <c r="AK314" s="54">
        <v>9.1999999999999993</v>
      </c>
      <c r="AL314" s="54">
        <v>0</v>
      </c>
      <c r="AM314" s="54">
        <v>6.1</v>
      </c>
      <c r="AN314" s="57">
        <v>12.3</v>
      </c>
      <c r="AO314" s="53">
        <v>39</v>
      </c>
      <c r="AP314" s="54">
        <v>9.3000000000000007</v>
      </c>
      <c r="AQ314" s="54">
        <v>140</v>
      </c>
      <c r="AR314" s="54">
        <v>5.9</v>
      </c>
      <c r="AS314" s="57">
        <v>17.600000000000001</v>
      </c>
      <c r="AT314" s="56">
        <v>31</v>
      </c>
      <c r="AU314" s="57">
        <v>90</v>
      </c>
      <c r="AV314" s="56">
        <v>94.978836059570298</v>
      </c>
      <c r="AW314" s="57">
        <v>281.44495152477174</v>
      </c>
      <c r="AX314" s="8"/>
      <c r="AZ314" s="1">
        <v>90</v>
      </c>
    </row>
    <row r="315" spans="3:52" ht="15" customHeight="1" x14ac:dyDescent="0.25">
      <c r="C315" s="42"/>
      <c r="D315" s="69">
        <f>D304</f>
        <v>45713</v>
      </c>
      <c r="E315" s="70">
        <f t="shared" si="30"/>
        <v>25.166666666666579</v>
      </c>
      <c r="F315" s="71">
        <f t="shared" si="27"/>
        <v>45714.166666667392</v>
      </c>
      <c r="G315" s="60">
        <v>41</v>
      </c>
      <c r="H315" s="61">
        <v>42</v>
      </c>
      <c r="I315" s="62">
        <v>10.1</v>
      </c>
      <c r="J315" s="62">
        <v>200</v>
      </c>
      <c r="K315" s="63">
        <v>7.1</v>
      </c>
      <c r="L315" s="64">
        <v>41</v>
      </c>
      <c r="M315" s="62">
        <v>10.4</v>
      </c>
      <c r="N315" s="62">
        <v>200</v>
      </c>
      <c r="O315" s="65">
        <v>8.5</v>
      </c>
      <c r="P315" s="61">
        <v>40</v>
      </c>
      <c r="Q315" s="62">
        <v>10.199999999999999</v>
      </c>
      <c r="R315" s="63">
        <v>0</v>
      </c>
      <c r="S315" s="63">
        <v>7.8</v>
      </c>
      <c r="T315" s="65">
        <v>18.600000000000001</v>
      </c>
      <c r="U315" s="64">
        <v>41</v>
      </c>
      <c r="V315" s="62">
        <v>10.1</v>
      </c>
      <c r="W315" s="63">
        <v>0</v>
      </c>
      <c r="X315" s="63">
        <v>7.5</v>
      </c>
      <c r="Y315" s="65">
        <v>15.3</v>
      </c>
      <c r="Z315" s="61">
        <v>41</v>
      </c>
      <c r="AA315" s="62">
        <v>9.8000000000000007</v>
      </c>
      <c r="AB315" s="63">
        <v>0</v>
      </c>
      <c r="AC315" s="63">
        <v>6.7</v>
      </c>
      <c r="AD315" s="65">
        <v>15.7</v>
      </c>
      <c r="AE315" s="64">
        <v>41</v>
      </c>
      <c r="AF315" s="62">
        <v>9.4</v>
      </c>
      <c r="AG315" s="63">
        <v>0</v>
      </c>
      <c r="AH315" s="63">
        <v>6.3</v>
      </c>
      <c r="AI315" s="65">
        <v>13.4</v>
      </c>
      <c r="AJ315" s="64">
        <v>41</v>
      </c>
      <c r="AK315" s="62">
        <v>9.3000000000000007</v>
      </c>
      <c r="AL315" s="62">
        <v>0</v>
      </c>
      <c r="AM315" s="62">
        <v>5.8</v>
      </c>
      <c r="AN315" s="65">
        <v>12.5</v>
      </c>
      <c r="AO315" s="61">
        <v>39</v>
      </c>
      <c r="AP315" s="62">
        <v>9.4</v>
      </c>
      <c r="AQ315" s="62">
        <v>130</v>
      </c>
      <c r="AR315" s="62">
        <v>6.4</v>
      </c>
      <c r="AS315" s="65">
        <v>18.2</v>
      </c>
      <c r="AT315" s="64">
        <v>30</v>
      </c>
      <c r="AU315" s="65">
        <v>100</v>
      </c>
      <c r="AV315" s="64">
        <v>94.93408203125</v>
      </c>
      <c r="AW315" s="65">
        <v>292.74920546862609</v>
      </c>
      <c r="AX315" s="8"/>
      <c r="AZ315" s="1">
        <v>90</v>
      </c>
    </row>
    <row r="316" spans="3:52" ht="15" customHeight="1" x14ac:dyDescent="0.25">
      <c r="C316" s="42">
        <f>C304+1</f>
        <v>26</v>
      </c>
      <c r="D316" s="66">
        <f>DATE([2]Dash!$F$3,VLOOKUP([2]Dash!$E$3,[2]Abb!$C$3:$D$14,2,FALSE),C316)</f>
        <v>45714</v>
      </c>
      <c r="E316" s="67">
        <f>E315+2/24</f>
        <v>25.249999999999911</v>
      </c>
      <c r="F316" s="68">
        <f t="shared" si="27"/>
        <v>45714.250000000728</v>
      </c>
      <c r="G316" s="46">
        <v>41</v>
      </c>
      <c r="H316" s="47">
        <v>42</v>
      </c>
      <c r="I316" s="48">
        <v>9.9</v>
      </c>
      <c r="J316" s="48">
        <v>200</v>
      </c>
      <c r="K316" s="49">
        <v>7.8</v>
      </c>
      <c r="L316" s="50">
        <v>42</v>
      </c>
      <c r="M316" s="48">
        <v>10.199999999999999</v>
      </c>
      <c r="N316" s="48">
        <v>200</v>
      </c>
      <c r="O316" s="51">
        <v>8.6</v>
      </c>
      <c r="P316" s="47">
        <v>40</v>
      </c>
      <c r="Q316" s="48">
        <v>10</v>
      </c>
      <c r="R316" s="49">
        <v>0</v>
      </c>
      <c r="S316" s="49">
        <v>7.6</v>
      </c>
      <c r="T316" s="51">
        <v>18.600000000000001</v>
      </c>
      <c r="U316" s="50">
        <v>41</v>
      </c>
      <c r="V316" s="48">
        <v>9.9</v>
      </c>
      <c r="W316" s="49">
        <v>0</v>
      </c>
      <c r="X316" s="49">
        <v>7.9</v>
      </c>
      <c r="Y316" s="51">
        <v>15.3</v>
      </c>
      <c r="Z316" s="47">
        <v>41</v>
      </c>
      <c r="AA316" s="48">
        <v>9.9</v>
      </c>
      <c r="AB316" s="49">
        <v>0</v>
      </c>
      <c r="AC316" s="49">
        <v>6.5</v>
      </c>
      <c r="AD316" s="51">
        <v>15.3</v>
      </c>
      <c r="AE316" s="50">
        <v>42</v>
      </c>
      <c r="AF316" s="48">
        <v>9.6999999999999993</v>
      </c>
      <c r="AG316" s="49">
        <v>0</v>
      </c>
      <c r="AH316" s="49">
        <v>5.8</v>
      </c>
      <c r="AI316" s="51">
        <v>13.8</v>
      </c>
      <c r="AJ316" s="50">
        <v>42</v>
      </c>
      <c r="AK316" s="48">
        <v>9.6</v>
      </c>
      <c r="AL316" s="48">
        <v>0</v>
      </c>
      <c r="AM316" s="48">
        <v>5.9</v>
      </c>
      <c r="AN316" s="51">
        <v>12.5</v>
      </c>
      <c r="AO316" s="47">
        <v>40</v>
      </c>
      <c r="AP316" s="48">
        <v>9.5</v>
      </c>
      <c r="AQ316" s="48">
        <v>130</v>
      </c>
      <c r="AR316" s="48">
        <v>6.3</v>
      </c>
      <c r="AS316" s="51">
        <v>18.2</v>
      </c>
      <c r="AT316" s="50">
        <v>31</v>
      </c>
      <c r="AU316" s="51">
        <v>80</v>
      </c>
      <c r="AV316" s="50">
        <v>94.8974609375</v>
      </c>
      <c r="AW316" s="51">
        <v>281.13269178306996</v>
      </c>
      <c r="AX316" s="8"/>
      <c r="AZ316" s="1">
        <v>90</v>
      </c>
    </row>
    <row r="317" spans="3:52" ht="15" customHeight="1" x14ac:dyDescent="0.25">
      <c r="C317" s="42"/>
      <c r="D317" s="43">
        <f>D316</f>
        <v>45714</v>
      </c>
      <c r="E317" s="44">
        <f>E316+2/24</f>
        <v>25.333333333333243</v>
      </c>
      <c r="F317" s="45">
        <f t="shared" si="27"/>
        <v>45714.333333334063</v>
      </c>
      <c r="G317" s="52">
        <v>40</v>
      </c>
      <c r="H317" s="53">
        <v>42</v>
      </c>
      <c r="I317" s="54">
        <v>10.1</v>
      </c>
      <c r="J317" s="54">
        <v>200</v>
      </c>
      <c r="K317" s="55">
        <v>6.7</v>
      </c>
      <c r="L317" s="56">
        <v>42</v>
      </c>
      <c r="M317" s="54">
        <v>10.1</v>
      </c>
      <c r="N317" s="54">
        <v>200</v>
      </c>
      <c r="O317" s="57">
        <v>6.5</v>
      </c>
      <c r="P317" s="53">
        <v>42</v>
      </c>
      <c r="Q317" s="54">
        <v>10.1</v>
      </c>
      <c r="R317" s="55">
        <v>0</v>
      </c>
      <c r="S317" s="55">
        <v>6.5</v>
      </c>
      <c r="T317" s="57">
        <v>17.3</v>
      </c>
      <c r="U317" s="56">
        <v>42</v>
      </c>
      <c r="V317" s="54">
        <v>10.1</v>
      </c>
      <c r="W317" s="55">
        <v>0</v>
      </c>
      <c r="X317" s="55">
        <v>6.1</v>
      </c>
      <c r="Y317" s="57">
        <v>15.38</v>
      </c>
      <c r="Z317" s="53">
        <v>40</v>
      </c>
      <c r="AA317" s="54">
        <v>10.1</v>
      </c>
      <c r="AB317" s="55">
        <v>0</v>
      </c>
      <c r="AC317" s="55">
        <v>5.9</v>
      </c>
      <c r="AD317" s="57">
        <v>14.42</v>
      </c>
      <c r="AE317" s="56">
        <v>39</v>
      </c>
      <c r="AF317" s="54">
        <v>9.9</v>
      </c>
      <c r="AG317" s="55">
        <v>0</v>
      </c>
      <c r="AH317" s="55">
        <v>5.6</v>
      </c>
      <c r="AI317" s="57">
        <v>13.46</v>
      </c>
      <c r="AJ317" s="56">
        <v>39</v>
      </c>
      <c r="AK317" s="54">
        <v>9.8000000000000007</v>
      </c>
      <c r="AL317" s="54">
        <v>0</v>
      </c>
      <c r="AM317" s="54">
        <v>6.5</v>
      </c>
      <c r="AN317" s="57">
        <v>12.5</v>
      </c>
      <c r="AO317" s="53">
        <v>37</v>
      </c>
      <c r="AP317" s="54">
        <v>9.6</v>
      </c>
      <c r="AQ317" s="54">
        <v>100</v>
      </c>
      <c r="AR317" s="54">
        <v>5.5</v>
      </c>
      <c r="AS317" s="57">
        <v>14.42</v>
      </c>
      <c r="AT317" s="56">
        <v>33</v>
      </c>
      <c r="AU317" s="57">
        <v>100</v>
      </c>
      <c r="AV317" s="56">
        <v>95.011390686035199</v>
      </c>
      <c r="AW317" s="57">
        <v>273.31524869722006</v>
      </c>
      <c r="AX317" s="8"/>
      <c r="AZ317" s="1">
        <v>90</v>
      </c>
    </row>
    <row r="318" spans="3:52" ht="15" customHeight="1" x14ac:dyDescent="0.25">
      <c r="C318" s="42"/>
      <c r="D318" s="43">
        <f>D316</f>
        <v>45714</v>
      </c>
      <c r="E318" s="44">
        <f t="shared" ref="E318:E327" si="31">E317+2/24</f>
        <v>25.416666666666575</v>
      </c>
      <c r="F318" s="45">
        <f t="shared" si="27"/>
        <v>45714.416666667399</v>
      </c>
      <c r="G318" s="52">
        <v>39</v>
      </c>
      <c r="H318" s="53">
        <v>40</v>
      </c>
      <c r="I318" s="54">
        <v>9.9</v>
      </c>
      <c r="J318" s="54">
        <v>250</v>
      </c>
      <c r="K318" s="55">
        <v>6.8</v>
      </c>
      <c r="L318" s="56">
        <v>40</v>
      </c>
      <c r="M318" s="54">
        <v>10.199999999999999</v>
      </c>
      <c r="N318" s="54">
        <v>350</v>
      </c>
      <c r="O318" s="57">
        <v>6.3</v>
      </c>
      <c r="P318" s="53">
        <v>40</v>
      </c>
      <c r="Q318" s="54">
        <v>10.199999999999999</v>
      </c>
      <c r="R318" s="55">
        <v>0</v>
      </c>
      <c r="S318" s="55">
        <v>5.8</v>
      </c>
      <c r="T318" s="57">
        <v>12.5</v>
      </c>
      <c r="U318" s="56">
        <v>39</v>
      </c>
      <c r="V318" s="54">
        <v>10</v>
      </c>
      <c r="W318" s="55">
        <v>0</v>
      </c>
      <c r="X318" s="55">
        <v>5.9</v>
      </c>
      <c r="Y318" s="57">
        <v>15.57</v>
      </c>
      <c r="Z318" s="53">
        <v>39</v>
      </c>
      <c r="AA318" s="54">
        <v>10</v>
      </c>
      <c r="AB318" s="55">
        <v>0</v>
      </c>
      <c r="AC318" s="55">
        <v>5.6</v>
      </c>
      <c r="AD318" s="57">
        <v>14.23</v>
      </c>
      <c r="AE318" s="56">
        <v>38</v>
      </c>
      <c r="AF318" s="54">
        <v>9.8000000000000007</v>
      </c>
      <c r="AG318" s="55">
        <v>0</v>
      </c>
      <c r="AH318" s="55">
        <v>5.4</v>
      </c>
      <c r="AI318" s="57">
        <v>13.46</v>
      </c>
      <c r="AJ318" s="56">
        <v>38</v>
      </c>
      <c r="AK318" s="54">
        <v>9.8000000000000007</v>
      </c>
      <c r="AL318" s="54">
        <v>0</v>
      </c>
      <c r="AM318" s="54">
        <v>5.3</v>
      </c>
      <c r="AN318" s="57">
        <v>12.5</v>
      </c>
      <c r="AO318" s="53">
        <v>36</v>
      </c>
      <c r="AP318" s="54">
        <v>9.6999999999999993</v>
      </c>
      <c r="AQ318" s="54">
        <v>140</v>
      </c>
      <c r="AR318" s="54">
        <v>5.2</v>
      </c>
      <c r="AS318" s="57">
        <v>14.23</v>
      </c>
      <c r="AT318" s="56">
        <v>30</v>
      </c>
      <c r="AU318" s="57">
        <v>110</v>
      </c>
      <c r="AV318" s="56">
        <v>94.930007934570298</v>
      </c>
      <c r="AW318" s="57">
        <v>270.48406206940609</v>
      </c>
      <c r="AX318" s="8"/>
      <c r="AZ318" s="1">
        <v>90</v>
      </c>
    </row>
    <row r="319" spans="3:52" ht="15" customHeight="1" x14ac:dyDescent="0.25">
      <c r="C319" s="42"/>
      <c r="D319" s="43">
        <f>D316</f>
        <v>45714</v>
      </c>
      <c r="E319" s="44">
        <f t="shared" si="31"/>
        <v>25.499999999999908</v>
      </c>
      <c r="F319" s="45">
        <f t="shared" si="27"/>
        <v>45714.500000000735</v>
      </c>
      <c r="G319" s="52">
        <v>0</v>
      </c>
      <c r="H319" s="53">
        <v>41</v>
      </c>
      <c r="I319" s="54">
        <v>10</v>
      </c>
      <c r="J319" s="54">
        <v>250</v>
      </c>
      <c r="K319" s="55">
        <v>6.5</v>
      </c>
      <c r="L319" s="56">
        <v>40</v>
      </c>
      <c r="M319" s="54">
        <v>10.199999999999999</v>
      </c>
      <c r="N319" s="54">
        <v>300</v>
      </c>
      <c r="O319" s="57">
        <v>6.1</v>
      </c>
      <c r="P319" s="53">
        <v>40</v>
      </c>
      <c r="Q319" s="54">
        <v>10.199999999999999</v>
      </c>
      <c r="R319" s="55">
        <v>0</v>
      </c>
      <c r="S319" s="55">
        <v>5.6</v>
      </c>
      <c r="T319" s="57">
        <v>7.69</v>
      </c>
      <c r="U319" s="56">
        <v>38</v>
      </c>
      <c r="V319" s="54">
        <v>10.1</v>
      </c>
      <c r="W319" s="55">
        <v>0</v>
      </c>
      <c r="X319" s="55">
        <v>5.6</v>
      </c>
      <c r="Y319" s="57">
        <v>15</v>
      </c>
      <c r="Z319" s="53">
        <v>38</v>
      </c>
      <c r="AA319" s="54">
        <v>10</v>
      </c>
      <c r="AB319" s="55">
        <v>0</v>
      </c>
      <c r="AC319" s="55">
        <v>5.3</v>
      </c>
      <c r="AD319" s="57">
        <v>13.23</v>
      </c>
      <c r="AE319" s="56">
        <v>38</v>
      </c>
      <c r="AF319" s="54">
        <v>9.9</v>
      </c>
      <c r="AG319" s="55">
        <v>0</v>
      </c>
      <c r="AH319" s="55">
        <v>5.4</v>
      </c>
      <c r="AI319" s="57">
        <v>14.23</v>
      </c>
      <c r="AJ319" s="56">
        <v>39</v>
      </c>
      <c r="AK319" s="54">
        <v>9</v>
      </c>
      <c r="AL319" s="54">
        <v>0</v>
      </c>
      <c r="AM319" s="54">
        <v>5.5</v>
      </c>
      <c r="AN319" s="57">
        <v>12.3</v>
      </c>
      <c r="AO319" s="53">
        <v>38</v>
      </c>
      <c r="AP319" s="54">
        <v>9.6999999999999993</v>
      </c>
      <c r="AQ319" s="54">
        <v>140</v>
      </c>
      <c r="AR319" s="54">
        <v>5.4</v>
      </c>
      <c r="AS319" s="57">
        <v>13.84</v>
      </c>
      <c r="AT319" s="56">
        <v>0</v>
      </c>
      <c r="AU319" s="57">
        <v>0</v>
      </c>
      <c r="AV319" s="56">
        <v>95.076492309570298</v>
      </c>
      <c r="AW319" s="57">
        <v>280.19458772763608</v>
      </c>
      <c r="AX319" s="8"/>
      <c r="AZ319" s="1">
        <v>90</v>
      </c>
    </row>
    <row r="320" spans="3:52" ht="15" customHeight="1" x14ac:dyDescent="0.25">
      <c r="C320" s="42"/>
      <c r="D320" s="43">
        <f>D316</f>
        <v>45714</v>
      </c>
      <c r="E320" s="44">
        <f t="shared" si="31"/>
        <v>25.58333333333324</v>
      </c>
      <c r="F320" s="45">
        <f t="shared" si="27"/>
        <v>45714.583333334071</v>
      </c>
      <c r="G320" s="52">
        <v>0</v>
      </c>
      <c r="H320" s="53">
        <v>41</v>
      </c>
      <c r="I320" s="54">
        <v>10.1</v>
      </c>
      <c r="J320" s="54">
        <v>300</v>
      </c>
      <c r="K320" s="55">
        <v>5.7</v>
      </c>
      <c r="L320" s="56">
        <v>41</v>
      </c>
      <c r="M320" s="54">
        <v>10.1</v>
      </c>
      <c r="N320" s="54">
        <v>300</v>
      </c>
      <c r="O320" s="57">
        <v>5.9</v>
      </c>
      <c r="P320" s="53">
        <v>41</v>
      </c>
      <c r="Q320" s="54">
        <v>10.1</v>
      </c>
      <c r="R320" s="55">
        <v>0</v>
      </c>
      <c r="S320" s="55">
        <v>5.5</v>
      </c>
      <c r="T320" s="57">
        <v>6.73</v>
      </c>
      <c r="U320" s="56">
        <v>37</v>
      </c>
      <c r="V320" s="54">
        <v>10.1</v>
      </c>
      <c r="W320" s="55">
        <v>0</v>
      </c>
      <c r="X320" s="55">
        <v>5.6</v>
      </c>
      <c r="Y320" s="57">
        <v>15.38</v>
      </c>
      <c r="Z320" s="53">
        <v>38</v>
      </c>
      <c r="AA320" s="54">
        <v>10</v>
      </c>
      <c r="AB320" s="55">
        <v>0</v>
      </c>
      <c r="AC320" s="55">
        <v>5.5</v>
      </c>
      <c r="AD320" s="57">
        <v>13.46</v>
      </c>
      <c r="AE320" s="56">
        <v>37</v>
      </c>
      <c r="AF320" s="54">
        <v>9.9</v>
      </c>
      <c r="AG320" s="55">
        <v>0</v>
      </c>
      <c r="AH320" s="55">
        <v>5.2</v>
      </c>
      <c r="AI320" s="57">
        <v>13.46</v>
      </c>
      <c r="AJ320" s="56">
        <v>37</v>
      </c>
      <c r="AK320" s="54">
        <v>9.8000000000000007</v>
      </c>
      <c r="AL320" s="54">
        <v>0</v>
      </c>
      <c r="AM320" s="54">
        <v>5.4</v>
      </c>
      <c r="AN320" s="57">
        <v>12.5</v>
      </c>
      <c r="AO320" s="53">
        <v>33</v>
      </c>
      <c r="AP320" s="54">
        <v>9.6</v>
      </c>
      <c r="AQ320" s="54">
        <v>110</v>
      </c>
      <c r="AR320" s="54">
        <v>5.3</v>
      </c>
      <c r="AS320" s="57">
        <v>14.42</v>
      </c>
      <c r="AT320" s="56">
        <v>0</v>
      </c>
      <c r="AU320" s="57">
        <v>0</v>
      </c>
      <c r="AV320" s="56">
        <v>59.761554718017599</v>
      </c>
      <c r="AW320" s="57">
        <v>322.04949080425757</v>
      </c>
      <c r="AX320" s="8"/>
      <c r="AZ320" s="1">
        <v>90</v>
      </c>
    </row>
    <row r="321" spans="3:52" ht="15" customHeight="1" x14ac:dyDescent="0.25">
      <c r="C321" s="42"/>
      <c r="D321" s="43">
        <f>D316</f>
        <v>45714</v>
      </c>
      <c r="E321" s="44">
        <f t="shared" si="31"/>
        <v>25.666666666666572</v>
      </c>
      <c r="F321" s="45">
        <f t="shared" si="27"/>
        <v>45714.666666667406</v>
      </c>
      <c r="G321" s="52">
        <v>40</v>
      </c>
      <c r="H321" s="53">
        <v>38</v>
      </c>
      <c r="I321" s="54">
        <v>9.8000000000000007</v>
      </c>
      <c r="J321" s="54">
        <v>300</v>
      </c>
      <c r="K321" s="55">
        <v>5.9</v>
      </c>
      <c r="L321" s="56">
        <v>40</v>
      </c>
      <c r="M321" s="54">
        <v>9.9</v>
      </c>
      <c r="N321" s="54">
        <v>300</v>
      </c>
      <c r="O321" s="57">
        <v>5.8</v>
      </c>
      <c r="P321" s="53">
        <v>40</v>
      </c>
      <c r="Q321" s="54">
        <v>9.9</v>
      </c>
      <c r="R321" s="55">
        <v>0</v>
      </c>
      <c r="S321" s="55">
        <v>5.4</v>
      </c>
      <c r="T321" s="57">
        <v>7.69</v>
      </c>
      <c r="U321" s="56">
        <v>38</v>
      </c>
      <c r="V321" s="54">
        <v>10</v>
      </c>
      <c r="W321" s="55">
        <v>0</v>
      </c>
      <c r="X321" s="55">
        <v>5.7</v>
      </c>
      <c r="Y321" s="57">
        <v>15.19</v>
      </c>
      <c r="Z321" s="53">
        <v>38</v>
      </c>
      <c r="AA321" s="54">
        <v>9.9</v>
      </c>
      <c r="AB321" s="55">
        <v>0</v>
      </c>
      <c r="AC321" s="55">
        <v>5.3</v>
      </c>
      <c r="AD321" s="57">
        <v>14.23</v>
      </c>
      <c r="AE321" s="56">
        <v>37</v>
      </c>
      <c r="AF321" s="54">
        <v>9.9</v>
      </c>
      <c r="AG321" s="55">
        <v>0</v>
      </c>
      <c r="AH321" s="55">
        <v>5.4</v>
      </c>
      <c r="AI321" s="57">
        <v>14.42</v>
      </c>
      <c r="AJ321" s="56">
        <v>37</v>
      </c>
      <c r="AK321" s="54">
        <v>9.9</v>
      </c>
      <c r="AL321" s="54">
        <v>0</v>
      </c>
      <c r="AM321" s="54">
        <v>5.7</v>
      </c>
      <c r="AN321" s="57">
        <v>12.5</v>
      </c>
      <c r="AO321" s="53">
        <v>37</v>
      </c>
      <c r="AP321" s="54">
        <v>9.6</v>
      </c>
      <c r="AQ321" s="54">
        <v>110</v>
      </c>
      <c r="AR321" s="54">
        <v>5.5</v>
      </c>
      <c r="AS321" s="57">
        <v>15</v>
      </c>
      <c r="AT321" s="56">
        <v>27</v>
      </c>
      <c r="AU321" s="57">
        <v>90</v>
      </c>
      <c r="AV321" s="56">
        <v>54.296875</v>
      </c>
      <c r="AW321" s="57">
        <v>361.35272019704183</v>
      </c>
      <c r="AX321" s="8"/>
      <c r="AZ321" s="1">
        <v>90</v>
      </c>
    </row>
    <row r="322" spans="3:52" ht="15" customHeight="1" x14ac:dyDescent="0.25">
      <c r="C322" s="42"/>
      <c r="D322" s="43">
        <f>D316</f>
        <v>45714</v>
      </c>
      <c r="E322" s="44">
        <f t="shared" si="31"/>
        <v>25.749999999999904</v>
      </c>
      <c r="F322" s="45">
        <f t="shared" si="27"/>
        <v>45714.750000000742</v>
      </c>
      <c r="G322" s="52">
        <v>0</v>
      </c>
      <c r="H322" s="53">
        <v>0</v>
      </c>
      <c r="I322" s="54">
        <v>0</v>
      </c>
      <c r="J322" s="54">
        <v>0</v>
      </c>
      <c r="K322" s="55">
        <v>0</v>
      </c>
      <c r="L322" s="56">
        <v>0</v>
      </c>
      <c r="M322" s="54">
        <v>0</v>
      </c>
      <c r="N322" s="54">
        <v>0</v>
      </c>
      <c r="O322" s="57">
        <v>0</v>
      </c>
      <c r="P322" s="53">
        <v>0</v>
      </c>
      <c r="Q322" s="54">
        <v>0</v>
      </c>
      <c r="R322" s="55">
        <v>0</v>
      </c>
      <c r="S322" s="55">
        <v>0</v>
      </c>
      <c r="T322" s="57">
        <v>0</v>
      </c>
      <c r="U322" s="56">
        <v>0</v>
      </c>
      <c r="V322" s="54">
        <v>0</v>
      </c>
      <c r="W322" s="55">
        <v>0</v>
      </c>
      <c r="X322" s="55">
        <v>0</v>
      </c>
      <c r="Y322" s="57">
        <v>0</v>
      </c>
      <c r="Z322" s="53">
        <v>0</v>
      </c>
      <c r="AA322" s="54">
        <v>0</v>
      </c>
      <c r="AB322" s="55">
        <v>0</v>
      </c>
      <c r="AC322" s="55">
        <v>0</v>
      </c>
      <c r="AD322" s="57">
        <v>0</v>
      </c>
      <c r="AE322" s="56">
        <v>0</v>
      </c>
      <c r="AF322" s="54">
        <v>0</v>
      </c>
      <c r="AG322" s="55">
        <v>0</v>
      </c>
      <c r="AH322" s="55">
        <v>0</v>
      </c>
      <c r="AI322" s="57">
        <v>0</v>
      </c>
      <c r="AJ322" s="56">
        <v>0</v>
      </c>
      <c r="AK322" s="54">
        <v>0</v>
      </c>
      <c r="AL322" s="54">
        <v>0</v>
      </c>
      <c r="AM322" s="54">
        <v>0</v>
      </c>
      <c r="AN322" s="57">
        <v>0</v>
      </c>
      <c r="AO322" s="53">
        <v>0</v>
      </c>
      <c r="AP322" s="54">
        <v>0</v>
      </c>
      <c r="AQ322" s="54">
        <v>0</v>
      </c>
      <c r="AR322" s="54">
        <v>0</v>
      </c>
      <c r="AS322" s="57">
        <v>0</v>
      </c>
      <c r="AT322" s="56">
        <v>0</v>
      </c>
      <c r="AU322" s="57">
        <v>0</v>
      </c>
      <c r="AV322" s="56">
        <v>62.79296875</v>
      </c>
      <c r="AW322" s="57">
        <v>327.06778066953024</v>
      </c>
      <c r="AX322" s="8"/>
      <c r="AZ322" s="1">
        <v>90</v>
      </c>
    </row>
    <row r="323" spans="3:52" ht="15" customHeight="1" x14ac:dyDescent="0.25">
      <c r="C323" s="42"/>
      <c r="D323" s="43">
        <f>D316</f>
        <v>45714</v>
      </c>
      <c r="E323" s="44">
        <f t="shared" si="31"/>
        <v>25.833333333333236</v>
      </c>
      <c r="F323" s="45">
        <f t="shared" si="27"/>
        <v>45714.833333334078</v>
      </c>
      <c r="G323" s="52">
        <v>43</v>
      </c>
      <c r="H323" s="53">
        <v>43</v>
      </c>
      <c r="I323" s="54">
        <v>9.4</v>
      </c>
      <c r="J323" s="54">
        <v>200</v>
      </c>
      <c r="K323" s="55">
        <v>6.9</v>
      </c>
      <c r="L323" s="56">
        <v>43</v>
      </c>
      <c r="M323" s="54">
        <v>9.8000000000000007</v>
      </c>
      <c r="N323" s="54">
        <v>350</v>
      </c>
      <c r="O323" s="57">
        <v>7.5</v>
      </c>
      <c r="P323" s="53">
        <v>40</v>
      </c>
      <c r="Q323" s="54">
        <v>10</v>
      </c>
      <c r="R323" s="55">
        <v>0</v>
      </c>
      <c r="S323" s="55">
        <v>7.8</v>
      </c>
      <c r="T323" s="57">
        <v>7.6</v>
      </c>
      <c r="U323" s="56">
        <v>38</v>
      </c>
      <c r="V323" s="54">
        <v>10</v>
      </c>
      <c r="W323" s="55">
        <v>0</v>
      </c>
      <c r="X323" s="55">
        <v>8.1</v>
      </c>
      <c r="Y323" s="57">
        <v>13.4</v>
      </c>
      <c r="Z323" s="53">
        <v>38</v>
      </c>
      <c r="AA323" s="54">
        <v>10</v>
      </c>
      <c r="AB323" s="55">
        <v>0</v>
      </c>
      <c r="AC323" s="55">
        <v>7.4</v>
      </c>
      <c r="AD323" s="57">
        <v>14.4</v>
      </c>
      <c r="AE323" s="56">
        <v>38</v>
      </c>
      <c r="AF323" s="54">
        <v>10</v>
      </c>
      <c r="AG323" s="55">
        <v>0</v>
      </c>
      <c r="AH323" s="55">
        <v>6.7</v>
      </c>
      <c r="AI323" s="57">
        <v>13.5</v>
      </c>
      <c r="AJ323" s="56">
        <v>40</v>
      </c>
      <c r="AK323" s="54">
        <v>10.1</v>
      </c>
      <c r="AL323" s="54">
        <v>0</v>
      </c>
      <c r="AM323" s="54">
        <v>6.5</v>
      </c>
      <c r="AN323" s="57">
        <v>12.5</v>
      </c>
      <c r="AO323" s="53">
        <v>37</v>
      </c>
      <c r="AP323" s="54">
        <v>10</v>
      </c>
      <c r="AQ323" s="54">
        <v>150</v>
      </c>
      <c r="AR323" s="54">
        <v>6.3</v>
      </c>
      <c r="AS323" s="57">
        <v>18.2</v>
      </c>
      <c r="AT323" s="56">
        <v>30</v>
      </c>
      <c r="AU323" s="57">
        <v>110</v>
      </c>
      <c r="AV323" s="56">
        <v>66.023757934570298</v>
      </c>
      <c r="AW323" s="57">
        <v>322.69519161886222</v>
      </c>
      <c r="AX323" s="8"/>
      <c r="AZ323" s="1">
        <v>90</v>
      </c>
    </row>
    <row r="324" spans="3:52" ht="15" customHeight="1" x14ac:dyDescent="0.25">
      <c r="C324" s="42"/>
      <c r="D324" s="43">
        <f>D316</f>
        <v>45714</v>
      </c>
      <c r="E324" s="44">
        <f t="shared" si="31"/>
        <v>25.916666666666568</v>
      </c>
      <c r="F324" s="45">
        <f t="shared" si="27"/>
        <v>45714.916666667414</v>
      </c>
      <c r="G324" s="52">
        <v>43</v>
      </c>
      <c r="H324" s="53">
        <v>42</v>
      </c>
      <c r="I324" s="54">
        <v>9.4</v>
      </c>
      <c r="J324" s="54">
        <v>200</v>
      </c>
      <c r="K324" s="55">
        <v>6.3</v>
      </c>
      <c r="L324" s="56">
        <v>42</v>
      </c>
      <c r="M324" s="54">
        <v>9.8000000000000007</v>
      </c>
      <c r="N324" s="54">
        <v>400</v>
      </c>
      <c r="O324" s="57">
        <v>6.5</v>
      </c>
      <c r="P324" s="53">
        <v>39</v>
      </c>
      <c r="Q324" s="54">
        <v>10</v>
      </c>
      <c r="R324" s="55">
        <v>0</v>
      </c>
      <c r="S324" s="55">
        <v>6.9</v>
      </c>
      <c r="T324" s="57">
        <v>14.4</v>
      </c>
      <c r="U324" s="56">
        <v>39</v>
      </c>
      <c r="V324" s="54">
        <v>10</v>
      </c>
      <c r="W324" s="55">
        <v>0</v>
      </c>
      <c r="X324" s="55">
        <v>7.5</v>
      </c>
      <c r="Y324" s="57">
        <v>9.6</v>
      </c>
      <c r="Z324" s="53">
        <v>38</v>
      </c>
      <c r="AA324" s="54">
        <v>10</v>
      </c>
      <c r="AB324" s="55">
        <v>0</v>
      </c>
      <c r="AC324" s="55">
        <v>6.8</v>
      </c>
      <c r="AD324" s="57">
        <v>15.3</v>
      </c>
      <c r="AE324" s="56">
        <v>38</v>
      </c>
      <c r="AF324" s="54">
        <v>10</v>
      </c>
      <c r="AG324" s="55">
        <v>0</v>
      </c>
      <c r="AH324" s="55">
        <v>6.1</v>
      </c>
      <c r="AI324" s="57">
        <v>14.4</v>
      </c>
      <c r="AJ324" s="56">
        <v>39</v>
      </c>
      <c r="AK324" s="54">
        <v>10.1</v>
      </c>
      <c r="AL324" s="54">
        <v>0</v>
      </c>
      <c r="AM324" s="54">
        <v>7.1</v>
      </c>
      <c r="AN324" s="57">
        <v>12.5</v>
      </c>
      <c r="AO324" s="53">
        <v>38</v>
      </c>
      <c r="AP324" s="54">
        <v>9.9</v>
      </c>
      <c r="AQ324" s="54">
        <v>160</v>
      </c>
      <c r="AR324" s="54">
        <v>5.9</v>
      </c>
      <c r="AS324" s="57">
        <v>18.600000000000001</v>
      </c>
      <c r="AT324" s="56">
        <v>32</v>
      </c>
      <c r="AU324" s="57">
        <v>120</v>
      </c>
      <c r="AV324" s="56">
        <v>68.611648559570298</v>
      </c>
      <c r="AW324" s="57">
        <v>314.69027347111455</v>
      </c>
      <c r="AX324" s="8"/>
      <c r="AZ324" s="1">
        <v>90</v>
      </c>
    </row>
    <row r="325" spans="3:52" ht="15" customHeight="1" x14ac:dyDescent="0.25">
      <c r="C325" s="42"/>
      <c r="D325" s="43">
        <f>D316</f>
        <v>45714</v>
      </c>
      <c r="E325" s="44">
        <f t="shared" si="31"/>
        <v>25.999999999999901</v>
      </c>
      <c r="F325" s="45">
        <f t="shared" si="27"/>
        <v>45715.000000000749</v>
      </c>
      <c r="G325" s="52">
        <v>40</v>
      </c>
      <c r="H325" s="53">
        <v>42</v>
      </c>
      <c r="I325" s="54">
        <v>9.4</v>
      </c>
      <c r="J325" s="54">
        <v>200</v>
      </c>
      <c r="K325" s="55">
        <v>6.5</v>
      </c>
      <c r="L325" s="56">
        <v>42</v>
      </c>
      <c r="M325" s="54">
        <v>9.8000000000000007</v>
      </c>
      <c r="N325" s="54">
        <v>300</v>
      </c>
      <c r="O325" s="57">
        <v>5.7</v>
      </c>
      <c r="P325" s="53">
        <v>41</v>
      </c>
      <c r="Q325" s="54">
        <v>10</v>
      </c>
      <c r="R325" s="55">
        <v>0</v>
      </c>
      <c r="S325" s="55">
        <v>6.3</v>
      </c>
      <c r="T325" s="57">
        <v>18.2</v>
      </c>
      <c r="U325" s="56">
        <v>41</v>
      </c>
      <c r="V325" s="54">
        <v>10</v>
      </c>
      <c r="W325" s="55">
        <v>0</v>
      </c>
      <c r="X325" s="55">
        <v>7.1</v>
      </c>
      <c r="Y325" s="57">
        <v>5.7</v>
      </c>
      <c r="Z325" s="53">
        <v>41</v>
      </c>
      <c r="AA325" s="54">
        <v>10</v>
      </c>
      <c r="AB325" s="55">
        <v>0</v>
      </c>
      <c r="AC325" s="55">
        <v>6.5</v>
      </c>
      <c r="AD325" s="57">
        <v>15.3</v>
      </c>
      <c r="AE325" s="56">
        <v>40</v>
      </c>
      <c r="AF325" s="54">
        <v>10</v>
      </c>
      <c r="AG325" s="55">
        <v>0</v>
      </c>
      <c r="AH325" s="55">
        <v>6.7</v>
      </c>
      <c r="AI325" s="57">
        <v>14.4</v>
      </c>
      <c r="AJ325" s="56">
        <v>39</v>
      </c>
      <c r="AK325" s="54">
        <v>10.1</v>
      </c>
      <c r="AL325" s="54">
        <v>0</v>
      </c>
      <c r="AM325" s="54">
        <v>7.5</v>
      </c>
      <c r="AN325" s="57">
        <v>13.07</v>
      </c>
      <c r="AO325" s="53">
        <v>37</v>
      </c>
      <c r="AP325" s="54">
        <v>10</v>
      </c>
      <c r="AQ325" s="54">
        <v>150</v>
      </c>
      <c r="AR325" s="54">
        <v>6.1</v>
      </c>
      <c r="AS325" s="57">
        <v>18.2</v>
      </c>
      <c r="AT325" s="56">
        <v>30</v>
      </c>
      <c r="AU325" s="57">
        <v>120</v>
      </c>
      <c r="AV325" s="56">
        <v>72.294105529785199</v>
      </c>
      <c r="AW325" s="57">
        <v>311.01128446155536</v>
      </c>
      <c r="AX325" s="8"/>
      <c r="AZ325" s="1">
        <v>90</v>
      </c>
    </row>
    <row r="326" spans="3:52" ht="15" customHeight="1" x14ac:dyDescent="0.25">
      <c r="C326" s="42"/>
      <c r="D326" s="43">
        <f>D316</f>
        <v>45714</v>
      </c>
      <c r="E326" s="44">
        <f t="shared" si="31"/>
        <v>26.083333333333233</v>
      </c>
      <c r="F326" s="45">
        <f t="shared" si="27"/>
        <v>45715.083333334085</v>
      </c>
      <c r="G326" s="52">
        <v>43</v>
      </c>
      <c r="H326" s="53">
        <v>41</v>
      </c>
      <c r="I326" s="54">
        <v>9.6999999999999993</v>
      </c>
      <c r="J326" s="54">
        <v>150</v>
      </c>
      <c r="K326" s="55">
        <v>7.1</v>
      </c>
      <c r="L326" s="56">
        <v>41</v>
      </c>
      <c r="M326" s="54">
        <v>9.6999999999999993</v>
      </c>
      <c r="N326" s="54">
        <v>200</v>
      </c>
      <c r="O326" s="57">
        <v>7.4</v>
      </c>
      <c r="P326" s="53">
        <v>39</v>
      </c>
      <c r="Q326" s="54">
        <v>10</v>
      </c>
      <c r="R326" s="55">
        <v>0</v>
      </c>
      <c r="S326" s="55">
        <v>6.5</v>
      </c>
      <c r="T326" s="57">
        <v>18.2</v>
      </c>
      <c r="U326" s="56">
        <v>39</v>
      </c>
      <c r="V326" s="54">
        <v>10</v>
      </c>
      <c r="W326" s="55">
        <v>0</v>
      </c>
      <c r="X326" s="55">
        <v>7.1</v>
      </c>
      <c r="Y326" s="57">
        <v>15</v>
      </c>
      <c r="Z326" s="53">
        <v>39</v>
      </c>
      <c r="AA326" s="54">
        <v>10</v>
      </c>
      <c r="AB326" s="55">
        <v>0</v>
      </c>
      <c r="AC326" s="55">
        <v>7.2</v>
      </c>
      <c r="AD326" s="57">
        <v>7.6</v>
      </c>
      <c r="AE326" s="56">
        <v>39</v>
      </c>
      <c r="AF326" s="54">
        <v>10</v>
      </c>
      <c r="AG326" s="55">
        <v>0</v>
      </c>
      <c r="AH326" s="55">
        <v>6.3</v>
      </c>
      <c r="AI326" s="57" t="s">
        <v>43</v>
      </c>
      <c r="AJ326" s="56">
        <v>38</v>
      </c>
      <c r="AK326" s="54">
        <v>10.1</v>
      </c>
      <c r="AL326" s="54">
        <v>0</v>
      </c>
      <c r="AM326" s="54">
        <v>6.9</v>
      </c>
      <c r="AN326" s="57">
        <v>13.4</v>
      </c>
      <c r="AO326" s="53">
        <v>37</v>
      </c>
      <c r="AP326" s="54">
        <v>10</v>
      </c>
      <c r="AQ326" s="54">
        <v>180</v>
      </c>
      <c r="AR326" s="54">
        <v>5.8</v>
      </c>
      <c r="AS326" s="57">
        <v>18.600000000000001</v>
      </c>
      <c r="AT326" s="56">
        <v>30</v>
      </c>
      <c r="AU326" s="57">
        <v>140</v>
      </c>
      <c r="AV326" s="56">
        <v>74.37744140625</v>
      </c>
      <c r="AW326" s="57">
        <v>305.83453853571166</v>
      </c>
      <c r="AX326" s="8"/>
      <c r="AZ326" s="1">
        <v>90</v>
      </c>
    </row>
    <row r="327" spans="3:52" ht="15" customHeight="1" x14ac:dyDescent="0.25">
      <c r="C327" s="42"/>
      <c r="D327" s="69">
        <f>D316</f>
        <v>45714</v>
      </c>
      <c r="E327" s="70">
        <f t="shared" si="31"/>
        <v>26.166666666666565</v>
      </c>
      <c r="F327" s="71">
        <f t="shared" si="27"/>
        <v>45715.166666667421</v>
      </c>
      <c r="G327" s="60">
        <v>40</v>
      </c>
      <c r="H327" s="61">
        <v>41</v>
      </c>
      <c r="I327" s="62">
        <v>9.5</v>
      </c>
      <c r="J327" s="62">
        <v>200</v>
      </c>
      <c r="K327" s="63">
        <v>6.9</v>
      </c>
      <c r="L327" s="64">
        <v>41</v>
      </c>
      <c r="M327" s="62">
        <v>9.6</v>
      </c>
      <c r="N327" s="62">
        <v>200</v>
      </c>
      <c r="O327" s="65">
        <v>7.6</v>
      </c>
      <c r="P327" s="61">
        <v>39</v>
      </c>
      <c r="Q327" s="62">
        <v>10</v>
      </c>
      <c r="R327" s="63">
        <v>0</v>
      </c>
      <c r="S327" s="63">
        <v>6.6</v>
      </c>
      <c r="T327" s="65">
        <v>18.2</v>
      </c>
      <c r="U327" s="64">
        <v>39</v>
      </c>
      <c r="V327" s="62">
        <v>10</v>
      </c>
      <c r="W327" s="63">
        <v>0</v>
      </c>
      <c r="X327" s="63">
        <v>7.3</v>
      </c>
      <c r="Y327" s="65">
        <v>15.3</v>
      </c>
      <c r="Z327" s="61">
        <v>38</v>
      </c>
      <c r="AA327" s="62">
        <v>10</v>
      </c>
      <c r="AB327" s="63">
        <v>0</v>
      </c>
      <c r="AC327" s="63">
        <v>7.3</v>
      </c>
      <c r="AD327" s="65">
        <v>15.7</v>
      </c>
      <c r="AE327" s="64">
        <v>39</v>
      </c>
      <c r="AF327" s="62">
        <v>10</v>
      </c>
      <c r="AG327" s="63">
        <v>0</v>
      </c>
      <c r="AH327" s="63">
        <v>6.7</v>
      </c>
      <c r="AI327" s="65">
        <v>5.7</v>
      </c>
      <c r="AJ327" s="64">
        <v>38</v>
      </c>
      <c r="AK327" s="62">
        <v>10.1</v>
      </c>
      <c r="AL327" s="62">
        <v>0</v>
      </c>
      <c r="AM327" s="62">
        <v>6.3</v>
      </c>
      <c r="AN327" s="65">
        <v>14.4</v>
      </c>
      <c r="AO327" s="61">
        <v>38</v>
      </c>
      <c r="AP327" s="62">
        <v>10</v>
      </c>
      <c r="AQ327" s="62">
        <v>160</v>
      </c>
      <c r="AR327" s="62">
        <v>6.5</v>
      </c>
      <c r="AS327" s="65">
        <v>18.2</v>
      </c>
      <c r="AT327" s="64">
        <v>31</v>
      </c>
      <c r="AU327" s="65">
        <v>130</v>
      </c>
      <c r="AV327" s="64">
        <v>72.513832092285199</v>
      </c>
      <c r="AW327" s="65">
        <v>303.66874121843529</v>
      </c>
      <c r="AX327" s="8"/>
      <c r="AZ327" s="1">
        <v>90</v>
      </c>
    </row>
    <row r="328" spans="3:52" ht="15" customHeight="1" x14ac:dyDescent="0.25">
      <c r="C328" s="42">
        <f>C316+1</f>
        <v>27</v>
      </c>
      <c r="D328" s="66">
        <f>DATE([2]Dash!$F$3,VLOOKUP([2]Dash!$E$3,[2]Abb!$C$3:$D$14,2,FALSE),C328)</f>
        <v>45715</v>
      </c>
      <c r="E328" s="67">
        <f>E327+2/24</f>
        <v>26.249999999999897</v>
      </c>
      <c r="F328" s="68">
        <f t="shared" si="27"/>
        <v>45715.250000000757</v>
      </c>
      <c r="G328" s="46">
        <v>41</v>
      </c>
      <c r="H328" s="47">
        <v>42</v>
      </c>
      <c r="I328" s="48">
        <v>9.6</v>
      </c>
      <c r="J328" s="48">
        <v>200</v>
      </c>
      <c r="K328" s="49">
        <v>7.1</v>
      </c>
      <c r="L328" s="50">
        <v>41</v>
      </c>
      <c r="M328" s="48">
        <v>9.5</v>
      </c>
      <c r="N328" s="48">
        <v>200</v>
      </c>
      <c r="O328" s="51">
        <v>7.3</v>
      </c>
      <c r="P328" s="47">
        <v>40</v>
      </c>
      <c r="Q328" s="48">
        <v>9.9</v>
      </c>
      <c r="R328" s="49">
        <v>0</v>
      </c>
      <c r="S328" s="49">
        <v>6.9</v>
      </c>
      <c r="T328" s="51">
        <v>18.2</v>
      </c>
      <c r="U328" s="50">
        <v>39</v>
      </c>
      <c r="V328" s="48">
        <v>9.9</v>
      </c>
      <c r="W328" s="49">
        <v>0</v>
      </c>
      <c r="X328" s="49">
        <v>7.5</v>
      </c>
      <c r="Y328" s="51">
        <v>16.3</v>
      </c>
      <c r="Z328" s="47">
        <v>38</v>
      </c>
      <c r="AA328" s="48">
        <v>9.9</v>
      </c>
      <c r="AB328" s="49">
        <v>0</v>
      </c>
      <c r="AC328" s="49">
        <v>6.9</v>
      </c>
      <c r="AD328" s="51">
        <v>16.3</v>
      </c>
      <c r="AE328" s="50">
        <v>39</v>
      </c>
      <c r="AF328" s="48">
        <v>9.9</v>
      </c>
      <c r="AG328" s="49">
        <v>0</v>
      </c>
      <c r="AH328" s="49">
        <v>6.5</v>
      </c>
      <c r="AI328" s="51">
        <v>11.5</v>
      </c>
      <c r="AJ328" s="50">
        <v>38</v>
      </c>
      <c r="AK328" s="48">
        <v>9.9</v>
      </c>
      <c r="AL328" s="48">
        <v>0</v>
      </c>
      <c r="AM328" s="48">
        <v>6.3</v>
      </c>
      <c r="AN328" s="51">
        <v>6.7</v>
      </c>
      <c r="AO328" s="47">
        <v>38</v>
      </c>
      <c r="AP328" s="48">
        <v>10</v>
      </c>
      <c r="AQ328" s="48">
        <v>160</v>
      </c>
      <c r="AR328" s="48">
        <v>6.7</v>
      </c>
      <c r="AS328" s="51">
        <v>18.2</v>
      </c>
      <c r="AT328" s="50">
        <v>30</v>
      </c>
      <c r="AU328" s="51">
        <v>120</v>
      </c>
      <c r="AV328" s="50">
        <v>94.9</v>
      </c>
      <c r="AW328" s="51"/>
      <c r="AX328" s="8"/>
      <c r="AZ328" s="1">
        <v>90</v>
      </c>
    </row>
    <row r="329" spans="3:52" ht="15" customHeight="1" x14ac:dyDescent="0.25">
      <c r="C329" s="42"/>
      <c r="D329" s="43">
        <f>D328</f>
        <v>45715</v>
      </c>
      <c r="E329" s="44">
        <f>E328+2/24</f>
        <v>26.333333333333229</v>
      </c>
      <c r="F329" s="45">
        <f t="shared" si="27"/>
        <v>45715.333333334092</v>
      </c>
      <c r="G329" s="52">
        <v>40</v>
      </c>
      <c r="H329" s="53">
        <v>41</v>
      </c>
      <c r="I329" s="54">
        <v>9.6999999999999993</v>
      </c>
      <c r="J329" s="54">
        <v>150</v>
      </c>
      <c r="K329" s="55">
        <v>6.1</v>
      </c>
      <c r="L329" s="56">
        <v>41</v>
      </c>
      <c r="M329" s="54">
        <v>9.6999999999999993</v>
      </c>
      <c r="N329" s="54">
        <v>150</v>
      </c>
      <c r="O329" s="57">
        <v>6.3</v>
      </c>
      <c r="P329" s="53">
        <v>39</v>
      </c>
      <c r="Q329" s="54">
        <v>9.6999999999999993</v>
      </c>
      <c r="R329" s="55">
        <v>0</v>
      </c>
      <c r="S329" s="55">
        <v>5.7</v>
      </c>
      <c r="T329" s="57">
        <v>17.3</v>
      </c>
      <c r="U329" s="56">
        <v>39</v>
      </c>
      <c r="V329" s="54">
        <v>9.8000000000000007</v>
      </c>
      <c r="W329" s="55">
        <v>0</v>
      </c>
      <c r="X329" s="55">
        <v>5.4</v>
      </c>
      <c r="Y329" s="57">
        <v>15</v>
      </c>
      <c r="Z329" s="53">
        <v>38</v>
      </c>
      <c r="AA329" s="54">
        <v>9.9</v>
      </c>
      <c r="AB329" s="55">
        <v>0</v>
      </c>
      <c r="AC329" s="55">
        <v>5.4</v>
      </c>
      <c r="AD329" s="57">
        <v>15.38</v>
      </c>
      <c r="AE329" s="56">
        <v>36</v>
      </c>
      <c r="AF329" s="54">
        <v>10</v>
      </c>
      <c r="AG329" s="55">
        <v>0</v>
      </c>
      <c r="AH329" s="55">
        <v>6.2</v>
      </c>
      <c r="AI329" s="57">
        <v>12.5</v>
      </c>
      <c r="AJ329" s="56">
        <v>38</v>
      </c>
      <c r="AK329" s="54">
        <v>10</v>
      </c>
      <c r="AL329" s="54">
        <v>0</v>
      </c>
      <c r="AM329" s="54">
        <v>5.8</v>
      </c>
      <c r="AN329" s="57">
        <v>6.53</v>
      </c>
      <c r="AO329" s="53">
        <v>38</v>
      </c>
      <c r="AP329" s="54">
        <v>10</v>
      </c>
      <c r="AQ329" s="54">
        <v>150</v>
      </c>
      <c r="AR329" s="54">
        <v>5.8</v>
      </c>
      <c r="AS329" s="57">
        <v>16.34</v>
      </c>
      <c r="AT329" s="56">
        <v>29</v>
      </c>
      <c r="AU329" s="57">
        <v>110</v>
      </c>
      <c r="AV329" s="56">
        <v>77.400000000000006</v>
      </c>
      <c r="AW329" s="57"/>
      <c r="AX329" s="8"/>
      <c r="AZ329" s="1">
        <v>90</v>
      </c>
    </row>
    <row r="330" spans="3:52" ht="15" customHeight="1" x14ac:dyDescent="0.25">
      <c r="C330" s="42"/>
      <c r="D330" s="43">
        <f>D328</f>
        <v>45715</v>
      </c>
      <c r="E330" s="44">
        <f t="shared" ref="E330:E339" si="32">E329+2/24</f>
        <v>26.416666666666561</v>
      </c>
      <c r="F330" s="45">
        <f t="shared" si="27"/>
        <v>45715.416666667428</v>
      </c>
      <c r="G330" s="52">
        <v>40</v>
      </c>
      <c r="H330" s="53">
        <v>43</v>
      </c>
      <c r="I330" s="54">
        <v>9.5</v>
      </c>
      <c r="J330" s="54">
        <v>150</v>
      </c>
      <c r="K330" s="55">
        <v>6</v>
      </c>
      <c r="L330" s="56">
        <v>37</v>
      </c>
      <c r="M330" s="54">
        <v>9.5</v>
      </c>
      <c r="N330" s="54">
        <v>150</v>
      </c>
      <c r="O330" s="57">
        <v>6.2</v>
      </c>
      <c r="P330" s="53">
        <v>37</v>
      </c>
      <c r="Q330" s="54">
        <v>9.8000000000000007</v>
      </c>
      <c r="R330" s="55">
        <v>0</v>
      </c>
      <c r="S330" s="55">
        <v>5.9</v>
      </c>
      <c r="T330" s="57">
        <v>17.3</v>
      </c>
      <c r="U330" s="56">
        <v>38</v>
      </c>
      <c r="V330" s="54">
        <v>9.8000000000000007</v>
      </c>
      <c r="W330" s="55">
        <v>0</v>
      </c>
      <c r="X330" s="55">
        <v>5.5</v>
      </c>
      <c r="Y330" s="57">
        <v>15.19</v>
      </c>
      <c r="Z330" s="53">
        <v>38</v>
      </c>
      <c r="AA330" s="54">
        <v>9.9</v>
      </c>
      <c r="AB330" s="55">
        <v>0</v>
      </c>
      <c r="AC330" s="55">
        <v>5.5</v>
      </c>
      <c r="AD330" s="57">
        <v>15.38</v>
      </c>
      <c r="AE330" s="56">
        <v>37</v>
      </c>
      <c r="AF330" s="54">
        <v>9.9</v>
      </c>
      <c r="AG330" s="55">
        <v>0</v>
      </c>
      <c r="AH330" s="55">
        <v>6</v>
      </c>
      <c r="AI330" s="57">
        <v>15.19</v>
      </c>
      <c r="AJ330" s="56">
        <v>37</v>
      </c>
      <c r="AK330" s="54">
        <v>9.8000000000000007</v>
      </c>
      <c r="AL330" s="54">
        <v>0</v>
      </c>
      <c r="AM330" s="54">
        <v>5.8</v>
      </c>
      <c r="AN330" s="57">
        <v>4.8</v>
      </c>
      <c r="AO330" s="53">
        <v>38</v>
      </c>
      <c r="AP330" s="54">
        <v>9.8000000000000007</v>
      </c>
      <c r="AQ330" s="54">
        <v>160</v>
      </c>
      <c r="AR330" s="54">
        <v>5.6</v>
      </c>
      <c r="AS330" s="57">
        <v>16.73</v>
      </c>
      <c r="AT330" s="56">
        <v>29</v>
      </c>
      <c r="AU330" s="57">
        <v>130</v>
      </c>
      <c r="AV330" s="56">
        <v>75.88</v>
      </c>
      <c r="AW330" s="57"/>
      <c r="AX330" s="8"/>
      <c r="AZ330" s="1">
        <v>90</v>
      </c>
    </row>
    <row r="331" spans="3:52" ht="15" customHeight="1" x14ac:dyDescent="0.25">
      <c r="C331" s="42"/>
      <c r="D331" s="43">
        <f>D328</f>
        <v>45715</v>
      </c>
      <c r="E331" s="44">
        <f t="shared" si="32"/>
        <v>26.499999999999893</v>
      </c>
      <c r="F331" s="45">
        <f t="shared" si="27"/>
        <v>45715.500000000764</v>
      </c>
      <c r="G331" s="52">
        <v>41</v>
      </c>
      <c r="H331" s="53">
        <v>38</v>
      </c>
      <c r="I331" s="54">
        <v>10</v>
      </c>
      <c r="J331" s="54">
        <v>200</v>
      </c>
      <c r="K331" s="55">
        <v>5.9</v>
      </c>
      <c r="L331" s="56">
        <v>39</v>
      </c>
      <c r="M331" s="54">
        <v>9.6</v>
      </c>
      <c r="N331" s="54">
        <v>150</v>
      </c>
      <c r="O331" s="57">
        <v>6</v>
      </c>
      <c r="P331" s="53">
        <v>40</v>
      </c>
      <c r="Q331" s="54">
        <v>9.5</v>
      </c>
      <c r="R331" s="55">
        <v>0</v>
      </c>
      <c r="S331" s="55">
        <v>5.5</v>
      </c>
      <c r="T331" s="57">
        <v>17.690000000000001</v>
      </c>
      <c r="U331" s="56">
        <v>40</v>
      </c>
      <c r="V331" s="54">
        <v>9.5</v>
      </c>
      <c r="W331" s="55">
        <v>0</v>
      </c>
      <c r="X331" s="55">
        <v>5.6</v>
      </c>
      <c r="Y331" s="57">
        <v>14.8</v>
      </c>
      <c r="Z331" s="53">
        <v>37</v>
      </c>
      <c r="AA331" s="54">
        <v>9.1999999999999993</v>
      </c>
      <c r="AB331" s="55">
        <v>0</v>
      </c>
      <c r="AC331" s="55">
        <v>5.4</v>
      </c>
      <c r="AD331" s="57">
        <v>15.38</v>
      </c>
      <c r="AE331" s="56">
        <v>35</v>
      </c>
      <c r="AF331" s="54">
        <v>9.1999999999999993</v>
      </c>
      <c r="AG331" s="55">
        <v>0</v>
      </c>
      <c r="AH331" s="55">
        <v>5.7</v>
      </c>
      <c r="AI331" s="57">
        <v>15.19</v>
      </c>
      <c r="AJ331" s="56">
        <v>37</v>
      </c>
      <c r="AK331" s="54">
        <v>9.8000000000000007</v>
      </c>
      <c r="AL331" s="54">
        <v>0</v>
      </c>
      <c r="AM331" s="54">
        <v>5.6</v>
      </c>
      <c r="AN331" s="57">
        <v>4.8</v>
      </c>
      <c r="AO331" s="53">
        <v>34</v>
      </c>
      <c r="AP331" s="54">
        <v>9.6999999999999993</v>
      </c>
      <c r="AQ331" s="54">
        <v>140</v>
      </c>
      <c r="AR331" s="54">
        <v>5.8</v>
      </c>
      <c r="AS331" s="57">
        <v>16.73</v>
      </c>
      <c r="AT331" s="56">
        <v>27</v>
      </c>
      <c r="AU331" s="57">
        <v>120</v>
      </c>
      <c r="AV331" s="56">
        <v>79.91</v>
      </c>
      <c r="AW331" s="57"/>
      <c r="AX331" s="8"/>
      <c r="AZ331" s="1">
        <v>90</v>
      </c>
    </row>
    <row r="332" spans="3:52" ht="15" customHeight="1" x14ac:dyDescent="0.25">
      <c r="C332" s="42"/>
      <c r="D332" s="43">
        <f>D328</f>
        <v>45715</v>
      </c>
      <c r="E332" s="44">
        <f t="shared" si="32"/>
        <v>26.583333333333226</v>
      </c>
      <c r="F332" s="45">
        <f t="shared" si="27"/>
        <v>45715.5833333341</v>
      </c>
      <c r="G332" s="52">
        <v>41</v>
      </c>
      <c r="H332" s="53">
        <v>39</v>
      </c>
      <c r="I332" s="54">
        <v>10</v>
      </c>
      <c r="J332" s="54">
        <v>200</v>
      </c>
      <c r="K332" s="55">
        <v>5.7</v>
      </c>
      <c r="L332" s="56">
        <v>40</v>
      </c>
      <c r="M332" s="54">
        <v>9.6999999999999993</v>
      </c>
      <c r="N332" s="54">
        <v>150</v>
      </c>
      <c r="O332" s="57">
        <v>5.8</v>
      </c>
      <c r="P332" s="53">
        <v>39</v>
      </c>
      <c r="Q332" s="54">
        <v>9.6</v>
      </c>
      <c r="R332" s="55">
        <v>0</v>
      </c>
      <c r="S332" s="55">
        <v>5.7</v>
      </c>
      <c r="T332" s="57">
        <v>17.690000000000001</v>
      </c>
      <c r="U332" s="56">
        <v>39</v>
      </c>
      <c r="V332" s="54">
        <v>9.5</v>
      </c>
      <c r="W332" s="55">
        <v>0</v>
      </c>
      <c r="X332" s="55">
        <v>6.4</v>
      </c>
      <c r="Y332" s="57">
        <v>14.61</v>
      </c>
      <c r="Z332" s="53">
        <v>38</v>
      </c>
      <c r="AA332" s="54">
        <v>9.6</v>
      </c>
      <c r="AB332" s="55">
        <v>0</v>
      </c>
      <c r="AC332" s="55">
        <v>5.6</v>
      </c>
      <c r="AD332" s="57">
        <v>14.61</v>
      </c>
      <c r="AE332" s="56">
        <v>38</v>
      </c>
      <c r="AF332" s="54">
        <v>9.6</v>
      </c>
      <c r="AG332" s="55">
        <v>0</v>
      </c>
      <c r="AH332" s="55">
        <v>5.9</v>
      </c>
      <c r="AI332" s="57">
        <v>14.42</v>
      </c>
      <c r="AJ332" s="56">
        <v>37</v>
      </c>
      <c r="AK332" s="54">
        <v>9.8000000000000007</v>
      </c>
      <c r="AL332" s="54">
        <v>0</v>
      </c>
      <c r="AM332" s="54">
        <v>5.5</v>
      </c>
      <c r="AN332" s="57">
        <v>4.6100000000000003</v>
      </c>
      <c r="AO332" s="53">
        <v>37</v>
      </c>
      <c r="AP332" s="54">
        <v>9.8000000000000007</v>
      </c>
      <c r="AQ332" s="54">
        <v>140</v>
      </c>
      <c r="AR332" s="54">
        <v>5.7</v>
      </c>
      <c r="AS332" s="57">
        <v>15.57</v>
      </c>
      <c r="AT332" s="56">
        <v>29</v>
      </c>
      <c r="AU332" s="57">
        <v>120</v>
      </c>
      <c r="AV332" s="56">
        <v>79.34</v>
      </c>
      <c r="AW332" s="57"/>
      <c r="AX332" s="8"/>
      <c r="AZ332" s="1">
        <v>90</v>
      </c>
    </row>
    <row r="333" spans="3:52" ht="15" customHeight="1" x14ac:dyDescent="0.25">
      <c r="C333" s="42"/>
      <c r="D333" s="43">
        <f>D328</f>
        <v>45715</v>
      </c>
      <c r="E333" s="44">
        <f t="shared" si="32"/>
        <v>26.666666666666558</v>
      </c>
      <c r="F333" s="45">
        <f t="shared" si="27"/>
        <v>45715.666666667435</v>
      </c>
      <c r="G333" s="52">
        <v>42</v>
      </c>
      <c r="H333" s="53">
        <v>40</v>
      </c>
      <c r="I333" s="54">
        <v>9.8000000000000007</v>
      </c>
      <c r="J333" s="54">
        <v>200</v>
      </c>
      <c r="K333" s="55">
        <v>5.6</v>
      </c>
      <c r="L333" s="56">
        <v>40</v>
      </c>
      <c r="M333" s="54">
        <v>9.6999999999999993</v>
      </c>
      <c r="N333" s="54">
        <v>200</v>
      </c>
      <c r="O333" s="57">
        <v>5.6</v>
      </c>
      <c r="P333" s="53">
        <v>40</v>
      </c>
      <c r="Q333" s="54">
        <v>9.6999999999999993</v>
      </c>
      <c r="R333" s="55">
        <v>0</v>
      </c>
      <c r="S333" s="55">
        <v>5.4</v>
      </c>
      <c r="T333" s="57">
        <v>17.3</v>
      </c>
      <c r="U333" s="56">
        <v>39</v>
      </c>
      <c r="V333" s="54">
        <v>9.6</v>
      </c>
      <c r="W333" s="55">
        <v>0</v>
      </c>
      <c r="X333" s="55">
        <v>5.2</v>
      </c>
      <c r="Y333" s="57">
        <v>15.19</v>
      </c>
      <c r="Z333" s="53">
        <v>39</v>
      </c>
      <c r="AA333" s="54">
        <v>9.6</v>
      </c>
      <c r="AB333" s="55">
        <v>0</v>
      </c>
      <c r="AC333" s="55">
        <v>5.5</v>
      </c>
      <c r="AD333" s="57">
        <v>15.19</v>
      </c>
      <c r="AE333" s="56">
        <v>38</v>
      </c>
      <c r="AF333" s="54">
        <v>9.6</v>
      </c>
      <c r="AG333" s="55">
        <v>0</v>
      </c>
      <c r="AH333" s="55">
        <v>5.6</v>
      </c>
      <c r="AI333" s="57">
        <v>14.42</v>
      </c>
      <c r="AJ333" s="56">
        <v>38</v>
      </c>
      <c r="AK333" s="54">
        <v>9.6999999999999993</v>
      </c>
      <c r="AL333" s="54">
        <v>0</v>
      </c>
      <c r="AM333" s="54">
        <v>5.3</v>
      </c>
      <c r="AN333" s="57">
        <v>4.8</v>
      </c>
      <c r="AO333" s="53">
        <v>38</v>
      </c>
      <c r="AP333" s="54">
        <v>9.8000000000000007</v>
      </c>
      <c r="AQ333" s="54">
        <v>110</v>
      </c>
      <c r="AR333" s="54">
        <v>5.5</v>
      </c>
      <c r="AS333" s="57">
        <v>16.34</v>
      </c>
      <c r="AT333" s="56">
        <v>30</v>
      </c>
      <c r="AU333" s="57">
        <v>90</v>
      </c>
      <c r="AV333" s="56">
        <v>76.349999999999994</v>
      </c>
      <c r="AW333" s="57"/>
      <c r="AX333" s="8"/>
      <c r="AZ333" s="1">
        <v>90</v>
      </c>
    </row>
    <row r="334" spans="3:52" ht="15" customHeight="1" x14ac:dyDescent="0.25">
      <c r="C334" s="42"/>
      <c r="D334" s="43">
        <f>D328</f>
        <v>45715</v>
      </c>
      <c r="E334" s="44">
        <f t="shared" si="32"/>
        <v>26.74999999999989</v>
      </c>
      <c r="F334" s="45">
        <f t="shared" si="27"/>
        <v>45715.750000000771</v>
      </c>
      <c r="G334" s="52">
        <v>43</v>
      </c>
      <c r="H334" s="53">
        <v>40</v>
      </c>
      <c r="I334" s="54">
        <v>9.6999999999999993</v>
      </c>
      <c r="J334" s="54">
        <v>200</v>
      </c>
      <c r="K334" s="55">
        <v>5.9</v>
      </c>
      <c r="L334" s="56">
        <v>41</v>
      </c>
      <c r="M334" s="54">
        <v>9.6999999999999993</v>
      </c>
      <c r="N334" s="54">
        <v>200</v>
      </c>
      <c r="O334" s="57">
        <v>5.7</v>
      </c>
      <c r="P334" s="53">
        <v>41</v>
      </c>
      <c r="Q334" s="54">
        <v>9.6999999999999993</v>
      </c>
      <c r="R334" s="55">
        <v>0</v>
      </c>
      <c r="S334" s="55">
        <v>5.7</v>
      </c>
      <c r="T334" s="57">
        <v>17.3</v>
      </c>
      <c r="U334" s="56">
        <v>40</v>
      </c>
      <c r="V334" s="54">
        <v>9.6</v>
      </c>
      <c r="W334" s="55">
        <v>0</v>
      </c>
      <c r="X334" s="55">
        <v>5.4</v>
      </c>
      <c r="Y334" s="57">
        <v>15</v>
      </c>
      <c r="Z334" s="53">
        <v>39</v>
      </c>
      <c r="AA334" s="54">
        <v>9.6</v>
      </c>
      <c r="AB334" s="55">
        <v>0</v>
      </c>
      <c r="AC334" s="55">
        <v>5.3</v>
      </c>
      <c r="AD334" s="57">
        <v>14.42</v>
      </c>
      <c r="AE334" s="56">
        <v>39</v>
      </c>
      <c r="AF334" s="54">
        <v>9.5</v>
      </c>
      <c r="AG334" s="55">
        <v>0</v>
      </c>
      <c r="AH334" s="55">
        <v>5.8</v>
      </c>
      <c r="AI334" s="57">
        <v>15.19</v>
      </c>
      <c r="AJ334" s="56">
        <v>38</v>
      </c>
      <c r="AK334" s="54">
        <v>9.6</v>
      </c>
      <c r="AL334" s="54">
        <v>0</v>
      </c>
      <c r="AM334" s="54">
        <v>5.6</v>
      </c>
      <c r="AN334" s="57">
        <v>4.6100000000000003</v>
      </c>
      <c r="AO334" s="53">
        <v>39</v>
      </c>
      <c r="AP334" s="54">
        <v>9.8000000000000007</v>
      </c>
      <c r="AQ334" s="54">
        <v>130</v>
      </c>
      <c r="AR334" s="54">
        <v>5.2</v>
      </c>
      <c r="AS334" s="57">
        <v>16.73</v>
      </c>
      <c r="AT334" s="56">
        <v>30</v>
      </c>
      <c r="AU334" s="57">
        <v>110</v>
      </c>
      <c r="AV334" s="56">
        <v>77.69</v>
      </c>
      <c r="AW334" s="57"/>
      <c r="AX334" s="8"/>
      <c r="AZ334" s="1">
        <v>90</v>
      </c>
    </row>
    <row r="335" spans="3:52" ht="15" customHeight="1" x14ac:dyDescent="0.25">
      <c r="C335" s="42"/>
      <c r="D335" s="43">
        <f>D328</f>
        <v>45715</v>
      </c>
      <c r="E335" s="44">
        <f t="shared" si="32"/>
        <v>26.833333333333222</v>
      </c>
      <c r="F335" s="45">
        <f t="shared" si="27"/>
        <v>45715.833333334107</v>
      </c>
      <c r="G335" s="52">
        <v>41</v>
      </c>
      <c r="H335" s="53">
        <v>41</v>
      </c>
      <c r="I335" s="54">
        <v>9.1</v>
      </c>
      <c r="J335" s="54">
        <v>200</v>
      </c>
      <c r="K335" s="55">
        <v>7.2</v>
      </c>
      <c r="L335" s="56">
        <v>40</v>
      </c>
      <c r="M335" s="54">
        <v>9.5</v>
      </c>
      <c r="N335" s="54">
        <v>200</v>
      </c>
      <c r="O335" s="57">
        <v>7.5</v>
      </c>
      <c r="P335" s="53">
        <v>41</v>
      </c>
      <c r="Q335" s="54">
        <v>9.6999999999999993</v>
      </c>
      <c r="R335" s="55">
        <v>0</v>
      </c>
      <c r="S335" s="55">
        <v>6.3</v>
      </c>
      <c r="T335" s="57">
        <v>18.2</v>
      </c>
      <c r="U335" s="56">
        <v>41</v>
      </c>
      <c r="V335" s="54">
        <v>9.6999999999999993</v>
      </c>
      <c r="W335" s="55">
        <v>0</v>
      </c>
      <c r="X335" s="55">
        <v>6.5</v>
      </c>
      <c r="Y335" s="57">
        <v>15.3</v>
      </c>
      <c r="Z335" s="53">
        <v>41</v>
      </c>
      <c r="AA335" s="54">
        <v>9.5</v>
      </c>
      <c r="AB335" s="55">
        <v>0</v>
      </c>
      <c r="AC335" s="55">
        <v>6.1</v>
      </c>
      <c r="AD335" s="57">
        <v>15.3</v>
      </c>
      <c r="AE335" s="56">
        <v>41</v>
      </c>
      <c r="AF335" s="54">
        <v>9.5</v>
      </c>
      <c r="AG335" s="55">
        <v>0</v>
      </c>
      <c r="AH335" s="55">
        <v>6.7</v>
      </c>
      <c r="AI335" s="57">
        <v>14.4</v>
      </c>
      <c r="AJ335" s="56">
        <v>39</v>
      </c>
      <c r="AK335" s="54">
        <v>9.6</v>
      </c>
      <c r="AL335" s="54">
        <v>0</v>
      </c>
      <c r="AM335" s="54">
        <v>6.5</v>
      </c>
      <c r="AN335" s="57">
        <v>5.7</v>
      </c>
      <c r="AO335" s="53">
        <v>37</v>
      </c>
      <c r="AP335" s="54">
        <v>9.6999999999999993</v>
      </c>
      <c r="AQ335" s="54">
        <v>170</v>
      </c>
      <c r="AR335" s="54">
        <v>5.9</v>
      </c>
      <c r="AS335" s="57">
        <v>17.3</v>
      </c>
      <c r="AT335" s="56">
        <v>32</v>
      </c>
      <c r="AU335" s="57">
        <v>110</v>
      </c>
      <c r="AV335" s="56">
        <v>77.209999999999994</v>
      </c>
      <c r="AW335" s="57"/>
      <c r="AX335" s="8"/>
      <c r="AZ335" s="1">
        <v>90</v>
      </c>
    </row>
    <row r="336" spans="3:52" ht="15" customHeight="1" x14ac:dyDescent="0.25">
      <c r="C336" s="42"/>
      <c r="D336" s="43">
        <f>D328</f>
        <v>45715</v>
      </c>
      <c r="E336" s="44">
        <f t="shared" si="32"/>
        <v>26.916666666666554</v>
      </c>
      <c r="F336" s="45">
        <f t="shared" si="27"/>
        <v>45715.916666667443</v>
      </c>
      <c r="G336" s="52">
        <v>41</v>
      </c>
      <c r="H336" s="53">
        <v>41</v>
      </c>
      <c r="I336" s="54">
        <v>9.5</v>
      </c>
      <c r="J336" s="54">
        <v>150</v>
      </c>
      <c r="K336" s="55">
        <v>7.5</v>
      </c>
      <c r="L336" s="56">
        <v>41</v>
      </c>
      <c r="M336" s="54">
        <v>9.5</v>
      </c>
      <c r="N336" s="54">
        <v>150</v>
      </c>
      <c r="O336" s="57">
        <v>7.8</v>
      </c>
      <c r="P336" s="53">
        <v>41</v>
      </c>
      <c r="Q336" s="54">
        <v>9.6999999999999993</v>
      </c>
      <c r="R336" s="55">
        <v>0</v>
      </c>
      <c r="S336" s="55">
        <v>6.5</v>
      </c>
      <c r="T336" s="57">
        <v>18.2</v>
      </c>
      <c r="U336" s="56">
        <v>41</v>
      </c>
      <c r="V336" s="54">
        <v>9.6999999999999993</v>
      </c>
      <c r="W336" s="55">
        <v>0</v>
      </c>
      <c r="X336" s="55">
        <v>6.1</v>
      </c>
      <c r="Y336" s="57">
        <v>15.3</v>
      </c>
      <c r="Z336" s="53">
        <v>41</v>
      </c>
      <c r="AA336" s="54">
        <v>9.5</v>
      </c>
      <c r="AB336" s="55">
        <v>0</v>
      </c>
      <c r="AC336" s="55">
        <v>6.5</v>
      </c>
      <c r="AD336" s="57">
        <v>15</v>
      </c>
      <c r="AE336" s="56">
        <v>40</v>
      </c>
      <c r="AF336" s="54">
        <v>9.5</v>
      </c>
      <c r="AG336" s="55">
        <v>0</v>
      </c>
      <c r="AH336" s="55">
        <v>6.1</v>
      </c>
      <c r="AI336" s="57">
        <v>14.4</v>
      </c>
      <c r="AJ336" s="56">
        <v>39</v>
      </c>
      <c r="AK336" s="54">
        <v>9.6</v>
      </c>
      <c r="AL336" s="54">
        <v>0</v>
      </c>
      <c r="AM336" s="54">
        <v>6.5</v>
      </c>
      <c r="AN336" s="57">
        <v>5.7</v>
      </c>
      <c r="AO336" s="53">
        <v>37</v>
      </c>
      <c r="AP336" s="54">
        <v>9.6999999999999993</v>
      </c>
      <c r="AQ336" s="54">
        <v>150</v>
      </c>
      <c r="AR336" s="54">
        <v>5.7</v>
      </c>
      <c r="AS336" s="57">
        <v>17.3</v>
      </c>
      <c r="AT336" s="56">
        <v>32</v>
      </c>
      <c r="AU336" s="57">
        <v>100</v>
      </c>
      <c r="AV336" s="56">
        <v>76.78</v>
      </c>
      <c r="AW336" s="57"/>
      <c r="AX336" s="8"/>
      <c r="AZ336" s="1">
        <v>90</v>
      </c>
    </row>
    <row r="337" spans="3:52" ht="15" customHeight="1" x14ac:dyDescent="0.25">
      <c r="C337" s="42"/>
      <c r="D337" s="43">
        <f>D328</f>
        <v>45715</v>
      </c>
      <c r="E337" s="44">
        <f t="shared" si="32"/>
        <v>26.999999999999886</v>
      </c>
      <c r="F337" s="45">
        <f t="shared" si="27"/>
        <v>45716.000000000779</v>
      </c>
      <c r="G337" s="52">
        <v>42</v>
      </c>
      <c r="H337" s="53">
        <v>41</v>
      </c>
      <c r="I337" s="54">
        <v>9.1</v>
      </c>
      <c r="J337" s="54">
        <v>200</v>
      </c>
      <c r="K337" s="55">
        <v>7.5</v>
      </c>
      <c r="L337" s="56">
        <v>41</v>
      </c>
      <c r="M337" s="54">
        <v>9.1999999999999993</v>
      </c>
      <c r="N337" s="54">
        <v>200</v>
      </c>
      <c r="O337" s="57">
        <v>7.3</v>
      </c>
      <c r="P337" s="53">
        <v>41</v>
      </c>
      <c r="Q337" s="54">
        <v>9.4</v>
      </c>
      <c r="R337" s="55">
        <v>0</v>
      </c>
      <c r="S337" s="55">
        <v>6.7</v>
      </c>
      <c r="T337" s="57">
        <v>18.2</v>
      </c>
      <c r="U337" s="56">
        <v>42</v>
      </c>
      <c r="V337" s="54">
        <v>9.5</v>
      </c>
      <c r="W337" s="55">
        <v>0</v>
      </c>
      <c r="X337" s="55">
        <v>6.5</v>
      </c>
      <c r="Y337" s="57">
        <v>15.3</v>
      </c>
      <c r="Z337" s="53">
        <v>41</v>
      </c>
      <c r="AA337" s="54">
        <v>9.5</v>
      </c>
      <c r="AB337" s="55">
        <v>0</v>
      </c>
      <c r="AC337" s="55">
        <v>6.3</v>
      </c>
      <c r="AD337" s="57">
        <v>15.3</v>
      </c>
      <c r="AE337" s="56">
        <v>41</v>
      </c>
      <c r="AF337" s="54">
        <v>9.6</v>
      </c>
      <c r="AG337" s="55">
        <v>0</v>
      </c>
      <c r="AH337" s="55">
        <v>6.6</v>
      </c>
      <c r="AI337" s="57">
        <v>14.6</v>
      </c>
      <c r="AJ337" s="56">
        <v>40</v>
      </c>
      <c r="AK337" s="54">
        <v>9.6</v>
      </c>
      <c r="AL337" s="54">
        <v>0</v>
      </c>
      <c r="AM337" s="54">
        <v>5.9</v>
      </c>
      <c r="AN337" s="57">
        <v>7.6</v>
      </c>
      <c r="AO337" s="53">
        <v>39</v>
      </c>
      <c r="AP337" s="54">
        <v>9.6</v>
      </c>
      <c r="AQ337" s="54">
        <v>140</v>
      </c>
      <c r="AR337" s="54">
        <v>6.1</v>
      </c>
      <c r="AS337" s="57">
        <v>16.3</v>
      </c>
      <c r="AT337" s="56">
        <v>33</v>
      </c>
      <c r="AU337" s="57">
        <v>100</v>
      </c>
      <c r="AV337" s="56">
        <v>78.099999999999994</v>
      </c>
      <c r="AW337" s="57"/>
      <c r="AX337" s="8"/>
      <c r="AZ337" s="1">
        <v>90</v>
      </c>
    </row>
    <row r="338" spans="3:52" ht="15" customHeight="1" x14ac:dyDescent="0.25">
      <c r="C338" s="42"/>
      <c r="D338" s="43">
        <f>D328</f>
        <v>45715</v>
      </c>
      <c r="E338" s="44">
        <f t="shared" si="32"/>
        <v>27.083333333333218</v>
      </c>
      <c r="F338" s="45">
        <f t="shared" ref="F338:F387" si="33">F337+(E338-E337)</f>
        <v>45716.083333334114</v>
      </c>
      <c r="G338" s="52">
        <v>41</v>
      </c>
      <c r="H338" s="53">
        <v>40</v>
      </c>
      <c r="I338" s="54">
        <v>9.1</v>
      </c>
      <c r="J338" s="54">
        <v>200</v>
      </c>
      <c r="K338" s="55">
        <v>7.7</v>
      </c>
      <c r="L338" s="56">
        <v>40</v>
      </c>
      <c r="M338" s="54">
        <v>9.1999999999999993</v>
      </c>
      <c r="N338" s="54">
        <v>200</v>
      </c>
      <c r="O338" s="57">
        <v>7.1</v>
      </c>
      <c r="P338" s="53">
        <v>41</v>
      </c>
      <c r="Q338" s="54">
        <v>9.4</v>
      </c>
      <c r="R338" s="55">
        <v>0</v>
      </c>
      <c r="S338" s="55">
        <v>6.3</v>
      </c>
      <c r="T338" s="57">
        <v>18.2</v>
      </c>
      <c r="U338" s="56">
        <v>42</v>
      </c>
      <c r="V338" s="54">
        <v>9.5</v>
      </c>
      <c r="W338" s="55">
        <v>0</v>
      </c>
      <c r="X338" s="55">
        <v>6.7</v>
      </c>
      <c r="Y338" s="57">
        <v>15.7</v>
      </c>
      <c r="Z338" s="53">
        <v>41</v>
      </c>
      <c r="AA338" s="54">
        <v>9.5</v>
      </c>
      <c r="AB338" s="55">
        <v>0</v>
      </c>
      <c r="AC338" s="55">
        <v>6.5</v>
      </c>
      <c r="AD338" s="57">
        <v>15.3</v>
      </c>
      <c r="AE338" s="56">
        <v>41</v>
      </c>
      <c r="AF338" s="54">
        <v>9.6</v>
      </c>
      <c r="AG338" s="55">
        <v>0</v>
      </c>
      <c r="AH338" s="55">
        <v>6.4</v>
      </c>
      <c r="AI338" s="57">
        <v>14.4</v>
      </c>
      <c r="AJ338" s="56">
        <v>41</v>
      </c>
      <c r="AK338" s="54">
        <v>9.6</v>
      </c>
      <c r="AL338" s="54">
        <v>0</v>
      </c>
      <c r="AM338" s="54">
        <v>6.3</v>
      </c>
      <c r="AN338" s="57">
        <v>7.6</v>
      </c>
      <c r="AO338" s="53">
        <v>41</v>
      </c>
      <c r="AP338" s="54">
        <v>9.6</v>
      </c>
      <c r="AQ338" s="54">
        <v>120</v>
      </c>
      <c r="AR338" s="54">
        <v>6.3</v>
      </c>
      <c r="AS338" s="57">
        <v>17.3</v>
      </c>
      <c r="AT338" s="56">
        <v>33</v>
      </c>
      <c r="AU338" s="57">
        <v>90</v>
      </c>
      <c r="AV338" s="56">
        <v>78.58</v>
      </c>
      <c r="AW338" s="57"/>
      <c r="AX338" s="8"/>
      <c r="AZ338" s="1">
        <v>90</v>
      </c>
    </row>
    <row r="339" spans="3:52" ht="15" customHeight="1" x14ac:dyDescent="0.25">
      <c r="C339" s="42"/>
      <c r="D339" s="69">
        <f>D328</f>
        <v>45715</v>
      </c>
      <c r="E339" s="70">
        <f t="shared" si="32"/>
        <v>27.166666666666551</v>
      </c>
      <c r="F339" s="71">
        <f t="shared" si="33"/>
        <v>45716.16666666745</v>
      </c>
      <c r="G339" s="60">
        <v>40</v>
      </c>
      <c r="H339" s="61">
        <v>40</v>
      </c>
      <c r="I339" s="62">
        <v>9</v>
      </c>
      <c r="J339" s="62">
        <v>200</v>
      </c>
      <c r="K339" s="63">
        <v>7.1</v>
      </c>
      <c r="L339" s="64">
        <v>40</v>
      </c>
      <c r="M339" s="62">
        <v>9.1</v>
      </c>
      <c r="N339" s="62">
        <v>200</v>
      </c>
      <c r="O339" s="65">
        <v>6.9</v>
      </c>
      <c r="P339" s="61">
        <v>41</v>
      </c>
      <c r="Q339" s="62">
        <v>9.4</v>
      </c>
      <c r="R339" s="63">
        <v>0</v>
      </c>
      <c r="S339" s="63">
        <v>6.5</v>
      </c>
      <c r="T339" s="65">
        <v>18.399999999999999</v>
      </c>
      <c r="U339" s="64">
        <v>41</v>
      </c>
      <c r="V339" s="62">
        <v>9.5</v>
      </c>
      <c r="W339" s="63">
        <v>0</v>
      </c>
      <c r="X339" s="63">
        <v>6.3</v>
      </c>
      <c r="Y339" s="65">
        <v>15.3</v>
      </c>
      <c r="Z339" s="61">
        <v>41</v>
      </c>
      <c r="AA339" s="62">
        <v>9.5</v>
      </c>
      <c r="AB339" s="63">
        <v>0</v>
      </c>
      <c r="AC339" s="63">
        <v>6.8</v>
      </c>
      <c r="AD339" s="65">
        <v>15</v>
      </c>
      <c r="AE339" s="64">
        <v>41</v>
      </c>
      <c r="AF339" s="62">
        <v>9.6</v>
      </c>
      <c r="AG339" s="63">
        <v>0</v>
      </c>
      <c r="AH339" s="63">
        <v>6.7</v>
      </c>
      <c r="AI339" s="65">
        <v>14.6</v>
      </c>
      <c r="AJ339" s="64">
        <v>40</v>
      </c>
      <c r="AK339" s="62">
        <v>9.6</v>
      </c>
      <c r="AL339" s="62">
        <v>0</v>
      </c>
      <c r="AM339" s="62">
        <v>6.1</v>
      </c>
      <c r="AN339" s="65">
        <v>7.6</v>
      </c>
      <c r="AO339" s="61">
        <v>40</v>
      </c>
      <c r="AP339" s="62">
        <v>9.6</v>
      </c>
      <c r="AQ339" s="62">
        <v>140</v>
      </c>
      <c r="AR339" s="62">
        <v>5.9</v>
      </c>
      <c r="AS339" s="65">
        <v>19.600000000000001</v>
      </c>
      <c r="AT339" s="64">
        <v>32</v>
      </c>
      <c r="AU339" s="65">
        <v>110</v>
      </c>
      <c r="AV339" s="64">
        <v>78.84</v>
      </c>
      <c r="AW339" s="65"/>
      <c r="AX339" s="8"/>
      <c r="AZ339" s="1">
        <v>90</v>
      </c>
    </row>
    <row r="340" spans="3:52" ht="15" customHeight="1" x14ac:dyDescent="0.25">
      <c r="C340" s="42">
        <f>C328+1</f>
        <v>28</v>
      </c>
      <c r="D340" s="66">
        <f>DATE([2]Dash!$F$3,VLOOKUP([2]Dash!$E$3,[2]Abb!$C$3:$D$14,2,FALSE),C340)</f>
        <v>45716</v>
      </c>
      <c r="E340" s="67">
        <f>E339+2/24</f>
        <v>27.249999999999883</v>
      </c>
      <c r="F340" s="68">
        <f t="shared" si="33"/>
        <v>45716.250000000786</v>
      </c>
      <c r="G340" s="46">
        <v>42</v>
      </c>
      <c r="H340" s="47">
        <v>41</v>
      </c>
      <c r="I340" s="48">
        <v>9.1</v>
      </c>
      <c r="J340" s="48">
        <v>200</v>
      </c>
      <c r="K340" s="49">
        <v>6.9</v>
      </c>
      <c r="L340" s="50">
        <v>41</v>
      </c>
      <c r="M340" s="48">
        <v>9.1</v>
      </c>
      <c r="N340" s="48">
        <v>200</v>
      </c>
      <c r="O340" s="51">
        <v>6.7</v>
      </c>
      <c r="P340" s="47">
        <v>41</v>
      </c>
      <c r="Q340" s="48">
        <v>9.3000000000000007</v>
      </c>
      <c r="R340" s="49">
        <v>0</v>
      </c>
      <c r="S340" s="49">
        <v>6.9</v>
      </c>
      <c r="T340" s="51">
        <v>18.399999999999999</v>
      </c>
      <c r="U340" s="50">
        <v>41</v>
      </c>
      <c r="V340" s="48">
        <v>9.4</v>
      </c>
      <c r="W340" s="49">
        <v>0</v>
      </c>
      <c r="X340" s="49">
        <v>6.7</v>
      </c>
      <c r="Y340" s="51">
        <v>15.3</v>
      </c>
      <c r="Z340" s="47">
        <v>41</v>
      </c>
      <c r="AA340" s="48">
        <v>9.5</v>
      </c>
      <c r="AB340" s="49">
        <v>0</v>
      </c>
      <c r="AC340" s="49">
        <v>6.3</v>
      </c>
      <c r="AD340" s="51">
        <v>15.3</v>
      </c>
      <c r="AE340" s="50">
        <v>41</v>
      </c>
      <c r="AF340" s="48">
        <v>9.6</v>
      </c>
      <c r="AG340" s="49">
        <v>0</v>
      </c>
      <c r="AH340" s="49">
        <v>6.3</v>
      </c>
      <c r="AI340" s="51">
        <v>14.4</v>
      </c>
      <c r="AJ340" s="50">
        <v>40</v>
      </c>
      <c r="AK340" s="48">
        <v>9.6</v>
      </c>
      <c r="AL340" s="48">
        <v>0</v>
      </c>
      <c r="AM340" s="48">
        <v>6.3</v>
      </c>
      <c r="AN340" s="51">
        <v>7.6</v>
      </c>
      <c r="AO340" s="47">
        <v>40</v>
      </c>
      <c r="AP340" s="48">
        <v>9.6</v>
      </c>
      <c r="AQ340" s="48">
        <v>150</v>
      </c>
      <c r="AR340" s="48">
        <v>5.7</v>
      </c>
      <c r="AS340" s="51">
        <v>20.100000000000001</v>
      </c>
      <c r="AT340" s="50">
        <v>33</v>
      </c>
      <c r="AU340" s="51">
        <v>110</v>
      </c>
      <c r="AV340" s="50">
        <v>79.1015625</v>
      </c>
      <c r="AW340" s="51"/>
      <c r="AX340" s="8"/>
      <c r="AZ340" s="1">
        <v>90</v>
      </c>
    </row>
    <row r="341" spans="3:52" ht="15" customHeight="1" x14ac:dyDescent="0.25">
      <c r="C341" s="42"/>
      <c r="D341" s="43">
        <f>D340</f>
        <v>45716</v>
      </c>
      <c r="E341" s="44">
        <f>E340+2/24</f>
        <v>27.333333333333215</v>
      </c>
      <c r="F341" s="45">
        <f t="shared" si="33"/>
        <v>45716.333333334122</v>
      </c>
      <c r="G341" s="52">
        <v>42</v>
      </c>
      <c r="H341" s="53">
        <v>41</v>
      </c>
      <c r="I341" s="54">
        <v>9.1999999999999993</v>
      </c>
      <c r="J341" s="54">
        <v>250</v>
      </c>
      <c r="K341" s="55">
        <v>6.1</v>
      </c>
      <c r="L341" s="56">
        <v>41</v>
      </c>
      <c r="M341" s="54">
        <v>9.1999999999999993</v>
      </c>
      <c r="N341" s="54">
        <v>200</v>
      </c>
      <c r="O341" s="57">
        <v>6</v>
      </c>
      <c r="P341" s="53">
        <v>40</v>
      </c>
      <c r="Q341" s="54">
        <v>9.1999999999999993</v>
      </c>
      <c r="R341" s="55">
        <v>0</v>
      </c>
      <c r="S341" s="55">
        <v>5.9</v>
      </c>
      <c r="T341" s="57">
        <v>16.34</v>
      </c>
      <c r="U341" s="56">
        <v>40</v>
      </c>
      <c r="V341" s="54">
        <v>9.8000000000000007</v>
      </c>
      <c r="W341" s="55">
        <v>0</v>
      </c>
      <c r="X341" s="55">
        <v>5.6</v>
      </c>
      <c r="Y341" s="57">
        <v>12.5</v>
      </c>
      <c r="Z341" s="53">
        <v>41</v>
      </c>
      <c r="AA341" s="54">
        <v>9.3000000000000007</v>
      </c>
      <c r="AB341" s="55">
        <v>0</v>
      </c>
      <c r="AC341" s="55">
        <v>5.7</v>
      </c>
      <c r="AD341" s="57">
        <v>15.38</v>
      </c>
      <c r="AE341" s="56">
        <v>39</v>
      </c>
      <c r="AF341" s="54">
        <v>9.4</v>
      </c>
      <c r="AG341" s="55">
        <v>0</v>
      </c>
      <c r="AH341" s="55">
        <v>5.3</v>
      </c>
      <c r="AI341" s="57">
        <v>14.42</v>
      </c>
      <c r="AJ341" s="56">
        <v>37</v>
      </c>
      <c r="AK341" s="54">
        <v>9.4</v>
      </c>
      <c r="AL341" s="54">
        <v>0</v>
      </c>
      <c r="AM341" s="54">
        <v>5.2</v>
      </c>
      <c r="AN341" s="57">
        <v>7.69</v>
      </c>
      <c r="AO341" s="53">
        <v>36</v>
      </c>
      <c r="AP341" s="54">
        <v>9.6</v>
      </c>
      <c r="AQ341" s="54">
        <v>100</v>
      </c>
      <c r="AR341" s="54">
        <v>5.5</v>
      </c>
      <c r="AS341" s="57">
        <v>17.3</v>
      </c>
      <c r="AT341" s="56">
        <v>29</v>
      </c>
      <c r="AU341" s="57">
        <v>80</v>
      </c>
      <c r="AV341" s="56">
        <v>79.939781188964801</v>
      </c>
      <c r="AW341" s="57"/>
      <c r="AX341" s="8"/>
      <c r="AZ341" s="1">
        <v>90</v>
      </c>
    </row>
    <row r="342" spans="3:52" ht="15" customHeight="1" x14ac:dyDescent="0.25">
      <c r="C342" s="42"/>
      <c r="D342" s="43">
        <f>D340</f>
        <v>45716</v>
      </c>
      <c r="E342" s="44">
        <f t="shared" ref="E342:E351" si="34">E341+2/24</f>
        <v>27.416666666666547</v>
      </c>
      <c r="F342" s="45">
        <f t="shared" si="33"/>
        <v>45716.416666667457</v>
      </c>
      <c r="G342" s="52">
        <v>40</v>
      </c>
      <c r="H342" s="53">
        <v>41</v>
      </c>
      <c r="I342" s="54">
        <v>9.6</v>
      </c>
      <c r="J342" s="54">
        <v>250</v>
      </c>
      <c r="K342" s="55">
        <v>5.9</v>
      </c>
      <c r="L342" s="56">
        <v>39</v>
      </c>
      <c r="M342" s="54">
        <v>9.1999999999999993</v>
      </c>
      <c r="N342" s="54">
        <v>200</v>
      </c>
      <c r="O342" s="57">
        <v>5.7</v>
      </c>
      <c r="P342" s="53">
        <v>40</v>
      </c>
      <c r="Q342" s="54">
        <v>9.1999999999999993</v>
      </c>
      <c r="R342" s="55">
        <v>0</v>
      </c>
      <c r="S342" s="55">
        <v>5.5</v>
      </c>
      <c r="T342" s="57">
        <v>17.3</v>
      </c>
      <c r="U342" s="56">
        <v>39</v>
      </c>
      <c r="V342" s="54">
        <v>9.6999999999999993</v>
      </c>
      <c r="W342" s="55">
        <v>0</v>
      </c>
      <c r="X342" s="55">
        <v>5.7</v>
      </c>
      <c r="Y342" s="57">
        <v>15.76</v>
      </c>
      <c r="Z342" s="53">
        <v>39</v>
      </c>
      <c r="AA342" s="54">
        <v>9.6999999999999993</v>
      </c>
      <c r="AB342" s="55">
        <v>0</v>
      </c>
      <c r="AC342" s="55">
        <v>5.6</v>
      </c>
      <c r="AD342" s="57">
        <v>15.76</v>
      </c>
      <c r="AE342" s="56">
        <v>39</v>
      </c>
      <c r="AF342" s="54">
        <v>9.4</v>
      </c>
      <c r="AG342" s="55">
        <v>0</v>
      </c>
      <c r="AH342" s="55">
        <v>5.5</v>
      </c>
      <c r="AI342" s="57">
        <v>14.42</v>
      </c>
      <c r="AJ342" s="56">
        <v>38</v>
      </c>
      <c r="AK342" s="54">
        <v>9.4</v>
      </c>
      <c r="AL342" s="54">
        <v>0</v>
      </c>
      <c r="AM342" s="54">
        <v>5.6</v>
      </c>
      <c r="AN342" s="57">
        <v>6.73</v>
      </c>
      <c r="AO342" s="53">
        <v>38</v>
      </c>
      <c r="AP342" s="54">
        <v>9.5</v>
      </c>
      <c r="AQ342" s="54">
        <v>90</v>
      </c>
      <c r="AR342" s="54">
        <v>5.6</v>
      </c>
      <c r="AS342" s="57">
        <v>18.260000000000002</v>
      </c>
      <c r="AT342" s="56">
        <v>30</v>
      </c>
      <c r="AU342" s="57">
        <v>80</v>
      </c>
      <c r="AV342" s="56">
        <v>67.041015625</v>
      </c>
      <c r="AW342" s="57"/>
      <c r="AX342" s="8"/>
      <c r="AZ342" s="1">
        <v>90</v>
      </c>
    </row>
    <row r="343" spans="3:52" ht="15" customHeight="1" x14ac:dyDescent="0.25">
      <c r="C343" s="42"/>
      <c r="D343" s="43">
        <f>D340</f>
        <v>45716</v>
      </c>
      <c r="E343" s="44">
        <f t="shared" si="34"/>
        <v>27.499999999999879</v>
      </c>
      <c r="F343" s="45">
        <f t="shared" si="33"/>
        <v>45716.500000000793</v>
      </c>
      <c r="G343" s="52">
        <v>40</v>
      </c>
      <c r="H343" s="53">
        <v>40</v>
      </c>
      <c r="I343" s="54">
        <v>10.3</v>
      </c>
      <c r="J343" s="54">
        <v>250</v>
      </c>
      <c r="K343" s="55">
        <v>6.1</v>
      </c>
      <c r="L343" s="56">
        <v>40</v>
      </c>
      <c r="M343" s="54">
        <v>9</v>
      </c>
      <c r="N343" s="54">
        <v>250</v>
      </c>
      <c r="O343" s="57">
        <v>5.9</v>
      </c>
      <c r="P343" s="53">
        <v>404</v>
      </c>
      <c r="Q343" s="54">
        <v>9.1</v>
      </c>
      <c r="R343" s="55">
        <v>0</v>
      </c>
      <c r="S343" s="55">
        <v>5.4</v>
      </c>
      <c r="T343" s="57">
        <v>16.34</v>
      </c>
      <c r="U343" s="56">
        <v>39</v>
      </c>
      <c r="V343" s="54">
        <v>9.5</v>
      </c>
      <c r="W343" s="55">
        <v>0</v>
      </c>
      <c r="X343" s="55">
        <v>5.8</v>
      </c>
      <c r="Y343" s="57">
        <v>16.34</v>
      </c>
      <c r="Z343" s="53">
        <v>39</v>
      </c>
      <c r="AA343" s="54">
        <v>9.6999999999999993</v>
      </c>
      <c r="AB343" s="55">
        <v>0</v>
      </c>
      <c r="AC343" s="55">
        <v>5.7</v>
      </c>
      <c r="AD343" s="57">
        <v>16.34</v>
      </c>
      <c r="AE343" s="56">
        <v>39</v>
      </c>
      <c r="AF343" s="54">
        <v>9.4</v>
      </c>
      <c r="AG343" s="55">
        <v>0</v>
      </c>
      <c r="AH343" s="55">
        <v>5.3</v>
      </c>
      <c r="AI343" s="57">
        <v>15.38</v>
      </c>
      <c r="AJ343" s="56">
        <v>38</v>
      </c>
      <c r="AK343" s="54">
        <v>9.4</v>
      </c>
      <c r="AL343" s="54">
        <v>0</v>
      </c>
      <c r="AM343" s="54">
        <v>5.6</v>
      </c>
      <c r="AN343" s="57">
        <v>7.69</v>
      </c>
      <c r="AO343" s="53">
        <v>38</v>
      </c>
      <c r="AP343" s="54">
        <v>9.4</v>
      </c>
      <c r="AQ343" s="54">
        <v>100</v>
      </c>
      <c r="AR343" s="54">
        <v>5.5</v>
      </c>
      <c r="AS343" s="57">
        <v>16.399999999999999</v>
      </c>
      <c r="AT343" s="56">
        <v>28</v>
      </c>
      <c r="AU343" s="57">
        <v>90</v>
      </c>
      <c r="AV343" s="56">
        <v>67.66357421875</v>
      </c>
      <c r="AW343" s="57"/>
      <c r="AX343" s="8"/>
      <c r="AZ343" s="1">
        <v>90</v>
      </c>
    </row>
    <row r="344" spans="3:52" ht="15" customHeight="1" x14ac:dyDescent="0.25">
      <c r="C344" s="42"/>
      <c r="D344" s="43">
        <f>D340</f>
        <v>45716</v>
      </c>
      <c r="E344" s="44">
        <f t="shared" si="34"/>
        <v>27.583333333333211</v>
      </c>
      <c r="F344" s="45">
        <f t="shared" si="33"/>
        <v>45716.583333334129</v>
      </c>
      <c r="G344" s="52">
        <v>39</v>
      </c>
      <c r="H344" s="53">
        <v>41</v>
      </c>
      <c r="I344" s="54">
        <v>10.8</v>
      </c>
      <c r="J344" s="54">
        <v>300</v>
      </c>
      <c r="K344" s="55">
        <v>5.8</v>
      </c>
      <c r="L344" s="56">
        <v>41</v>
      </c>
      <c r="M344" s="54">
        <v>9.6</v>
      </c>
      <c r="N344" s="54">
        <v>250</v>
      </c>
      <c r="O344" s="57">
        <v>5.6</v>
      </c>
      <c r="P344" s="53">
        <v>40</v>
      </c>
      <c r="Q344" s="54">
        <v>9.5</v>
      </c>
      <c r="R344" s="55">
        <v>0</v>
      </c>
      <c r="S344" s="55">
        <v>5.3</v>
      </c>
      <c r="T344" s="57">
        <v>18.260000000000002</v>
      </c>
      <c r="U344" s="56">
        <v>40</v>
      </c>
      <c r="V344" s="54">
        <v>9.5</v>
      </c>
      <c r="W344" s="55">
        <v>0</v>
      </c>
      <c r="X344" s="55">
        <v>5.6</v>
      </c>
      <c r="Y344" s="57">
        <v>15.76</v>
      </c>
      <c r="Z344" s="53">
        <v>39</v>
      </c>
      <c r="AA344" s="54">
        <v>9.6999999999999993</v>
      </c>
      <c r="AB344" s="55">
        <v>0</v>
      </c>
      <c r="AC344" s="55">
        <v>5.5</v>
      </c>
      <c r="AD344" s="57">
        <v>15.76</v>
      </c>
      <c r="AE344" s="56">
        <v>39</v>
      </c>
      <c r="AF344" s="54">
        <v>9.5</v>
      </c>
      <c r="AG344" s="55">
        <v>0</v>
      </c>
      <c r="AH344" s="55">
        <v>5.2</v>
      </c>
      <c r="AI344" s="57">
        <v>14.42</v>
      </c>
      <c r="AJ344" s="56">
        <v>39</v>
      </c>
      <c r="AK344" s="54">
        <v>9.4</v>
      </c>
      <c r="AL344" s="54">
        <v>0</v>
      </c>
      <c r="AM344" s="54">
        <v>5.3</v>
      </c>
      <c r="AN344" s="57">
        <v>7.69</v>
      </c>
      <c r="AO344" s="53">
        <v>39</v>
      </c>
      <c r="AP344" s="54">
        <v>9.4</v>
      </c>
      <c r="AQ344" s="54">
        <v>80</v>
      </c>
      <c r="AR344" s="54">
        <v>5.4</v>
      </c>
      <c r="AS344" s="57">
        <v>17.3</v>
      </c>
      <c r="AT344" s="56">
        <v>27</v>
      </c>
      <c r="AU344" s="57">
        <v>40</v>
      </c>
      <c r="AV344" s="56">
        <v>67.838539123535199</v>
      </c>
      <c r="AW344" s="57"/>
      <c r="AX344" s="8"/>
      <c r="AZ344" s="1">
        <v>90</v>
      </c>
    </row>
    <row r="345" spans="3:52" ht="15" customHeight="1" x14ac:dyDescent="0.25">
      <c r="C345" s="42"/>
      <c r="D345" s="43">
        <f>D340</f>
        <v>45716</v>
      </c>
      <c r="E345" s="44">
        <f t="shared" si="34"/>
        <v>27.666666666666544</v>
      </c>
      <c r="F345" s="45">
        <f t="shared" si="33"/>
        <v>45716.666666667465</v>
      </c>
      <c r="G345" s="52">
        <v>0</v>
      </c>
      <c r="H345" s="53">
        <v>40</v>
      </c>
      <c r="I345" s="54">
        <v>10.9</v>
      </c>
      <c r="J345" s="54">
        <v>350</v>
      </c>
      <c r="K345" s="55">
        <v>6</v>
      </c>
      <c r="L345" s="56">
        <v>41</v>
      </c>
      <c r="M345" s="54">
        <v>9.6999999999999993</v>
      </c>
      <c r="N345" s="54">
        <v>250</v>
      </c>
      <c r="O345" s="57">
        <v>6.1</v>
      </c>
      <c r="P345" s="53">
        <v>40</v>
      </c>
      <c r="Q345" s="54">
        <v>9.6</v>
      </c>
      <c r="R345" s="55">
        <v>0</v>
      </c>
      <c r="S345" s="55">
        <v>5.8</v>
      </c>
      <c r="T345" s="57">
        <v>16.34</v>
      </c>
      <c r="U345" s="56">
        <v>40</v>
      </c>
      <c r="V345" s="54">
        <v>9.6</v>
      </c>
      <c r="W345" s="55">
        <v>0</v>
      </c>
      <c r="X345" s="55">
        <v>5.6</v>
      </c>
      <c r="Y345" s="57">
        <v>16.34</v>
      </c>
      <c r="Z345" s="53">
        <v>40</v>
      </c>
      <c r="AA345" s="54">
        <v>9.8000000000000007</v>
      </c>
      <c r="AB345" s="55">
        <v>0</v>
      </c>
      <c r="AC345" s="55">
        <v>5.8</v>
      </c>
      <c r="AD345" s="57">
        <v>16.34</v>
      </c>
      <c r="AE345" s="56">
        <v>40</v>
      </c>
      <c r="AF345" s="54">
        <v>9.6999999999999993</v>
      </c>
      <c r="AG345" s="55">
        <v>0</v>
      </c>
      <c r="AH345" s="55">
        <v>5.2</v>
      </c>
      <c r="AI345" s="57">
        <v>14.42</v>
      </c>
      <c r="AJ345" s="56">
        <v>39</v>
      </c>
      <c r="AK345" s="54">
        <v>9.5</v>
      </c>
      <c r="AL345" s="54">
        <v>0</v>
      </c>
      <c r="AM345" s="54">
        <v>5.5</v>
      </c>
      <c r="AN345" s="57">
        <v>6.73</v>
      </c>
      <c r="AO345" s="53">
        <v>39</v>
      </c>
      <c r="AP345" s="54">
        <v>9.5</v>
      </c>
      <c r="AQ345" s="54">
        <v>80</v>
      </c>
      <c r="AR345" s="54">
        <v>5.3</v>
      </c>
      <c r="AS345" s="57">
        <v>15.38</v>
      </c>
      <c r="AT345" s="56">
        <v>30</v>
      </c>
      <c r="AU345" s="57">
        <v>50</v>
      </c>
      <c r="AV345" s="56">
        <v>68.070472717285199</v>
      </c>
      <c r="AW345" s="57"/>
      <c r="AX345" s="8"/>
      <c r="AZ345" s="1">
        <v>90</v>
      </c>
    </row>
    <row r="346" spans="3:52" ht="15" customHeight="1" x14ac:dyDescent="0.25">
      <c r="C346" s="42"/>
      <c r="D346" s="43">
        <f>D340</f>
        <v>45716</v>
      </c>
      <c r="E346" s="44">
        <f t="shared" si="34"/>
        <v>27.749999999999876</v>
      </c>
      <c r="F346" s="45">
        <f t="shared" si="33"/>
        <v>45716.7500000008</v>
      </c>
      <c r="G346" s="52">
        <v>0</v>
      </c>
      <c r="H346" s="53">
        <v>40</v>
      </c>
      <c r="I346" s="54">
        <v>10.9</v>
      </c>
      <c r="J346" s="54">
        <v>350</v>
      </c>
      <c r="K346" s="55">
        <v>5.8</v>
      </c>
      <c r="L346" s="56">
        <v>41</v>
      </c>
      <c r="M346" s="54">
        <v>10.4</v>
      </c>
      <c r="N346" s="54">
        <v>250</v>
      </c>
      <c r="O346" s="57">
        <v>5.7</v>
      </c>
      <c r="P346" s="53">
        <v>40</v>
      </c>
      <c r="Q346" s="54">
        <v>10.1</v>
      </c>
      <c r="R346" s="55">
        <v>0</v>
      </c>
      <c r="S346" s="55">
        <v>5.6</v>
      </c>
      <c r="T346" s="57">
        <v>17.3</v>
      </c>
      <c r="U346" s="56">
        <v>40</v>
      </c>
      <c r="V346" s="54">
        <v>10.1</v>
      </c>
      <c r="W346" s="55">
        <v>0</v>
      </c>
      <c r="X346" s="55">
        <v>5.4</v>
      </c>
      <c r="Y346" s="57">
        <v>15.38</v>
      </c>
      <c r="Z346" s="53">
        <v>39</v>
      </c>
      <c r="AA346" s="54">
        <v>10.1</v>
      </c>
      <c r="AB346" s="55">
        <v>0</v>
      </c>
      <c r="AC346" s="55">
        <v>5.7</v>
      </c>
      <c r="AD346" s="57">
        <v>16.34</v>
      </c>
      <c r="AE346" s="56">
        <v>39</v>
      </c>
      <c r="AF346" s="54">
        <v>10</v>
      </c>
      <c r="AG346" s="55">
        <v>0</v>
      </c>
      <c r="AH346" s="55">
        <v>5.5</v>
      </c>
      <c r="AI346" s="57">
        <v>15.38</v>
      </c>
      <c r="AJ346" s="56">
        <v>39</v>
      </c>
      <c r="AK346" s="54">
        <v>9.9</v>
      </c>
      <c r="AL346" s="54">
        <v>0</v>
      </c>
      <c r="AM346" s="54">
        <v>5.7</v>
      </c>
      <c r="AN346" s="57">
        <v>6.73</v>
      </c>
      <c r="AO346" s="53">
        <v>40</v>
      </c>
      <c r="AP346" s="54">
        <v>9.9</v>
      </c>
      <c r="AQ346" s="54">
        <v>90</v>
      </c>
      <c r="AR346" s="54">
        <v>5.2</v>
      </c>
      <c r="AS346" s="57">
        <v>15.38</v>
      </c>
      <c r="AT346" s="56">
        <v>30</v>
      </c>
      <c r="AU346" s="57">
        <v>50</v>
      </c>
      <c r="AV346" s="56">
        <v>67.529296875</v>
      </c>
      <c r="AW346" s="57"/>
      <c r="AX346" s="8"/>
      <c r="AZ346" s="1">
        <v>90</v>
      </c>
    </row>
    <row r="347" spans="3:52" ht="15" customHeight="1" x14ac:dyDescent="0.25">
      <c r="C347" s="42"/>
      <c r="D347" s="43">
        <f>D340</f>
        <v>45716</v>
      </c>
      <c r="E347" s="44">
        <f t="shared" si="34"/>
        <v>27.833333333333208</v>
      </c>
      <c r="F347" s="45">
        <f t="shared" si="33"/>
        <v>45716.833333334136</v>
      </c>
      <c r="G347" s="52">
        <v>43</v>
      </c>
      <c r="H347" s="53">
        <v>41</v>
      </c>
      <c r="I347" s="54">
        <v>10.8</v>
      </c>
      <c r="J347" s="54">
        <v>400</v>
      </c>
      <c r="K347" s="55">
        <v>6.1</v>
      </c>
      <c r="L347" s="56">
        <v>42</v>
      </c>
      <c r="M347" s="54">
        <v>10.5</v>
      </c>
      <c r="N347" s="54">
        <v>400</v>
      </c>
      <c r="O347" s="57">
        <v>5.8</v>
      </c>
      <c r="P347" s="53">
        <v>41</v>
      </c>
      <c r="Q347" s="54">
        <v>10.1</v>
      </c>
      <c r="R347" s="55">
        <v>0</v>
      </c>
      <c r="S347" s="55">
        <v>5.8</v>
      </c>
      <c r="T347" s="57">
        <v>18.2</v>
      </c>
      <c r="U347" s="56">
        <v>40</v>
      </c>
      <c r="V347" s="54">
        <v>9.6999999999999993</v>
      </c>
      <c r="W347" s="55">
        <v>0</v>
      </c>
      <c r="X347" s="55">
        <v>5.4</v>
      </c>
      <c r="Y347" s="57">
        <v>14.4</v>
      </c>
      <c r="Z347" s="53">
        <v>40</v>
      </c>
      <c r="AA347" s="54">
        <v>9.1999999999999993</v>
      </c>
      <c r="AB347" s="55">
        <v>0</v>
      </c>
      <c r="AC347" s="55">
        <v>5.6</v>
      </c>
      <c r="AD347" s="57">
        <v>16.3</v>
      </c>
      <c r="AE347" s="56">
        <v>40</v>
      </c>
      <c r="AF347" s="54">
        <v>9.1999999999999993</v>
      </c>
      <c r="AG347" s="55">
        <v>0</v>
      </c>
      <c r="AH347" s="55">
        <v>5.4</v>
      </c>
      <c r="AI347" s="57">
        <v>14.4</v>
      </c>
      <c r="AJ347" s="56">
        <v>40</v>
      </c>
      <c r="AK347" s="54">
        <v>9.1999999999999993</v>
      </c>
      <c r="AL347" s="54">
        <v>0</v>
      </c>
      <c r="AM347" s="54">
        <v>5.8</v>
      </c>
      <c r="AN347" s="57">
        <v>7.6</v>
      </c>
      <c r="AO347" s="53">
        <v>40</v>
      </c>
      <c r="AP347" s="54">
        <v>9.3000000000000007</v>
      </c>
      <c r="AQ347" s="54">
        <v>120</v>
      </c>
      <c r="AR347" s="54">
        <v>5.5</v>
      </c>
      <c r="AS347" s="57">
        <v>16.3</v>
      </c>
      <c r="AT347" s="56">
        <v>33</v>
      </c>
      <c r="AU347" s="57">
        <v>90</v>
      </c>
      <c r="AV347" s="56">
        <v>67.4560546875</v>
      </c>
      <c r="AW347" s="57"/>
      <c r="AX347" s="8"/>
      <c r="AZ347" s="1">
        <v>90</v>
      </c>
    </row>
    <row r="348" spans="3:52" ht="15" customHeight="1" x14ac:dyDescent="0.25">
      <c r="C348" s="42"/>
      <c r="D348" s="43">
        <f>D340</f>
        <v>45716</v>
      </c>
      <c r="E348" s="44">
        <f t="shared" si="34"/>
        <v>27.91666666666654</v>
      </c>
      <c r="F348" s="45">
        <f t="shared" si="33"/>
        <v>45716.916666667472</v>
      </c>
      <c r="G348" s="52">
        <v>42</v>
      </c>
      <c r="H348" s="53">
        <v>41</v>
      </c>
      <c r="I348" s="54">
        <v>10.5</v>
      </c>
      <c r="J348" s="54">
        <v>400</v>
      </c>
      <c r="K348" s="55">
        <v>6.3</v>
      </c>
      <c r="L348" s="56">
        <v>41</v>
      </c>
      <c r="M348" s="54">
        <v>10.4</v>
      </c>
      <c r="N348" s="54">
        <v>400</v>
      </c>
      <c r="O348" s="57">
        <v>6.1</v>
      </c>
      <c r="P348" s="53">
        <v>40</v>
      </c>
      <c r="Q348" s="54">
        <v>10.199999999999999</v>
      </c>
      <c r="R348" s="55">
        <v>0</v>
      </c>
      <c r="S348" s="55">
        <v>6.1</v>
      </c>
      <c r="T348" s="57">
        <v>18.2</v>
      </c>
      <c r="U348" s="56">
        <v>40</v>
      </c>
      <c r="V348" s="54">
        <v>9.8000000000000007</v>
      </c>
      <c r="W348" s="55">
        <v>0</v>
      </c>
      <c r="X348" s="55">
        <v>5.6</v>
      </c>
      <c r="Y348" s="57">
        <v>15.3</v>
      </c>
      <c r="Z348" s="53">
        <v>40</v>
      </c>
      <c r="AA348" s="54">
        <v>9.1999999999999993</v>
      </c>
      <c r="AB348" s="55">
        <v>0</v>
      </c>
      <c r="AC348" s="55">
        <v>5.3</v>
      </c>
      <c r="AD348" s="57">
        <v>16.3</v>
      </c>
      <c r="AE348" s="56">
        <v>40</v>
      </c>
      <c r="AF348" s="54">
        <v>9.1999999999999993</v>
      </c>
      <c r="AG348" s="55">
        <v>0</v>
      </c>
      <c r="AH348" s="55">
        <v>5.5</v>
      </c>
      <c r="AI348" s="57">
        <v>14.4</v>
      </c>
      <c r="AJ348" s="56">
        <v>40</v>
      </c>
      <c r="AK348" s="54">
        <v>9.1999999999999993</v>
      </c>
      <c r="AL348" s="54">
        <v>0</v>
      </c>
      <c r="AM348" s="54">
        <v>5.6</v>
      </c>
      <c r="AN348" s="57">
        <v>7.6</v>
      </c>
      <c r="AO348" s="53">
        <v>40</v>
      </c>
      <c r="AP348" s="54">
        <v>9.1999999999999993</v>
      </c>
      <c r="AQ348" s="54">
        <v>130</v>
      </c>
      <c r="AR348" s="54">
        <v>5.3</v>
      </c>
      <c r="AS348" s="57">
        <v>17.3</v>
      </c>
      <c r="AT348" s="56">
        <v>35</v>
      </c>
      <c r="AU348" s="57">
        <v>90</v>
      </c>
      <c r="AV348" s="56">
        <v>67.460121154785199</v>
      </c>
      <c r="AW348" s="57"/>
      <c r="AX348" s="8"/>
      <c r="AZ348" s="1">
        <v>90</v>
      </c>
    </row>
    <row r="349" spans="3:52" ht="15" customHeight="1" x14ac:dyDescent="0.25">
      <c r="C349" s="42"/>
      <c r="D349" s="43">
        <f>D340</f>
        <v>45716</v>
      </c>
      <c r="E349" s="44">
        <f t="shared" si="34"/>
        <v>27.999999999999872</v>
      </c>
      <c r="F349" s="45">
        <f t="shared" si="33"/>
        <v>45717.000000000808</v>
      </c>
      <c r="G349" s="52">
        <v>39</v>
      </c>
      <c r="H349" s="53">
        <v>42</v>
      </c>
      <c r="I349" s="54">
        <v>10.9</v>
      </c>
      <c r="J349" s="54">
        <v>400</v>
      </c>
      <c r="K349" s="55">
        <v>6.3</v>
      </c>
      <c r="L349" s="56">
        <v>41</v>
      </c>
      <c r="M349" s="54">
        <v>10.5</v>
      </c>
      <c r="N349" s="54">
        <v>400</v>
      </c>
      <c r="O349" s="57">
        <v>6.3</v>
      </c>
      <c r="P349" s="53">
        <v>40</v>
      </c>
      <c r="Q349" s="54">
        <v>10.5</v>
      </c>
      <c r="R349" s="55">
        <v>0</v>
      </c>
      <c r="S349" s="55">
        <v>6.3</v>
      </c>
      <c r="T349" s="57">
        <v>18.2</v>
      </c>
      <c r="U349" s="56">
        <v>40</v>
      </c>
      <c r="V349" s="54">
        <v>10.199999999999999</v>
      </c>
      <c r="W349" s="55">
        <v>0</v>
      </c>
      <c r="X349" s="55">
        <v>5.9</v>
      </c>
      <c r="Y349" s="57">
        <v>15.3</v>
      </c>
      <c r="Z349" s="53">
        <v>40</v>
      </c>
      <c r="AA349" s="54">
        <v>9.8000000000000007</v>
      </c>
      <c r="AB349" s="55">
        <v>0</v>
      </c>
      <c r="AC349" s="55">
        <v>6.1</v>
      </c>
      <c r="AD349" s="57">
        <v>15.3</v>
      </c>
      <c r="AE349" s="56">
        <v>40</v>
      </c>
      <c r="AF349" s="54">
        <v>9.5</v>
      </c>
      <c r="AG349" s="55">
        <v>0</v>
      </c>
      <c r="AH349" s="55">
        <v>5.7</v>
      </c>
      <c r="AI349" s="57">
        <v>14.4</v>
      </c>
      <c r="AJ349" s="56">
        <v>40</v>
      </c>
      <c r="AK349" s="54">
        <v>9.3000000000000007</v>
      </c>
      <c r="AL349" s="54">
        <v>0</v>
      </c>
      <c r="AM349" s="54">
        <v>5.3</v>
      </c>
      <c r="AN349" s="57">
        <v>6.7</v>
      </c>
      <c r="AO349" s="53">
        <v>41</v>
      </c>
      <c r="AP349" s="54">
        <v>9.3000000000000007</v>
      </c>
      <c r="AQ349" s="54">
        <v>130</v>
      </c>
      <c r="AR349" s="54">
        <v>5.8</v>
      </c>
      <c r="AS349" s="57">
        <v>17.3</v>
      </c>
      <c r="AT349" s="56">
        <v>35</v>
      </c>
      <c r="AU349" s="57">
        <v>100</v>
      </c>
      <c r="AV349" s="56">
        <v>67.56591796875</v>
      </c>
      <c r="AW349" s="57"/>
      <c r="AX349" s="8"/>
      <c r="AZ349" s="1">
        <v>90</v>
      </c>
    </row>
    <row r="350" spans="3:52" ht="15" customHeight="1" x14ac:dyDescent="0.25">
      <c r="C350" s="42"/>
      <c r="D350" s="43">
        <f>D340</f>
        <v>45716</v>
      </c>
      <c r="E350" s="44">
        <f t="shared" si="34"/>
        <v>28.083333333333204</v>
      </c>
      <c r="F350" s="45">
        <f t="shared" si="33"/>
        <v>45717.083333334143</v>
      </c>
      <c r="G350" s="52">
        <v>40</v>
      </c>
      <c r="H350" s="53">
        <v>41</v>
      </c>
      <c r="I350" s="54">
        <v>10.1</v>
      </c>
      <c r="J350" s="54">
        <v>300</v>
      </c>
      <c r="K350" s="55">
        <v>7.1</v>
      </c>
      <c r="L350" s="56">
        <v>40</v>
      </c>
      <c r="M350" s="54">
        <v>10.199999999999999</v>
      </c>
      <c r="N350" s="54">
        <v>300</v>
      </c>
      <c r="O350" s="57">
        <v>6.7</v>
      </c>
      <c r="P350" s="53">
        <v>41</v>
      </c>
      <c r="Q350" s="54">
        <v>10.3</v>
      </c>
      <c r="R350" s="55">
        <v>0</v>
      </c>
      <c r="S350" s="55">
        <v>6.7</v>
      </c>
      <c r="T350" s="57">
        <v>18.2</v>
      </c>
      <c r="U350" s="56">
        <v>41</v>
      </c>
      <c r="V350" s="54">
        <v>10.3</v>
      </c>
      <c r="W350" s="55">
        <v>0</v>
      </c>
      <c r="X350" s="55">
        <v>6.5</v>
      </c>
      <c r="Y350" s="57">
        <v>14.4</v>
      </c>
      <c r="Z350" s="53">
        <v>41</v>
      </c>
      <c r="AA350" s="54">
        <v>9.8000000000000007</v>
      </c>
      <c r="AB350" s="55">
        <v>0</v>
      </c>
      <c r="AC350" s="55">
        <v>6.3</v>
      </c>
      <c r="AD350" s="57">
        <v>15.3</v>
      </c>
      <c r="AE350" s="56">
        <v>40</v>
      </c>
      <c r="AF350" s="54">
        <v>9.5</v>
      </c>
      <c r="AG350" s="55">
        <v>0</v>
      </c>
      <c r="AH350" s="55">
        <v>5.9</v>
      </c>
      <c r="AI350" s="57">
        <v>14.8</v>
      </c>
      <c r="AJ350" s="56">
        <v>40</v>
      </c>
      <c r="AK350" s="54">
        <v>9.3000000000000007</v>
      </c>
      <c r="AL350" s="54">
        <v>0</v>
      </c>
      <c r="AM350" s="54">
        <v>5.5</v>
      </c>
      <c r="AN350" s="57">
        <v>7.6</v>
      </c>
      <c r="AO350" s="53">
        <v>40</v>
      </c>
      <c r="AP350" s="54">
        <v>9.3000000000000007</v>
      </c>
      <c r="AQ350" s="54">
        <v>130</v>
      </c>
      <c r="AR350" s="54">
        <v>5.9</v>
      </c>
      <c r="AS350" s="57">
        <v>17.3</v>
      </c>
      <c r="AT350" s="56">
        <v>36</v>
      </c>
      <c r="AU350" s="57">
        <v>100</v>
      </c>
      <c r="AV350" s="56">
        <v>67.81005859375</v>
      </c>
      <c r="AW350" s="57"/>
      <c r="AX350" s="8"/>
      <c r="AZ350" s="1">
        <v>90</v>
      </c>
    </row>
    <row r="351" spans="3:52" ht="15" customHeight="1" x14ac:dyDescent="0.25">
      <c r="C351" s="42"/>
      <c r="D351" s="69">
        <f>D340</f>
        <v>45716</v>
      </c>
      <c r="E351" s="70">
        <f t="shared" si="34"/>
        <v>28.166666666666536</v>
      </c>
      <c r="F351" s="71">
        <f t="shared" si="33"/>
        <v>45717.166666667479</v>
      </c>
      <c r="G351" s="60">
        <v>39</v>
      </c>
      <c r="H351" s="61">
        <v>42</v>
      </c>
      <c r="I351" s="62">
        <v>9.6999999999999993</v>
      </c>
      <c r="J351" s="62">
        <v>250</v>
      </c>
      <c r="K351" s="63">
        <v>7.3</v>
      </c>
      <c r="L351" s="64">
        <v>40</v>
      </c>
      <c r="M351" s="62">
        <v>9.9</v>
      </c>
      <c r="N351" s="62">
        <v>300</v>
      </c>
      <c r="O351" s="65">
        <v>6.3</v>
      </c>
      <c r="P351" s="61">
        <v>40</v>
      </c>
      <c r="Q351" s="62">
        <v>10.3</v>
      </c>
      <c r="R351" s="63">
        <v>0</v>
      </c>
      <c r="S351" s="63">
        <v>6.3</v>
      </c>
      <c r="T351" s="65">
        <v>18.2</v>
      </c>
      <c r="U351" s="64">
        <v>41</v>
      </c>
      <c r="V351" s="62">
        <v>10.199999999999999</v>
      </c>
      <c r="W351" s="63">
        <v>0</v>
      </c>
      <c r="X351" s="63">
        <v>6.5</v>
      </c>
      <c r="Y351" s="65">
        <v>15.3</v>
      </c>
      <c r="Z351" s="61">
        <v>41</v>
      </c>
      <c r="AA351" s="62">
        <v>10</v>
      </c>
      <c r="AB351" s="63">
        <v>0</v>
      </c>
      <c r="AC351" s="63">
        <v>6.3</v>
      </c>
      <c r="AD351" s="65">
        <v>16.3</v>
      </c>
      <c r="AE351" s="64">
        <v>41</v>
      </c>
      <c r="AF351" s="62">
        <v>9.6999999999999993</v>
      </c>
      <c r="AG351" s="63">
        <v>0</v>
      </c>
      <c r="AH351" s="63">
        <v>6.2</v>
      </c>
      <c r="AI351" s="65">
        <v>14.4</v>
      </c>
      <c r="AJ351" s="64">
        <v>39</v>
      </c>
      <c r="AK351" s="62">
        <v>9.5</v>
      </c>
      <c r="AL351" s="62">
        <v>0</v>
      </c>
      <c r="AM351" s="62">
        <v>5.8</v>
      </c>
      <c r="AN351" s="65">
        <v>7.6</v>
      </c>
      <c r="AO351" s="61">
        <v>40</v>
      </c>
      <c r="AP351" s="62">
        <v>9.4</v>
      </c>
      <c r="AQ351" s="62">
        <v>150</v>
      </c>
      <c r="AR351" s="62">
        <v>5.7</v>
      </c>
      <c r="AS351" s="65">
        <v>18.2</v>
      </c>
      <c r="AT351" s="64">
        <v>35</v>
      </c>
      <c r="AU351" s="65">
        <v>120</v>
      </c>
      <c r="AV351" s="64">
        <v>67.63916015625</v>
      </c>
      <c r="AW351" s="65"/>
      <c r="AX351" s="8"/>
      <c r="AZ351" s="1">
        <v>90</v>
      </c>
    </row>
    <row r="352" spans="3:52" ht="15" customHeight="1" x14ac:dyDescent="0.25">
      <c r="C352" s="42">
        <f>DAY(D352)</f>
        <v>1</v>
      </c>
      <c r="D352" s="66">
        <f>D340+1</f>
        <v>45717</v>
      </c>
      <c r="E352" s="67">
        <f>E351+2/24</f>
        <v>28.249999999999869</v>
      </c>
      <c r="F352" s="68">
        <f t="shared" si="33"/>
        <v>45717.250000000815</v>
      </c>
      <c r="G352" s="46">
        <v>39</v>
      </c>
      <c r="H352" s="47">
        <v>42</v>
      </c>
      <c r="I352" s="48">
        <v>9.9</v>
      </c>
      <c r="J352" s="48">
        <v>250</v>
      </c>
      <c r="K352" s="49">
        <v>6.9</v>
      </c>
      <c r="L352" s="50">
        <v>41</v>
      </c>
      <c r="M352" s="48">
        <v>10</v>
      </c>
      <c r="N352" s="48">
        <v>250</v>
      </c>
      <c r="O352" s="51">
        <v>6.5</v>
      </c>
      <c r="P352" s="47">
        <v>40</v>
      </c>
      <c r="Q352" s="48">
        <v>10.4</v>
      </c>
      <c r="R352" s="49">
        <v>0</v>
      </c>
      <c r="S352" s="49">
        <v>6.5</v>
      </c>
      <c r="T352" s="51">
        <v>18.2</v>
      </c>
      <c r="U352" s="50">
        <v>41</v>
      </c>
      <c r="V352" s="48">
        <v>10.199999999999999</v>
      </c>
      <c r="W352" s="49">
        <v>0</v>
      </c>
      <c r="X352" s="49">
        <v>6.7</v>
      </c>
      <c r="Y352" s="51">
        <v>15.3</v>
      </c>
      <c r="Z352" s="47">
        <v>41</v>
      </c>
      <c r="AA352" s="48">
        <v>10</v>
      </c>
      <c r="AB352" s="49">
        <v>0</v>
      </c>
      <c r="AC352" s="49">
        <v>6.5</v>
      </c>
      <c r="AD352" s="51">
        <v>16.3</v>
      </c>
      <c r="AE352" s="50">
        <v>40</v>
      </c>
      <c r="AF352" s="48">
        <v>9.6999999999999993</v>
      </c>
      <c r="AG352" s="49">
        <v>0</v>
      </c>
      <c r="AH352" s="49">
        <v>6.88</v>
      </c>
      <c r="AI352" s="51">
        <v>14.4</v>
      </c>
      <c r="AJ352" s="50">
        <v>39</v>
      </c>
      <c r="AK352" s="48">
        <v>9.5</v>
      </c>
      <c r="AL352" s="48">
        <v>0</v>
      </c>
      <c r="AM352" s="48">
        <v>5.7</v>
      </c>
      <c r="AN352" s="51">
        <v>7.6</v>
      </c>
      <c r="AO352" s="47">
        <v>40</v>
      </c>
      <c r="AP352" s="48">
        <v>9.4</v>
      </c>
      <c r="AQ352" s="48">
        <v>150</v>
      </c>
      <c r="AR352" s="48">
        <v>5.9</v>
      </c>
      <c r="AS352" s="51">
        <v>18.2</v>
      </c>
      <c r="AT352" s="50">
        <v>35</v>
      </c>
      <c r="AU352" s="51">
        <v>130</v>
      </c>
      <c r="AV352" s="50"/>
      <c r="AW352" s="51"/>
      <c r="AX352" s="8"/>
      <c r="AZ352" s="1">
        <v>90</v>
      </c>
    </row>
    <row r="353" spans="3:52" ht="15" customHeight="1" x14ac:dyDescent="0.25">
      <c r="C353" s="42"/>
      <c r="D353" s="43">
        <f>D352</f>
        <v>45717</v>
      </c>
      <c r="E353" s="44">
        <f>E352+2/24</f>
        <v>28.333333333333201</v>
      </c>
      <c r="F353" s="45">
        <f t="shared" si="33"/>
        <v>45717.333333334151</v>
      </c>
      <c r="G353" s="52"/>
      <c r="H353" s="53"/>
      <c r="I353" s="54"/>
      <c r="J353" s="54"/>
      <c r="K353" s="55"/>
      <c r="L353" s="56"/>
      <c r="M353" s="54"/>
      <c r="N353" s="54"/>
      <c r="O353" s="57"/>
      <c r="P353" s="53"/>
      <c r="Q353" s="54"/>
      <c r="R353" s="55"/>
      <c r="S353" s="55"/>
      <c r="T353" s="57"/>
      <c r="U353" s="56"/>
      <c r="V353" s="54"/>
      <c r="W353" s="55"/>
      <c r="X353" s="55"/>
      <c r="Y353" s="57"/>
      <c r="Z353" s="53"/>
      <c r="AA353" s="54"/>
      <c r="AB353" s="55"/>
      <c r="AC353" s="55"/>
      <c r="AD353" s="57"/>
      <c r="AE353" s="56"/>
      <c r="AF353" s="54"/>
      <c r="AG353" s="55"/>
      <c r="AH353" s="55"/>
      <c r="AI353" s="57"/>
      <c r="AJ353" s="56"/>
      <c r="AK353" s="54"/>
      <c r="AL353" s="54"/>
      <c r="AM353" s="54"/>
      <c r="AN353" s="57"/>
      <c r="AO353" s="53"/>
      <c r="AP353" s="54"/>
      <c r="AQ353" s="54"/>
      <c r="AR353" s="54"/>
      <c r="AS353" s="57"/>
      <c r="AT353" s="56"/>
      <c r="AU353" s="57"/>
      <c r="AV353" s="56"/>
      <c r="AW353" s="57"/>
      <c r="AX353" s="8"/>
      <c r="AZ353" s="1">
        <v>90</v>
      </c>
    </row>
    <row r="354" spans="3:52" ht="15" customHeight="1" x14ac:dyDescent="0.25">
      <c r="C354" s="42"/>
      <c r="D354" s="43">
        <f>D352</f>
        <v>45717</v>
      </c>
      <c r="E354" s="44">
        <f t="shared" ref="E354:E363" si="35">E353+2/24</f>
        <v>28.416666666666533</v>
      </c>
      <c r="F354" s="45">
        <f t="shared" si="33"/>
        <v>45717.416666667486</v>
      </c>
      <c r="G354" s="52"/>
      <c r="H354" s="53"/>
      <c r="I354" s="54"/>
      <c r="J354" s="54"/>
      <c r="K354" s="55"/>
      <c r="L354" s="56"/>
      <c r="M354" s="54"/>
      <c r="N354" s="54"/>
      <c r="O354" s="57"/>
      <c r="P354" s="53"/>
      <c r="Q354" s="54"/>
      <c r="R354" s="55"/>
      <c r="S354" s="55"/>
      <c r="T354" s="57"/>
      <c r="U354" s="56"/>
      <c r="V354" s="54"/>
      <c r="W354" s="55"/>
      <c r="X354" s="55"/>
      <c r="Y354" s="57"/>
      <c r="Z354" s="53"/>
      <c r="AA354" s="54"/>
      <c r="AB354" s="55"/>
      <c r="AC354" s="55"/>
      <c r="AD354" s="57"/>
      <c r="AE354" s="56"/>
      <c r="AF354" s="54"/>
      <c r="AG354" s="55"/>
      <c r="AH354" s="55"/>
      <c r="AI354" s="57"/>
      <c r="AJ354" s="56"/>
      <c r="AK354" s="54"/>
      <c r="AL354" s="54"/>
      <c r="AM354" s="54"/>
      <c r="AN354" s="57"/>
      <c r="AO354" s="53"/>
      <c r="AP354" s="54"/>
      <c r="AQ354" s="54"/>
      <c r="AR354" s="54"/>
      <c r="AS354" s="57"/>
      <c r="AT354" s="56"/>
      <c r="AU354" s="57"/>
      <c r="AV354" s="56"/>
      <c r="AW354" s="57"/>
      <c r="AX354" s="8"/>
      <c r="AZ354" s="1">
        <v>90</v>
      </c>
    </row>
    <row r="355" spans="3:52" ht="15" customHeight="1" x14ac:dyDescent="0.25">
      <c r="C355" s="42"/>
      <c r="D355" s="43">
        <f>D352</f>
        <v>45717</v>
      </c>
      <c r="E355" s="44">
        <f t="shared" si="35"/>
        <v>28.499999999999865</v>
      </c>
      <c r="F355" s="45">
        <f t="shared" si="33"/>
        <v>45717.500000000822</v>
      </c>
      <c r="G355" s="52"/>
      <c r="H355" s="53"/>
      <c r="I355" s="54"/>
      <c r="J355" s="54"/>
      <c r="K355" s="55"/>
      <c r="L355" s="56"/>
      <c r="M355" s="54"/>
      <c r="N355" s="54"/>
      <c r="O355" s="57"/>
      <c r="P355" s="53"/>
      <c r="Q355" s="54"/>
      <c r="R355" s="55"/>
      <c r="S355" s="55"/>
      <c r="T355" s="57"/>
      <c r="U355" s="56"/>
      <c r="V355" s="54"/>
      <c r="W355" s="55"/>
      <c r="X355" s="55"/>
      <c r="Y355" s="57"/>
      <c r="Z355" s="53"/>
      <c r="AA355" s="54"/>
      <c r="AB355" s="55"/>
      <c r="AC355" s="55"/>
      <c r="AD355" s="57"/>
      <c r="AE355" s="56"/>
      <c r="AF355" s="54"/>
      <c r="AG355" s="55"/>
      <c r="AH355" s="55"/>
      <c r="AI355" s="57"/>
      <c r="AJ355" s="56"/>
      <c r="AK355" s="54"/>
      <c r="AL355" s="54"/>
      <c r="AM355" s="54"/>
      <c r="AN355" s="57"/>
      <c r="AO355" s="53"/>
      <c r="AP355" s="54"/>
      <c r="AQ355" s="54"/>
      <c r="AR355" s="54"/>
      <c r="AS355" s="57"/>
      <c r="AT355" s="56"/>
      <c r="AU355" s="57"/>
      <c r="AV355" s="56"/>
      <c r="AW355" s="57"/>
      <c r="AX355" s="8"/>
      <c r="AZ355" s="1">
        <v>90</v>
      </c>
    </row>
    <row r="356" spans="3:52" ht="15" customHeight="1" x14ac:dyDescent="0.25">
      <c r="C356" s="42"/>
      <c r="D356" s="43">
        <f>D352</f>
        <v>45717</v>
      </c>
      <c r="E356" s="44">
        <f t="shared" si="35"/>
        <v>28.583333333333197</v>
      </c>
      <c r="F356" s="45">
        <f t="shared" si="33"/>
        <v>45717.583333334158</v>
      </c>
      <c r="G356" s="52"/>
      <c r="H356" s="53"/>
      <c r="I356" s="54"/>
      <c r="J356" s="54"/>
      <c r="K356" s="55"/>
      <c r="L356" s="56"/>
      <c r="M356" s="54"/>
      <c r="N356" s="54"/>
      <c r="O356" s="57"/>
      <c r="P356" s="53"/>
      <c r="Q356" s="54"/>
      <c r="R356" s="55"/>
      <c r="S356" s="55"/>
      <c r="T356" s="57"/>
      <c r="U356" s="56"/>
      <c r="V356" s="54"/>
      <c r="W356" s="55"/>
      <c r="X356" s="55"/>
      <c r="Y356" s="57"/>
      <c r="Z356" s="53"/>
      <c r="AA356" s="54"/>
      <c r="AB356" s="55"/>
      <c r="AC356" s="55"/>
      <c r="AD356" s="57"/>
      <c r="AE356" s="56"/>
      <c r="AF356" s="54"/>
      <c r="AG356" s="55"/>
      <c r="AH356" s="55"/>
      <c r="AI356" s="57"/>
      <c r="AJ356" s="56"/>
      <c r="AK356" s="54"/>
      <c r="AL356" s="54"/>
      <c r="AM356" s="54"/>
      <c r="AN356" s="57"/>
      <c r="AO356" s="53"/>
      <c r="AP356" s="54"/>
      <c r="AQ356" s="54"/>
      <c r="AR356" s="54"/>
      <c r="AS356" s="57"/>
      <c r="AT356" s="56"/>
      <c r="AU356" s="57"/>
      <c r="AV356" s="56"/>
      <c r="AW356" s="57"/>
      <c r="AX356" s="8"/>
      <c r="AZ356" s="1">
        <v>90</v>
      </c>
    </row>
    <row r="357" spans="3:52" ht="15" customHeight="1" x14ac:dyDescent="0.25">
      <c r="C357" s="42"/>
      <c r="D357" s="43">
        <f>D352</f>
        <v>45717</v>
      </c>
      <c r="E357" s="44">
        <f t="shared" si="35"/>
        <v>28.666666666666529</v>
      </c>
      <c r="F357" s="45">
        <f t="shared" si="33"/>
        <v>45717.666666667494</v>
      </c>
      <c r="G357" s="52"/>
      <c r="H357" s="53"/>
      <c r="I357" s="54"/>
      <c r="J357" s="54"/>
      <c r="K357" s="55"/>
      <c r="L357" s="56"/>
      <c r="M357" s="54"/>
      <c r="N357" s="54"/>
      <c r="O357" s="57"/>
      <c r="P357" s="53"/>
      <c r="Q357" s="54"/>
      <c r="R357" s="55"/>
      <c r="S357" s="55"/>
      <c r="T357" s="57"/>
      <c r="U357" s="56"/>
      <c r="V357" s="54"/>
      <c r="W357" s="55"/>
      <c r="X357" s="55"/>
      <c r="Y357" s="57"/>
      <c r="Z357" s="53"/>
      <c r="AA357" s="54"/>
      <c r="AB357" s="55"/>
      <c r="AC357" s="55"/>
      <c r="AD357" s="57"/>
      <c r="AE357" s="56"/>
      <c r="AF357" s="54"/>
      <c r="AG357" s="55"/>
      <c r="AH357" s="55"/>
      <c r="AI357" s="57"/>
      <c r="AJ357" s="56"/>
      <c r="AK357" s="54"/>
      <c r="AL357" s="54"/>
      <c r="AM357" s="54"/>
      <c r="AN357" s="57"/>
      <c r="AO357" s="53"/>
      <c r="AP357" s="54"/>
      <c r="AQ357" s="54"/>
      <c r="AR357" s="54"/>
      <c r="AS357" s="57"/>
      <c r="AT357" s="56"/>
      <c r="AU357" s="57"/>
      <c r="AV357" s="56"/>
      <c r="AW357" s="57"/>
      <c r="AX357" s="8"/>
      <c r="AZ357" s="1">
        <v>90</v>
      </c>
    </row>
    <row r="358" spans="3:52" ht="15" customHeight="1" x14ac:dyDescent="0.25">
      <c r="C358" s="42"/>
      <c r="D358" s="43">
        <f>D352</f>
        <v>45717</v>
      </c>
      <c r="E358" s="44">
        <f t="shared" si="35"/>
        <v>28.749999999999861</v>
      </c>
      <c r="F358" s="45">
        <f t="shared" si="33"/>
        <v>45717.750000000829</v>
      </c>
      <c r="G358" s="52"/>
      <c r="H358" s="53"/>
      <c r="I358" s="54"/>
      <c r="J358" s="54"/>
      <c r="K358" s="55"/>
      <c r="L358" s="56"/>
      <c r="M358" s="54"/>
      <c r="N358" s="54"/>
      <c r="O358" s="57"/>
      <c r="P358" s="53"/>
      <c r="Q358" s="54"/>
      <c r="R358" s="55"/>
      <c r="S358" s="55"/>
      <c r="T358" s="57"/>
      <c r="U358" s="56"/>
      <c r="V358" s="54"/>
      <c r="W358" s="55"/>
      <c r="X358" s="55"/>
      <c r="Y358" s="57"/>
      <c r="Z358" s="53"/>
      <c r="AA358" s="54"/>
      <c r="AB358" s="55"/>
      <c r="AC358" s="55"/>
      <c r="AD358" s="57"/>
      <c r="AE358" s="56"/>
      <c r="AF358" s="54"/>
      <c r="AG358" s="55"/>
      <c r="AH358" s="55"/>
      <c r="AI358" s="57"/>
      <c r="AJ358" s="56"/>
      <c r="AK358" s="54"/>
      <c r="AL358" s="54"/>
      <c r="AM358" s="54"/>
      <c r="AN358" s="57"/>
      <c r="AO358" s="53"/>
      <c r="AP358" s="54"/>
      <c r="AQ358" s="54"/>
      <c r="AR358" s="54"/>
      <c r="AS358" s="57"/>
      <c r="AT358" s="56"/>
      <c r="AU358" s="57"/>
      <c r="AV358" s="56"/>
      <c r="AW358" s="57"/>
      <c r="AX358" s="8"/>
      <c r="AZ358" s="1">
        <v>90</v>
      </c>
    </row>
    <row r="359" spans="3:52" ht="15" customHeight="1" x14ac:dyDescent="0.25">
      <c r="C359" s="42"/>
      <c r="D359" s="43">
        <f>D352</f>
        <v>45717</v>
      </c>
      <c r="E359" s="44">
        <f t="shared" si="35"/>
        <v>28.833333333333194</v>
      </c>
      <c r="F359" s="45">
        <f t="shared" si="33"/>
        <v>45717.833333334165</v>
      </c>
      <c r="G359" s="52"/>
      <c r="H359" s="53"/>
      <c r="I359" s="54"/>
      <c r="J359" s="54"/>
      <c r="K359" s="55"/>
      <c r="L359" s="56"/>
      <c r="M359" s="54"/>
      <c r="N359" s="54"/>
      <c r="O359" s="57"/>
      <c r="P359" s="53"/>
      <c r="Q359" s="54"/>
      <c r="R359" s="55"/>
      <c r="S359" s="55"/>
      <c r="T359" s="57"/>
      <c r="U359" s="56"/>
      <c r="V359" s="54"/>
      <c r="W359" s="55"/>
      <c r="X359" s="55"/>
      <c r="Y359" s="57"/>
      <c r="Z359" s="53"/>
      <c r="AA359" s="54"/>
      <c r="AB359" s="55"/>
      <c r="AC359" s="55"/>
      <c r="AD359" s="57"/>
      <c r="AE359" s="56"/>
      <c r="AF359" s="54"/>
      <c r="AG359" s="55"/>
      <c r="AH359" s="55"/>
      <c r="AI359" s="57"/>
      <c r="AJ359" s="56"/>
      <c r="AK359" s="54"/>
      <c r="AL359" s="54"/>
      <c r="AM359" s="54"/>
      <c r="AN359" s="57"/>
      <c r="AO359" s="53"/>
      <c r="AP359" s="54"/>
      <c r="AQ359" s="54"/>
      <c r="AR359" s="54"/>
      <c r="AS359" s="57"/>
      <c r="AT359" s="56"/>
      <c r="AU359" s="57"/>
      <c r="AV359" s="56"/>
      <c r="AW359" s="57"/>
      <c r="AX359" s="8"/>
      <c r="AZ359" s="1">
        <v>90</v>
      </c>
    </row>
    <row r="360" spans="3:52" ht="15" customHeight="1" x14ac:dyDescent="0.25">
      <c r="C360" s="42"/>
      <c r="D360" s="43">
        <f>D352</f>
        <v>45717</v>
      </c>
      <c r="E360" s="44">
        <f t="shared" si="35"/>
        <v>28.916666666666526</v>
      </c>
      <c r="F360" s="45">
        <f t="shared" si="33"/>
        <v>45717.916666667501</v>
      </c>
      <c r="G360" s="52"/>
      <c r="H360" s="53"/>
      <c r="I360" s="54"/>
      <c r="J360" s="54"/>
      <c r="K360" s="55"/>
      <c r="L360" s="56"/>
      <c r="M360" s="54"/>
      <c r="N360" s="54"/>
      <c r="O360" s="57"/>
      <c r="P360" s="53"/>
      <c r="Q360" s="54"/>
      <c r="R360" s="55"/>
      <c r="S360" s="55"/>
      <c r="T360" s="57"/>
      <c r="U360" s="56"/>
      <c r="V360" s="54"/>
      <c r="W360" s="55"/>
      <c r="X360" s="55"/>
      <c r="Y360" s="57"/>
      <c r="Z360" s="53"/>
      <c r="AA360" s="54"/>
      <c r="AB360" s="55"/>
      <c r="AC360" s="55"/>
      <c r="AD360" s="57"/>
      <c r="AE360" s="56"/>
      <c r="AF360" s="54"/>
      <c r="AG360" s="55"/>
      <c r="AH360" s="55"/>
      <c r="AI360" s="57"/>
      <c r="AJ360" s="56"/>
      <c r="AK360" s="54"/>
      <c r="AL360" s="54"/>
      <c r="AM360" s="54"/>
      <c r="AN360" s="57"/>
      <c r="AO360" s="53"/>
      <c r="AP360" s="54"/>
      <c r="AQ360" s="54"/>
      <c r="AR360" s="54"/>
      <c r="AS360" s="57"/>
      <c r="AT360" s="56"/>
      <c r="AU360" s="57"/>
      <c r="AV360" s="56"/>
      <c r="AW360" s="57"/>
      <c r="AX360" s="8"/>
      <c r="AZ360" s="1">
        <v>90</v>
      </c>
    </row>
    <row r="361" spans="3:52" ht="15" customHeight="1" x14ac:dyDescent="0.25">
      <c r="C361" s="42"/>
      <c r="D361" s="43">
        <f>D352</f>
        <v>45717</v>
      </c>
      <c r="E361" s="44">
        <f t="shared" si="35"/>
        <v>28.999999999999858</v>
      </c>
      <c r="F361" s="45">
        <f t="shared" si="33"/>
        <v>45718.000000000837</v>
      </c>
      <c r="G361" s="52"/>
      <c r="H361" s="53"/>
      <c r="I361" s="54"/>
      <c r="J361" s="54"/>
      <c r="K361" s="55"/>
      <c r="L361" s="56"/>
      <c r="M361" s="54"/>
      <c r="N361" s="54"/>
      <c r="O361" s="57"/>
      <c r="P361" s="53"/>
      <c r="Q361" s="54"/>
      <c r="R361" s="55"/>
      <c r="S361" s="55"/>
      <c r="T361" s="57"/>
      <c r="U361" s="56"/>
      <c r="V361" s="54"/>
      <c r="W361" s="55"/>
      <c r="X361" s="55"/>
      <c r="Y361" s="57"/>
      <c r="Z361" s="53"/>
      <c r="AA361" s="54"/>
      <c r="AB361" s="55"/>
      <c r="AC361" s="55"/>
      <c r="AD361" s="57"/>
      <c r="AE361" s="56"/>
      <c r="AF361" s="54"/>
      <c r="AG361" s="55"/>
      <c r="AH361" s="55"/>
      <c r="AI361" s="57"/>
      <c r="AJ361" s="56"/>
      <c r="AK361" s="54"/>
      <c r="AL361" s="54"/>
      <c r="AM361" s="54"/>
      <c r="AN361" s="57"/>
      <c r="AO361" s="53"/>
      <c r="AP361" s="54"/>
      <c r="AQ361" s="54"/>
      <c r="AR361" s="54"/>
      <c r="AS361" s="57"/>
      <c r="AT361" s="56"/>
      <c r="AU361" s="57"/>
      <c r="AV361" s="56"/>
      <c r="AW361" s="57"/>
      <c r="AX361" s="8"/>
      <c r="AZ361" s="1">
        <v>90</v>
      </c>
    </row>
    <row r="362" spans="3:52" ht="15" customHeight="1" x14ac:dyDescent="0.25">
      <c r="C362" s="42"/>
      <c r="D362" s="43">
        <f>D352</f>
        <v>45717</v>
      </c>
      <c r="E362" s="44">
        <f t="shared" si="35"/>
        <v>29.08333333333319</v>
      </c>
      <c r="F362" s="45">
        <f t="shared" si="33"/>
        <v>45718.083333334172</v>
      </c>
      <c r="G362" s="52"/>
      <c r="H362" s="53"/>
      <c r="I362" s="54"/>
      <c r="J362" s="54"/>
      <c r="K362" s="55"/>
      <c r="L362" s="56"/>
      <c r="M362" s="54"/>
      <c r="N362" s="54"/>
      <c r="O362" s="57"/>
      <c r="P362" s="53"/>
      <c r="Q362" s="54"/>
      <c r="R362" s="55"/>
      <c r="S362" s="55"/>
      <c r="T362" s="57"/>
      <c r="U362" s="56"/>
      <c r="V362" s="54"/>
      <c r="W362" s="55"/>
      <c r="X362" s="55"/>
      <c r="Y362" s="57"/>
      <c r="Z362" s="53"/>
      <c r="AA362" s="54"/>
      <c r="AB362" s="55"/>
      <c r="AC362" s="55"/>
      <c r="AD362" s="57"/>
      <c r="AE362" s="56"/>
      <c r="AF362" s="54"/>
      <c r="AG362" s="55"/>
      <c r="AH362" s="55"/>
      <c r="AI362" s="57"/>
      <c r="AJ362" s="56"/>
      <c r="AK362" s="54"/>
      <c r="AL362" s="54"/>
      <c r="AM362" s="54"/>
      <c r="AN362" s="57"/>
      <c r="AO362" s="53"/>
      <c r="AP362" s="54"/>
      <c r="AQ362" s="54"/>
      <c r="AR362" s="54"/>
      <c r="AS362" s="57"/>
      <c r="AT362" s="56"/>
      <c r="AU362" s="57"/>
      <c r="AV362" s="56"/>
      <c r="AW362" s="57"/>
      <c r="AX362" s="8"/>
      <c r="AZ362" s="1">
        <v>90</v>
      </c>
    </row>
    <row r="363" spans="3:52" ht="15" customHeight="1" x14ac:dyDescent="0.25">
      <c r="C363" s="42"/>
      <c r="D363" s="69">
        <f>D352</f>
        <v>45717</v>
      </c>
      <c r="E363" s="70">
        <f t="shared" si="35"/>
        <v>29.166666666666522</v>
      </c>
      <c r="F363" s="71">
        <f t="shared" si="33"/>
        <v>45718.166666667508</v>
      </c>
      <c r="G363" s="60"/>
      <c r="H363" s="61"/>
      <c r="I363" s="62"/>
      <c r="J363" s="62"/>
      <c r="K363" s="63"/>
      <c r="L363" s="64"/>
      <c r="M363" s="62"/>
      <c r="N363" s="62"/>
      <c r="O363" s="65"/>
      <c r="P363" s="61"/>
      <c r="Q363" s="62"/>
      <c r="R363" s="63"/>
      <c r="S363" s="63"/>
      <c r="T363" s="65"/>
      <c r="U363" s="64"/>
      <c r="V363" s="62"/>
      <c r="W363" s="63"/>
      <c r="X363" s="63"/>
      <c r="Y363" s="65"/>
      <c r="Z363" s="61"/>
      <c r="AA363" s="62"/>
      <c r="AB363" s="63"/>
      <c r="AC363" s="63"/>
      <c r="AD363" s="65"/>
      <c r="AE363" s="64"/>
      <c r="AF363" s="62"/>
      <c r="AG363" s="63"/>
      <c r="AH363" s="63"/>
      <c r="AI363" s="65"/>
      <c r="AJ363" s="64"/>
      <c r="AK363" s="62"/>
      <c r="AL363" s="62"/>
      <c r="AM363" s="62"/>
      <c r="AN363" s="65"/>
      <c r="AO363" s="61"/>
      <c r="AP363" s="62"/>
      <c r="AQ363" s="62"/>
      <c r="AR363" s="62"/>
      <c r="AS363" s="65"/>
      <c r="AT363" s="64"/>
      <c r="AU363" s="65"/>
      <c r="AV363" s="64"/>
      <c r="AW363" s="65"/>
      <c r="AX363" s="8"/>
      <c r="AZ363" s="1">
        <v>90</v>
      </c>
    </row>
    <row r="364" spans="3:52" ht="15" customHeight="1" x14ac:dyDescent="0.25">
      <c r="C364" s="42">
        <f>DAY(D364)</f>
        <v>2</v>
      </c>
      <c r="D364" s="66">
        <f>D352+1</f>
        <v>45718</v>
      </c>
      <c r="E364" s="67">
        <f>E363+2/24</f>
        <v>29.249999999999854</v>
      </c>
      <c r="F364" s="68">
        <f t="shared" si="33"/>
        <v>45718.250000000844</v>
      </c>
      <c r="G364" s="46"/>
      <c r="H364" s="47"/>
      <c r="I364" s="48"/>
      <c r="J364" s="48"/>
      <c r="K364" s="49"/>
      <c r="L364" s="50"/>
      <c r="M364" s="48"/>
      <c r="N364" s="48"/>
      <c r="O364" s="51"/>
      <c r="P364" s="47"/>
      <c r="Q364" s="48"/>
      <c r="R364" s="49"/>
      <c r="S364" s="49"/>
      <c r="T364" s="51"/>
      <c r="U364" s="50"/>
      <c r="V364" s="48"/>
      <c r="W364" s="49"/>
      <c r="X364" s="49"/>
      <c r="Y364" s="51"/>
      <c r="Z364" s="47"/>
      <c r="AA364" s="48"/>
      <c r="AB364" s="49"/>
      <c r="AC364" s="49"/>
      <c r="AD364" s="51"/>
      <c r="AE364" s="50"/>
      <c r="AF364" s="48"/>
      <c r="AG364" s="49"/>
      <c r="AH364" s="49"/>
      <c r="AI364" s="51"/>
      <c r="AJ364" s="50"/>
      <c r="AK364" s="48"/>
      <c r="AL364" s="48"/>
      <c r="AM364" s="48"/>
      <c r="AN364" s="51"/>
      <c r="AO364" s="47"/>
      <c r="AP364" s="48"/>
      <c r="AQ364" s="48"/>
      <c r="AR364" s="48"/>
      <c r="AS364" s="51"/>
      <c r="AT364" s="50"/>
      <c r="AU364" s="51"/>
      <c r="AV364" s="50"/>
      <c r="AW364" s="51"/>
      <c r="AX364" s="8"/>
      <c r="AZ364" s="1">
        <v>90</v>
      </c>
    </row>
    <row r="365" spans="3:52" ht="15" customHeight="1" x14ac:dyDescent="0.25">
      <c r="C365" s="42"/>
      <c r="D365" s="43">
        <f>D364</f>
        <v>45718</v>
      </c>
      <c r="E365" s="44">
        <f>E364+2/24</f>
        <v>29.333333333333186</v>
      </c>
      <c r="F365" s="45">
        <f t="shared" si="33"/>
        <v>45718.33333333418</v>
      </c>
      <c r="G365" s="52"/>
      <c r="H365" s="53"/>
      <c r="I365" s="54"/>
      <c r="J365" s="54"/>
      <c r="K365" s="55"/>
      <c r="L365" s="56"/>
      <c r="M365" s="54"/>
      <c r="N365" s="54"/>
      <c r="O365" s="57"/>
      <c r="P365" s="53"/>
      <c r="Q365" s="54"/>
      <c r="R365" s="55"/>
      <c r="S365" s="55"/>
      <c r="T365" s="57"/>
      <c r="U365" s="56"/>
      <c r="V365" s="54"/>
      <c r="W365" s="55"/>
      <c r="X365" s="55"/>
      <c r="Y365" s="57"/>
      <c r="Z365" s="53"/>
      <c r="AA365" s="54"/>
      <c r="AB365" s="55"/>
      <c r="AC365" s="55"/>
      <c r="AD365" s="57"/>
      <c r="AE365" s="56"/>
      <c r="AF365" s="54"/>
      <c r="AG365" s="55"/>
      <c r="AH365" s="55"/>
      <c r="AI365" s="57"/>
      <c r="AJ365" s="56"/>
      <c r="AK365" s="54"/>
      <c r="AL365" s="54"/>
      <c r="AM365" s="54"/>
      <c r="AN365" s="57"/>
      <c r="AO365" s="53"/>
      <c r="AP365" s="54"/>
      <c r="AQ365" s="54"/>
      <c r="AR365" s="54"/>
      <c r="AS365" s="57"/>
      <c r="AT365" s="56"/>
      <c r="AU365" s="57"/>
      <c r="AV365" s="56"/>
      <c r="AW365" s="57"/>
      <c r="AX365" s="8"/>
      <c r="AZ365" s="1">
        <v>90</v>
      </c>
    </row>
    <row r="366" spans="3:52" ht="15" customHeight="1" x14ac:dyDescent="0.25">
      <c r="C366" s="42"/>
      <c r="D366" s="43">
        <f>D364</f>
        <v>45718</v>
      </c>
      <c r="E366" s="44">
        <f t="shared" ref="E366:E375" si="36">E365+2/24</f>
        <v>29.416666666666519</v>
      </c>
      <c r="F366" s="45">
        <f t="shared" si="33"/>
        <v>45718.416666667516</v>
      </c>
      <c r="G366" s="52"/>
      <c r="H366" s="53"/>
      <c r="I366" s="54"/>
      <c r="J366" s="54"/>
      <c r="K366" s="55"/>
      <c r="L366" s="56"/>
      <c r="M366" s="54"/>
      <c r="N366" s="54"/>
      <c r="O366" s="57"/>
      <c r="P366" s="53"/>
      <c r="Q366" s="54"/>
      <c r="R366" s="55"/>
      <c r="S366" s="55"/>
      <c r="T366" s="57"/>
      <c r="U366" s="56"/>
      <c r="V366" s="54"/>
      <c r="W366" s="55"/>
      <c r="X366" s="55"/>
      <c r="Y366" s="57"/>
      <c r="Z366" s="53"/>
      <c r="AA366" s="54"/>
      <c r="AB366" s="55"/>
      <c r="AC366" s="55"/>
      <c r="AD366" s="57"/>
      <c r="AE366" s="56"/>
      <c r="AF366" s="54"/>
      <c r="AG366" s="55"/>
      <c r="AH366" s="55"/>
      <c r="AI366" s="57"/>
      <c r="AJ366" s="56"/>
      <c r="AK366" s="54"/>
      <c r="AL366" s="54"/>
      <c r="AM366" s="54"/>
      <c r="AN366" s="57"/>
      <c r="AO366" s="53"/>
      <c r="AP366" s="54"/>
      <c r="AQ366" s="54"/>
      <c r="AR366" s="54"/>
      <c r="AS366" s="57"/>
      <c r="AT366" s="56"/>
      <c r="AU366" s="57"/>
      <c r="AV366" s="56"/>
      <c r="AW366" s="57"/>
      <c r="AX366" s="8"/>
      <c r="AZ366" s="1">
        <v>90</v>
      </c>
    </row>
    <row r="367" spans="3:52" ht="15" customHeight="1" x14ac:dyDescent="0.25">
      <c r="C367" s="42"/>
      <c r="D367" s="43">
        <f>D364</f>
        <v>45718</v>
      </c>
      <c r="E367" s="44">
        <f t="shared" si="36"/>
        <v>29.499999999999851</v>
      </c>
      <c r="F367" s="45">
        <f t="shared" si="33"/>
        <v>45718.500000000851</v>
      </c>
      <c r="G367" s="52"/>
      <c r="H367" s="53"/>
      <c r="I367" s="54"/>
      <c r="J367" s="54"/>
      <c r="K367" s="55"/>
      <c r="L367" s="56"/>
      <c r="M367" s="54"/>
      <c r="N367" s="54"/>
      <c r="O367" s="57"/>
      <c r="P367" s="53"/>
      <c r="Q367" s="54"/>
      <c r="R367" s="55"/>
      <c r="S367" s="55"/>
      <c r="T367" s="57"/>
      <c r="U367" s="56"/>
      <c r="V367" s="54"/>
      <c r="W367" s="55"/>
      <c r="X367" s="55"/>
      <c r="Y367" s="57"/>
      <c r="Z367" s="53"/>
      <c r="AA367" s="54"/>
      <c r="AB367" s="55"/>
      <c r="AC367" s="55"/>
      <c r="AD367" s="57"/>
      <c r="AE367" s="56"/>
      <c r="AF367" s="54"/>
      <c r="AG367" s="55"/>
      <c r="AH367" s="55"/>
      <c r="AI367" s="57"/>
      <c r="AJ367" s="56"/>
      <c r="AK367" s="54"/>
      <c r="AL367" s="54"/>
      <c r="AM367" s="54"/>
      <c r="AN367" s="57"/>
      <c r="AO367" s="53"/>
      <c r="AP367" s="54"/>
      <c r="AQ367" s="54"/>
      <c r="AR367" s="54"/>
      <c r="AS367" s="57"/>
      <c r="AT367" s="56"/>
      <c r="AU367" s="57"/>
      <c r="AV367" s="56"/>
      <c r="AW367" s="57"/>
      <c r="AX367" s="8"/>
      <c r="AZ367" s="1">
        <v>90</v>
      </c>
    </row>
    <row r="368" spans="3:52" ht="15" customHeight="1" x14ac:dyDescent="0.25">
      <c r="C368" s="42"/>
      <c r="D368" s="43">
        <f>D364</f>
        <v>45718</v>
      </c>
      <c r="E368" s="44">
        <f t="shared" si="36"/>
        <v>29.583333333333183</v>
      </c>
      <c r="F368" s="45">
        <f t="shared" si="33"/>
        <v>45718.583333334187</v>
      </c>
      <c r="G368" s="52"/>
      <c r="H368" s="53"/>
      <c r="I368" s="54"/>
      <c r="J368" s="54"/>
      <c r="K368" s="55"/>
      <c r="L368" s="56"/>
      <c r="M368" s="54"/>
      <c r="N368" s="54"/>
      <c r="O368" s="57"/>
      <c r="P368" s="53"/>
      <c r="Q368" s="54"/>
      <c r="R368" s="55"/>
      <c r="S368" s="55"/>
      <c r="T368" s="57"/>
      <c r="U368" s="56"/>
      <c r="V368" s="54"/>
      <c r="W368" s="55"/>
      <c r="X368" s="55"/>
      <c r="Y368" s="57"/>
      <c r="Z368" s="53"/>
      <c r="AA368" s="54"/>
      <c r="AB368" s="55"/>
      <c r="AC368" s="55"/>
      <c r="AD368" s="57"/>
      <c r="AE368" s="56"/>
      <c r="AF368" s="54"/>
      <c r="AG368" s="55"/>
      <c r="AH368" s="55"/>
      <c r="AI368" s="57"/>
      <c r="AJ368" s="56"/>
      <c r="AK368" s="54"/>
      <c r="AL368" s="54"/>
      <c r="AM368" s="54"/>
      <c r="AN368" s="57"/>
      <c r="AO368" s="53"/>
      <c r="AP368" s="54"/>
      <c r="AQ368" s="54"/>
      <c r="AR368" s="54"/>
      <c r="AS368" s="57"/>
      <c r="AT368" s="56"/>
      <c r="AU368" s="57"/>
      <c r="AV368" s="56"/>
      <c r="AW368" s="57"/>
      <c r="AX368" s="8"/>
      <c r="AZ368" s="1">
        <v>90</v>
      </c>
    </row>
    <row r="369" spans="3:52" ht="15" customHeight="1" x14ac:dyDescent="0.25">
      <c r="C369" s="42"/>
      <c r="D369" s="43">
        <f>D364</f>
        <v>45718</v>
      </c>
      <c r="E369" s="44">
        <f t="shared" si="36"/>
        <v>29.666666666666515</v>
      </c>
      <c r="F369" s="45">
        <f t="shared" si="33"/>
        <v>45718.666666667523</v>
      </c>
      <c r="G369" s="52"/>
      <c r="H369" s="53"/>
      <c r="I369" s="54"/>
      <c r="J369" s="54"/>
      <c r="K369" s="55"/>
      <c r="L369" s="56"/>
      <c r="M369" s="54"/>
      <c r="N369" s="54"/>
      <c r="O369" s="57"/>
      <c r="P369" s="53"/>
      <c r="Q369" s="54"/>
      <c r="R369" s="55"/>
      <c r="S369" s="55"/>
      <c r="T369" s="57"/>
      <c r="U369" s="56"/>
      <c r="V369" s="54"/>
      <c r="W369" s="55"/>
      <c r="X369" s="55"/>
      <c r="Y369" s="57"/>
      <c r="Z369" s="53"/>
      <c r="AA369" s="54"/>
      <c r="AB369" s="55"/>
      <c r="AC369" s="55"/>
      <c r="AD369" s="57"/>
      <c r="AE369" s="56"/>
      <c r="AF369" s="54"/>
      <c r="AG369" s="55"/>
      <c r="AH369" s="55"/>
      <c r="AI369" s="57"/>
      <c r="AJ369" s="56"/>
      <c r="AK369" s="54"/>
      <c r="AL369" s="54"/>
      <c r="AM369" s="54"/>
      <c r="AN369" s="57"/>
      <c r="AO369" s="53"/>
      <c r="AP369" s="54"/>
      <c r="AQ369" s="54"/>
      <c r="AR369" s="54"/>
      <c r="AS369" s="57"/>
      <c r="AT369" s="56"/>
      <c r="AU369" s="57"/>
      <c r="AV369" s="56"/>
      <c r="AW369" s="57"/>
      <c r="AX369" s="8"/>
      <c r="AZ369" s="1">
        <v>90</v>
      </c>
    </row>
    <row r="370" spans="3:52" ht="15" customHeight="1" x14ac:dyDescent="0.25">
      <c r="C370" s="42"/>
      <c r="D370" s="43">
        <f>D364</f>
        <v>45718</v>
      </c>
      <c r="E370" s="44">
        <f t="shared" si="36"/>
        <v>29.749999999999847</v>
      </c>
      <c r="F370" s="45">
        <f t="shared" si="33"/>
        <v>45718.750000000859</v>
      </c>
      <c r="G370" s="52"/>
      <c r="H370" s="53"/>
      <c r="I370" s="54"/>
      <c r="J370" s="54"/>
      <c r="K370" s="55"/>
      <c r="L370" s="56"/>
      <c r="M370" s="54"/>
      <c r="N370" s="54"/>
      <c r="O370" s="57"/>
      <c r="P370" s="53"/>
      <c r="Q370" s="54"/>
      <c r="R370" s="55"/>
      <c r="S370" s="55"/>
      <c r="T370" s="57"/>
      <c r="U370" s="56"/>
      <c r="V370" s="54"/>
      <c r="W370" s="55"/>
      <c r="X370" s="55"/>
      <c r="Y370" s="57"/>
      <c r="Z370" s="53"/>
      <c r="AA370" s="54"/>
      <c r="AB370" s="55"/>
      <c r="AC370" s="55"/>
      <c r="AD370" s="57"/>
      <c r="AE370" s="56"/>
      <c r="AF370" s="54"/>
      <c r="AG370" s="55"/>
      <c r="AH370" s="55"/>
      <c r="AI370" s="57"/>
      <c r="AJ370" s="56"/>
      <c r="AK370" s="54"/>
      <c r="AL370" s="54"/>
      <c r="AM370" s="54"/>
      <c r="AN370" s="57"/>
      <c r="AO370" s="53"/>
      <c r="AP370" s="54"/>
      <c r="AQ370" s="54"/>
      <c r="AR370" s="54"/>
      <c r="AS370" s="57"/>
      <c r="AT370" s="56"/>
      <c r="AU370" s="57"/>
      <c r="AV370" s="56"/>
      <c r="AW370" s="57"/>
      <c r="AX370" s="8"/>
      <c r="AZ370" s="1">
        <v>90</v>
      </c>
    </row>
    <row r="371" spans="3:52" ht="15" customHeight="1" x14ac:dyDescent="0.25">
      <c r="C371" s="42"/>
      <c r="D371" s="43">
        <f>D364</f>
        <v>45718</v>
      </c>
      <c r="E371" s="44">
        <f t="shared" si="36"/>
        <v>29.833333333333179</v>
      </c>
      <c r="F371" s="45">
        <f t="shared" si="33"/>
        <v>45718.833333334194</v>
      </c>
      <c r="G371" s="52"/>
      <c r="H371" s="53"/>
      <c r="I371" s="54"/>
      <c r="J371" s="54"/>
      <c r="K371" s="55"/>
      <c r="L371" s="56"/>
      <c r="M371" s="54"/>
      <c r="N371" s="54"/>
      <c r="O371" s="57"/>
      <c r="P371" s="53"/>
      <c r="Q371" s="54"/>
      <c r="R371" s="55"/>
      <c r="S371" s="55"/>
      <c r="T371" s="57"/>
      <c r="U371" s="56"/>
      <c r="V371" s="54"/>
      <c r="W371" s="55"/>
      <c r="X371" s="55"/>
      <c r="Y371" s="57"/>
      <c r="Z371" s="53"/>
      <c r="AA371" s="54"/>
      <c r="AB371" s="55"/>
      <c r="AC371" s="55"/>
      <c r="AD371" s="57"/>
      <c r="AE371" s="56"/>
      <c r="AF371" s="54"/>
      <c r="AG371" s="55"/>
      <c r="AH371" s="55"/>
      <c r="AI371" s="57"/>
      <c r="AJ371" s="56"/>
      <c r="AK371" s="54"/>
      <c r="AL371" s="54"/>
      <c r="AM371" s="54"/>
      <c r="AN371" s="57"/>
      <c r="AO371" s="53"/>
      <c r="AP371" s="54"/>
      <c r="AQ371" s="54"/>
      <c r="AR371" s="54"/>
      <c r="AS371" s="57"/>
      <c r="AT371" s="56"/>
      <c r="AU371" s="57"/>
      <c r="AV371" s="56"/>
      <c r="AW371" s="57"/>
      <c r="AX371" s="8"/>
      <c r="AZ371" s="1">
        <v>90</v>
      </c>
    </row>
    <row r="372" spans="3:52" ht="15" customHeight="1" x14ac:dyDescent="0.25">
      <c r="C372" s="42"/>
      <c r="D372" s="43">
        <f>D364</f>
        <v>45718</v>
      </c>
      <c r="E372" s="44">
        <f t="shared" si="36"/>
        <v>29.916666666666512</v>
      </c>
      <c r="F372" s="45">
        <f t="shared" si="33"/>
        <v>45718.91666666753</v>
      </c>
      <c r="G372" s="52"/>
      <c r="H372" s="53"/>
      <c r="I372" s="54"/>
      <c r="J372" s="54"/>
      <c r="K372" s="55"/>
      <c r="L372" s="56"/>
      <c r="M372" s="54"/>
      <c r="N372" s="54"/>
      <c r="O372" s="57"/>
      <c r="P372" s="53"/>
      <c r="Q372" s="54"/>
      <c r="R372" s="55"/>
      <c r="S372" s="55"/>
      <c r="T372" s="57"/>
      <c r="U372" s="56"/>
      <c r="V372" s="54"/>
      <c r="W372" s="55"/>
      <c r="X372" s="55"/>
      <c r="Y372" s="57"/>
      <c r="Z372" s="53"/>
      <c r="AA372" s="54"/>
      <c r="AB372" s="55"/>
      <c r="AC372" s="55"/>
      <c r="AD372" s="57"/>
      <c r="AE372" s="56"/>
      <c r="AF372" s="54"/>
      <c r="AG372" s="55"/>
      <c r="AH372" s="55"/>
      <c r="AI372" s="57"/>
      <c r="AJ372" s="56"/>
      <c r="AK372" s="54"/>
      <c r="AL372" s="54"/>
      <c r="AM372" s="54"/>
      <c r="AN372" s="57"/>
      <c r="AO372" s="53"/>
      <c r="AP372" s="54"/>
      <c r="AQ372" s="54"/>
      <c r="AR372" s="54"/>
      <c r="AS372" s="57"/>
      <c r="AT372" s="56"/>
      <c r="AU372" s="57"/>
      <c r="AV372" s="56"/>
      <c r="AW372" s="57"/>
      <c r="AX372" s="8"/>
      <c r="AZ372" s="1">
        <v>90</v>
      </c>
    </row>
    <row r="373" spans="3:52" ht="15" customHeight="1" x14ac:dyDescent="0.25">
      <c r="C373" s="42"/>
      <c r="D373" s="43">
        <f>D364</f>
        <v>45718</v>
      </c>
      <c r="E373" s="44">
        <f t="shared" si="36"/>
        <v>29.999999999999844</v>
      </c>
      <c r="F373" s="45">
        <f t="shared" si="33"/>
        <v>45719.000000000866</v>
      </c>
      <c r="G373" s="52"/>
      <c r="H373" s="53"/>
      <c r="I373" s="54"/>
      <c r="J373" s="54"/>
      <c r="K373" s="55"/>
      <c r="L373" s="56"/>
      <c r="M373" s="54"/>
      <c r="N373" s="54"/>
      <c r="O373" s="57"/>
      <c r="P373" s="53"/>
      <c r="Q373" s="54"/>
      <c r="R373" s="55"/>
      <c r="S373" s="55"/>
      <c r="T373" s="57"/>
      <c r="U373" s="56"/>
      <c r="V373" s="54"/>
      <c r="W373" s="55"/>
      <c r="X373" s="55"/>
      <c r="Y373" s="57"/>
      <c r="Z373" s="53"/>
      <c r="AA373" s="54"/>
      <c r="AB373" s="55"/>
      <c r="AC373" s="55"/>
      <c r="AD373" s="57"/>
      <c r="AE373" s="56"/>
      <c r="AF373" s="54"/>
      <c r="AG373" s="55"/>
      <c r="AH373" s="55"/>
      <c r="AI373" s="57"/>
      <c r="AJ373" s="56"/>
      <c r="AK373" s="54"/>
      <c r="AL373" s="54"/>
      <c r="AM373" s="54"/>
      <c r="AN373" s="57"/>
      <c r="AO373" s="53"/>
      <c r="AP373" s="54"/>
      <c r="AQ373" s="54"/>
      <c r="AR373" s="54"/>
      <c r="AS373" s="57"/>
      <c r="AT373" s="56"/>
      <c r="AU373" s="57"/>
      <c r="AV373" s="56"/>
      <c r="AW373" s="57"/>
      <c r="AX373" s="8"/>
      <c r="AZ373" s="1">
        <v>90</v>
      </c>
    </row>
    <row r="374" spans="3:52" ht="15" customHeight="1" x14ac:dyDescent="0.25">
      <c r="C374" s="42"/>
      <c r="D374" s="43">
        <f>D364</f>
        <v>45718</v>
      </c>
      <c r="E374" s="44">
        <f t="shared" si="36"/>
        <v>30.083333333333176</v>
      </c>
      <c r="F374" s="45">
        <f t="shared" si="33"/>
        <v>45719.083333334202</v>
      </c>
      <c r="G374" s="52"/>
      <c r="H374" s="53"/>
      <c r="I374" s="54"/>
      <c r="J374" s="54"/>
      <c r="K374" s="55"/>
      <c r="L374" s="56"/>
      <c r="M374" s="54"/>
      <c r="N374" s="54"/>
      <c r="O374" s="57"/>
      <c r="P374" s="53"/>
      <c r="Q374" s="54"/>
      <c r="R374" s="55"/>
      <c r="S374" s="55"/>
      <c r="T374" s="57"/>
      <c r="U374" s="56"/>
      <c r="V374" s="54"/>
      <c r="W374" s="55"/>
      <c r="X374" s="55"/>
      <c r="Y374" s="57"/>
      <c r="Z374" s="53"/>
      <c r="AA374" s="54"/>
      <c r="AB374" s="55"/>
      <c r="AC374" s="55"/>
      <c r="AD374" s="57"/>
      <c r="AE374" s="56"/>
      <c r="AF374" s="54"/>
      <c r="AG374" s="55"/>
      <c r="AH374" s="55"/>
      <c r="AI374" s="57"/>
      <c r="AJ374" s="56"/>
      <c r="AK374" s="54"/>
      <c r="AL374" s="54"/>
      <c r="AM374" s="54"/>
      <c r="AN374" s="57"/>
      <c r="AO374" s="53"/>
      <c r="AP374" s="54"/>
      <c r="AQ374" s="54"/>
      <c r="AR374" s="54"/>
      <c r="AS374" s="57"/>
      <c r="AT374" s="56"/>
      <c r="AU374" s="57"/>
      <c r="AV374" s="56"/>
      <c r="AW374" s="57"/>
      <c r="AX374" s="8"/>
      <c r="AZ374" s="1">
        <v>90</v>
      </c>
    </row>
    <row r="375" spans="3:52" ht="15" customHeight="1" x14ac:dyDescent="0.25">
      <c r="C375" s="42"/>
      <c r="D375" s="69">
        <f>D364</f>
        <v>45718</v>
      </c>
      <c r="E375" s="70">
        <f t="shared" si="36"/>
        <v>30.166666666666508</v>
      </c>
      <c r="F375" s="71">
        <f t="shared" si="33"/>
        <v>45719.166666667537</v>
      </c>
      <c r="G375" s="60"/>
      <c r="H375" s="61"/>
      <c r="I375" s="62"/>
      <c r="J375" s="62"/>
      <c r="K375" s="63"/>
      <c r="L375" s="64"/>
      <c r="M375" s="62"/>
      <c r="N375" s="62"/>
      <c r="O375" s="65"/>
      <c r="P375" s="61"/>
      <c r="Q375" s="62"/>
      <c r="R375" s="63"/>
      <c r="S375" s="63"/>
      <c r="T375" s="65"/>
      <c r="U375" s="64"/>
      <c r="V375" s="62"/>
      <c r="W375" s="63"/>
      <c r="X375" s="63"/>
      <c r="Y375" s="65"/>
      <c r="Z375" s="61"/>
      <c r="AA375" s="62"/>
      <c r="AB375" s="63"/>
      <c r="AC375" s="63"/>
      <c r="AD375" s="65"/>
      <c r="AE375" s="64"/>
      <c r="AF375" s="62"/>
      <c r="AG375" s="63"/>
      <c r="AH375" s="63"/>
      <c r="AI375" s="65"/>
      <c r="AJ375" s="64"/>
      <c r="AK375" s="62"/>
      <c r="AL375" s="62"/>
      <c r="AM375" s="62"/>
      <c r="AN375" s="65"/>
      <c r="AO375" s="61"/>
      <c r="AP375" s="62"/>
      <c r="AQ375" s="62"/>
      <c r="AR375" s="62"/>
      <c r="AS375" s="65"/>
      <c r="AT375" s="64"/>
      <c r="AU375" s="65"/>
      <c r="AV375" s="64"/>
      <c r="AW375" s="65"/>
      <c r="AX375" s="8"/>
      <c r="AZ375" s="1">
        <v>90</v>
      </c>
    </row>
    <row r="376" spans="3:52" ht="15" customHeight="1" x14ac:dyDescent="0.25">
      <c r="C376" s="42">
        <f>DAY(D376)</f>
        <v>3</v>
      </c>
      <c r="D376" s="66">
        <f>D364+1</f>
        <v>45719</v>
      </c>
      <c r="E376" s="67">
        <f>E375+2/24</f>
        <v>30.24999999999984</v>
      </c>
      <c r="F376" s="68">
        <f t="shared" si="33"/>
        <v>45719.250000000873</v>
      </c>
      <c r="G376" s="46"/>
      <c r="H376" s="47"/>
      <c r="I376" s="48"/>
      <c r="J376" s="48"/>
      <c r="K376" s="49"/>
      <c r="L376" s="50"/>
      <c r="M376" s="48"/>
      <c r="N376" s="48"/>
      <c r="O376" s="51"/>
      <c r="P376" s="47"/>
      <c r="Q376" s="48"/>
      <c r="R376" s="49"/>
      <c r="S376" s="49"/>
      <c r="T376" s="51"/>
      <c r="U376" s="50"/>
      <c r="V376" s="48"/>
      <c r="W376" s="49"/>
      <c r="X376" s="49"/>
      <c r="Y376" s="51"/>
      <c r="Z376" s="47"/>
      <c r="AA376" s="48"/>
      <c r="AB376" s="49"/>
      <c r="AC376" s="49"/>
      <c r="AD376" s="51"/>
      <c r="AE376" s="50"/>
      <c r="AF376" s="48"/>
      <c r="AG376" s="49"/>
      <c r="AH376" s="49"/>
      <c r="AI376" s="51"/>
      <c r="AJ376" s="50"/>
      <c r="AK376" s="48"/>
      <c r="AL376" s="48"/>
      <c r="AM376" s="48"/>
      <c r="AN376" s="51"/>
      <c r="AO376" s="47"/>
      <c r="AP376" s="48"/>
      <c r="AQ376" s="48"/>
      <c r="AR376" s="48"/>
      <c r="AS376" s="51"/>
      <c r="AT376" s="50"/>
      <c r="AU376" s="51"/>
      <c r="AV376" s="50"/>
      <c r="AW376" s="51"/>
      <c r="AX376" s="8"/>
      <c r="AZ376" s="1">
        <v>90</v>
      </c>
    </row>
    <row r="377" spans="3:52" ht="15" customHeight="1" x14ac:dyDescent="0.25">
      <c r="C377" s="42"/>
      <c r="D377" s="43">
        <f>D376</f>
        <v>45719</v>
      </c>
      <c r="E377" s="44">
        <f>E376+2/24</f>
        <v>30.333333333333172</v>
      </c>
      <c r="F377" s="45">
        <f t="shared" si="33"/>
        <v>45719.333333334209</v>
      </c>
      <c r="G377" s="52"/>
      <c r="H377" s="53"/>
      <c r="I377" s="54"/>
      <c r="J377" s="54"/>
      <c r="K377" s="55"/>
      <c r="L377" s="56"/>
      <c r="M377" s="54"/>
      <c r="N377" s="54"/>
      <c r="O377" s="57"/>
      <c r="P377" s="53"/>
      <c r="Q377" s="54"/>
      <c r="R377" s="55"/>
      <c r="S377" s="55"/>
      <c r="T377" s="57"/>
      <c r="U377" s="56"/>
      <c r="V377" s="54"/>
      <c r="W377" s="55"/>
      <c r="X377" s="55"/>
      <c r="Y377" s="57"/>
      <c r="Z377" s="53"/>
      <c r="AA377" s="54"/>
      <c r="AB377" s="55"/>
      <c r="AC377" s="55"/>
      <c r="AD377" s="57"/>
      <c r="AE377" s="56"/>
      <c r="AF377" s="54"/>
      <c r="AG377" s="55"/>
      <c r="AH377" s="55"/>
      <c r="AI377" s="57"/>
      <c r="AJ377" s="56"/>
      <c r="AK377" s="54"/>
      <c r="AL377" s="54"/>
      <c r="AM377" s="54"/>
      <c r="AN377" s="57"/>
      <c r="AO377" s="53"/>
      <c r="AP377" s="54"/>
      <c r="AQ377" s="54"/>
      <c r="AR377" s="54"/>
      <c r="AS377" s="57"/>
      <c r="AT377" s="56"/>
      <c r="AU377" s="57"/>
      <c r="AV377" s="56"/>
      <c r="AW377" s="57"/>
      <c r="AX377" s="8"/>
      <c r="AZ377" s="1">
        <v>90</v>
      </c>
    </row>
    <row r="378" spans="3:52" ht="15" customHeight="1" x14ac:dyDescent="0.25">
      <c r="C378" s="42"/>
      <c r="D378" s="43">
        <f>D376</f>
        <v>45719</v>
      </c>
      <c r="E378" s="44">
        <f t="shared" ref="E378:E387" si="37">E377+2/24</f>
        <v>30.416666666666504</v>
      </c>
      <c r="F378" s="45">
        <f t="shared" si="33"/>
        <v>45719.416666667545</v>
      </c>
      <c r="G378" s="52"/>
      <c r="H378" s="53"/>
      <c r="I378" s="54"/>
      <c r="J378" s="54"/>
      <c r="K378" s="55"/>
      <c r="L378" s="56"/>
      <c r="M378" s="54"/>
      <c r="N378" s="54"/>
      <c r="O378" s="57"/>
      <c r="P378" s="53"/>
      <c r="Q378" s="54"/>
      <c r="R378" s="55"/>
      <c r="S378" s="55"/>
      <c r="T378" s="57"/>
      <c r="U378" s="56"/>
      <c r="V378" s="54"/>
      <c r="W378" s="55"/>
      <c r="X378" s="55"/>
      <c r="Y378" s="57"/>
      <c r="Z378" s="53"/>
      <c r="AA378" s="54"/>
      <c r="AB378" s="55"/>
      <c r="AC378" s="55"/>
      <c r="AD378" s="57"/>
      <c r="AE378" s="56"/>
      <c r="AF378" s="54"/>
      <c r="AG378" s="55"/>
      <c r="AH378" s="55"/>
      <c r="AI378" s="57"/>
      <c r="AJ378" s="56"/>
      <c r="AK378" s="54"/>
      <c r="AL378" s="54"/>
      <c r="AM378" s="54"/>
      <c r="AN378" s="57"/>
      <c r="AO378" s="53"/>
      <c r="AP378" s="54"/>
      <c r="AQ378" s="54"/>
      <c r="AR378" s="54"/>
      <c r="AS378" s="57"/>
      <c r="AT378" s="56"/>
      <c r="AU378" s="57"/>
      <c r="AV378" s="56"/>
      <c r="AW378" s="57"/>
      <c r="AX378" s="8"/>
      <c r="AZ378" s="1">
        <v>90</v>
      </c>
    </row>
    <row r="379" spans="3:52" ht="15" customHeight="1" x14ac:dyDescent="0.25">
      <c r="C379" s="42"/>
      <c r="D379" s="43">
        <f>D376</f>
        <v>45719</v>
      </c>
      <c r="E379" s="44">
        <f t="shared" si="37"/>
        <v>30.499999999999837</v>
      </c>
      <c r="F379" s="45">
        <f t="shared" si="33"/>
        <v>45719.50000000088</v>
      </c>
      <c r="G379" s="52"/>
      <c r="H379" s="53"/>
      <c r="I379" s="54"/>
      <c r="J379" s="54"/>
      <c r="K379" s="55"/>
      <c r="L379" s="56"/>
      <c r="M379" s="54"/>
      <c r="N379" s="54"/>
      <c r="O379" s="57"/>
      <c r="P379" s="53"/>
      <c r="Q379" s="54"/>
      <c r="R379" s="55"/>
      <c r="S379" s="55"/>
      <c r="T379" s="57"/>
      <c r="U379" s="56"/>
      <c r="V379" s="54"/>
      <c r="W379" s="55"/>
      <c r="X379" s="55"/>
      <c r="Y379" s="57"/>
      <c r="Z379" s="53"/>
      <c r="AA379" s="54"/>
      <c r="AB379" s="55"/>
      <c r="AC379" s="55"/>
      <c r="AD379" s="57"/>
      <c r="AE379" s="56"/>
      <c r="AF379" s="54"/>
      <c r="AG379" s="55"/>
      <c r="AH379" s="55"/>
      <c r="AI379" s="57"/>
      <c r="AJ379" s="56"/>
      <c r="AK379" s="54"/>
      <c r="AL379" s="54"/>
      <c r="AM379" s="54"/>
      <c r="AN379" s="57"/>
      <c r="AO379" s="53"/>
      <c r="AP379" s="54"/>
      <c r="AQ379" s="54"/>
      <c r="AR379" s="54"/>
      <c r="AS379" s="57"/>
      <c r="AT379" s="56"/>
      <c r="AU379" s="57"/>
      <c r="AV379" s="56"/>
      <c r="AW379" s="57"/>
      <c r="AX379" s="8"/>
      <c r="AZ379" s="1">
        <v>90</v>
      </c>
    </row>
    <row r="380" spans="3:52" ht="15" customHeight="1" x14ac:dyDescent="0.25">
      <c r="C380" s="42"/>
      <c r="D380" s="43">
        <f>D376</f>
        <v>45719</v>
      </c>
      <c r="E380" s="44">
        <f t="shared" si="37"/>
        <v>30.583333333333169</v>
      </c>
      <c r="F380" s="45">
        <f t="shared" si="33"/>
        <v>45719.583333334216</v>
      </c>
      <c r="G380" s="52"/>
      <c r="H380" s="53"/>
      <c r="I380" s="54"/>
      <c r="J380" s="54"/>
      <c r="K380" s="55"/>
      <c r="L380" s="56"/>
      <c r="M380" s="54"/>
      <c r="N380" s="54"/>
      <c r="O380" s="57"/>
      <c r="P380" s="53"/>
      <c r="Q380" s="54"/>
      <c r="R380" s="55"/>
      <c r="S380" s="55"/>
      <c r="T380" s="57"/>
      <c r="U380" s="56"/>
      <c r="V380" s="54"/>
      <c r="W380" s="55"/>
      <c r="X380" s="55"/>
      <c r="Y380" s="57"/>
      <c r="Z380" s="53"/>
      <c r="AA380" s="54"/>
      <c r="AB380" s="55"/>
      <c r="AC380" s="55"/>
      <c r="AD380" s="57"/>
      <c r="AE380" s="56"/>
      <c r="AF380" s="54"/>
      <c r="AG380" s="55"/>
      <c r="AH380" s="55"/>
      <c r="AI380" s="57"/>
      <c r="AJ380" s="56"/>
      <c r="AK380" s="54"/>
      <c r="AL380" s="54"/>
      <c r="AM380" s="54"/>
      <c r="AN380" s="57"/>
      <c r="AO380" s="53"/>
      <c r="AP380" s="54"/>
      <c r="AQ380" s="54"/>
      <c r="AR380" s="54"/>
      <c r="AS380" s="57"/>
      <c r="AT380" s="56"/>
      <c r="AU380" s="57"/>
      <c r="AV380" s="56"/>
      <c r="AW380" s="57"/>
      <c r="AX380" s="8"/>
      <c r="AZ380" s="1">
        <v>90</v>
      </c>
    </row>
    <row r="381" spans="3:52" ht="15" customHeight="1" x14ac:dyDescent="0.25">
      <c r="C381" s="42"/>
      <c r="D381" s="43">
        <f>D376</f>
        <v>45719</v>
      </c>
      <c r="E381" s="44">
        <f t="shared" si="37"/>
        <v>30.666666666666501</v>
      </c>
      <c r="F381" s="45">
        <f t="shared" si="33"/>
        <v>45719.666666667552</v>
      </c>
      <c r="G381" s="52"/>
      <c r="H381" s="53"/>
      <c r="I381" s="54"/>
      <c r="J381" s="54"/>
      <c r="K381" s="55"/>
      <c r="L381" s="56"/>
      <c r="M381" s="54"/>
      <c r="N381" s="54"/>
      <c r="O381" s="57"/>
      <c r="P381" s="53"/>
      <c r="Q381" s="54"/>
      <c r="R381" s="55"/>
      <c r="S381" s="55"/>
      <c r="T381" s="57"/>
      <c r="U381" s="56"/>
      <c r="V381" s="54"/>
      <c r="W381" s="55"/>
      <c r="X381" s="55"/>
      <c r="Y381" s="57"/>
      <c r="Z381" s="53"/>
      <c r="AA381" s="54"/>
      <c r="AB381" s="55"/>
      <c r="AC381" s="55"/>
      <c r="AD381" s="57"/>
      <c r="AE381" s="56"/>
      <c r="AF381" s="54"/>
      <c r="AG381" s="55"/>
      <c r="AH381" s="55"/>
      <c r="AI381" s="57"/>
      <c r="AJ381" s="56"/>
      <c r="AK381" s="54"/>
      <c r="AL381" s="54"/>
      <c r="AM381" s="54"/>
      <c r="AN381" s="57"/>
      <c r="AO381" s="53"/>
      <c r="AP381" s="54"/>
      <c r="AQ381" s="54"/>
      <c r="AR381" s="54"/>
      <c r="AS381" s="57"/>
      <c r="AT381" s="56"/>
      <c r="AU381" s="57"/>
      <c r="AV381" s="56"/>
      <c r="AW381" s="57"/>
      <c r="AX381" s="8"/>
      <c r="AZ381" s="1">
        <v>90</v>
      </c>
    </row>
    <row r="382" spans="3:52" ht="15" customHeight="1" x14ac:dyDescent="0.25">
      <c r="C382" s="42"/>
      <c r="D382" s="43">
        <f>D376</f>
        <v>45719</v>
      </c>
      <c r="E382" s="44">
        <f t="shared" si="37"/>
        <v>30.749999999999833</v>
      </c>
      <c r="F382" s="45">
        <f t="shared" si="33"/>
        <v>45719.750000000888</v>
      </c>
      <c r="G382" s="52"/>
      <c r="H382" s="53"/>
      <c r="I382" s="54"/>
      <c r="J382" s="54"/>
      <c r="K382" s="55"/>
      <c r="L382" s="56"/>
      <c r="M382" s="54"/>
      <c r="N382" s="54"/>
      <c r="O382" s="57"/>
      <c r="P382" s="53"/>
      <c r="Q382" s="54"/>
      <c r="R382" s="55"/>
      <c r="S382" s="55"/>
      <c r="T382" s="57"/>
      <c r="U382" s="56"/>
      <c r="V382" s="54"/>
      <c r="W382" s="55"/>
      <c r="X382" s="55"/>
      <c r="Y382" s="57"/>
      <c r="Z382" s="53"/>
      <c r="AA382" s="54"/>
      <c r="AB382" s="55"/>
      <c r="AC382" s="55"/>
      <c r="AD382" s="57"/>
      <c r="AE382" s="56"/>
      <c r="AF382" s="54"/>
      <c r="AG382" s="55"/>
      <c r="AH382" s="55"/>
      <c r="AI382" s="57"/>
      <c r="AJ382" s="56"/>
      <c r="AK382" s="54"/>
      <c r="AL382" s="54"/>
      <c r="AM382" s="54"/>
      <c r="AN382" s="57"/>
      <c r="AO382" s="53"/>
      <c r="AP382" s="54"/>
      <c r="AQ382" s="54"/>
      <c r="AR382" s="54"/>
      <c r="AS382" s="57"/>
      <c r="AT382" s="56"/>
      <c r="AU382" s="57"/>
      <c r="AV382" s="56"/>
      <c r="AW382" s="57"/>
      <c r="AX382" s="8"/>
      <c r="AZ382" s="1">
        <v>90</v>
      </c>
    </row>
    <row r="383" spans="3:52" ht="15" customHeight="1" x14ac:dyDescent="0.25">
      <c r="C383" s="42"/>
      <c r="D383" s="43">
        <f>D376</f>
        <v>45719</v>
      </c>
      <c r="E383" s="44">
        <f t="shared" si="37"/>
        <v>30.833333333333165</v>
      </c>
      <c r="F383" s="45">
        <f t="shared" si="33"/>
        <v>45719.833333334223</v>
      </c>
      <c r="G383" s="52"/>
      <c r="H383" s="53"/>
      <c r="I383" s="54"/>
      <c r="J383" s="54"/>
      <c r="K383" s="55"/>
      <c r="L383" s="56"/>
      <c r="M383" s="54"/>
      <c r="N383" s="54"/>
      <c r="O383" s="57"/>
      <c r="P383" s="53"/>
      <c r="Q383" s="54"/>
      <c r="R383" s="55"/>
      <c r="S383" s="55"/>
      <c r="T383" s="57"/>
      <c r="U383" s="56"/>
      <c r="V383" s="54"/>
      <c r="W383" s="55"/>
      <c r="X383" s="55"/>
      <c r="Y383" s="57"/>
      <c r="Z383" s="53"/>
      <c r="AA383" s="54"/>
      <c r="AB383" s="55"/>
      <c r="AC383" s="55"/>
      <c r="AD383" s="57"/>
      <c r="AE383" s="56"/>
      <c r="AF383" s="54"/>
      <c r="AG383" s="55"/>
      <c r="AH383" s="55"/>
      <c r="AI383" s="57"/>
      <c r="AJ383" s="56"/>
      <c r="AK383" s="54"/>
      <c r="AL383" s="54"/>
      <c r="AM383" s="54"/>
      <c r="AN383" s="57"/>
      <c r="AO383" s="53"/>
      <c r="AP383" s="54"/>
      <c r="AQ383" s="54"/>
      <c r="AR383" s="54"/>
      <c r="AS383" s="57"/>
      <c r="AT383" s="56"/>
      <c r="AU383" s="57"/>
      <c r="AV383" s="56"/>
      <c r="AW383" s="57"/>
      <c r="AX383" s="8"/>
      <c r="AZ383" s="1">
        <v>90</v>
      </c>
    </row>
    <row r="384" spans="3:52" ht="15" customHeight="1" x14ac:dyDescent="0.25">
      <c r="C384" s="42"/>
      <c r="D384" s="43">
        <f>D376</f>
        <v>45719</v>
      </c>
      <c r="E384" s="44">
        <f t="shared" si="37"/>
        <v>30.916666666666497</v>
      </c>
      <c r="F384" s="45">
        <f t="shared" si="33"/>
        <v>45719.916666667559</v>
      </c>
      <c r="G384" s="52"/>
      <c r="H384" s="53"/>
      <c r="I384" s="54"/>
      <c r="J384" s="54"/>
      <c r="K384" s="55"/>
      <c r="L384" s="56"/>
      <c r="M384" s="54"/>
      <c r="N384" s="54"/>
      <c r="O384" s="57"/>
      <c r="P384" s="53"/>
      <c r="Q384" s="54"/>
      <c r="R384" s="55"/>
      <c r="S384" s="55"/>
      <c r="T384" s="57"/>
      <c r="U384" s="56"/>
      <c r="V384" s="54"/>
      <c r="W384" s="55"/>
      <c r="X384" s="55"/>
      <c r="Y384" s="57"/>
      <c r="Z384" s="53"/>
      <c r="AA384" s="54"/>
      <c r="AB384" s="55"/>
      <c r="AC384" s="55"/>
      <c r="AD384" s="57"/>
      <c r="AE384" s="56"/>
      <c r="AF384" s="54"/>
      <c r="AG384" s="55"/>
      <c r="AH384" s="55"/>
      <c r="AI384" s="57"/>
      <c r="AJ384" s="56"/>
      <c r="AK384" s="54"/>
      <c r="AL384" s="54"/>
      <c r="AM384" s="54"/>
      <c r="AN384" s="57"/>
      <c r="AO384" s="53"/>
      <c r="AP384" s="54"/>
      <c r="AQ384" s="54"/>
      <c r="AR384" s="54"/>
      <c r="AS384" s="57"/>
      <c r="AT384" s="56"/>
      <c r="AU384" s="57"/>
      <c r="AV384" s="56"/>
      <c r="AW384" s="57"/>
      <c r="AX384" s="8"/>
      <c r="AZ384" s="1">
        <v>90</v>
      </c>
    </row>
    <row r="385" spans="3:52" ht="15" customHeight="1" x14ac:dyDescent="0.25">
      <c r="C385" s="42"/>
      <c r="D385" s="43">
        <f>D376</f>
        <v>45719</v>
      </c>
      <c r="E385" s="44">
        <f t="shared" si="37"/>
        <v>30.999999999999829</v>
      </c>
      <c r="F385" s="45">
        <f t="shared" si="33"/>
        <v>45720.000000000895</v>
      </c>
      <c r="G385" s="52"/>
      <c r="H385" s="53"/>
      <c r="I385" s="54"/>
      <c r="J385" s="54"/>
      <c r="K385" s="55"/>
      <c r="L385" s="56"/>
      <c r="M385" s="54"/>
      <c r="N385" s="54"/>
      <c r="O385" s="57"/>
      <c r="P385" s="53"/>
      <c r="Q385" s="54"/>
      <c r="R385" s="55"/>
      <c r="S385" s="55"/>
      <c r="T385" s="57"/>
      <c r="U385" s="56"/>
      <c r="V385" s="54"/>
      <c r="W385" s="55"/>
      <c r="X385" s="55"/>
      <c r="Y385" s="57"/>
      <c r="Z385" s="53"/>
      <c r="AA385" s="54"/>
      <c r="AB385" s="55"/>
      <c r="AC385" s="55"/>
      <c r="AD385" s="57"/>
      <c r="AE385" s="56"/>
      <c r="AF385" s="54"/>
      <c r="AG385" s="55"/>
      <c r="AH385" s="55"/>
      <c r="AI385" s="57"/>
      <c r="AJ385" s="56"/>
      <c r="AK385" s="54"/>
      <c r="AL385" s="54"/>
      <c r="AM385" s="54"/>
      <c r="AN385" s="57"/>
      <c r="AO385" s="53"/>
      <c r="AP385" s="54"/>
      <c r="AQ385" s="54"/>
      <c r="AR385" s="54"/>
      <c r="AS385" s="57"/>
      <c r="AT385" s="56"/>
      <c r="AU385" s="57"/>
      <c r="AV385" s="56"/>
      <c r="AW385" s="57"/>
      <c r="AX385" s="8"/>
      <c r="AZ385" s="1">
        <v>90</v>
      </c>
    </row>
    <row r="386" spans="3:52" ht="15" customHeight="1" x14ac:dyDescent="0.25">
      <c r="C386" s="42"/>
      <c r="D386" s="43">
        <f>D376</f>
        <v>45719</v>
      </c>
      <c r="E386" s="44">
        <f t="shared" si="37"/>
        <v>31.083333333333162</v>
      </c>
      <c r="F386" s="45">
        <f t="shared" si="33"/>
        <v>45720.083333334231</v>
      </c>
      <c r="G386" s="52"/>
      <c r="H386" s="53"/>
      <c r="I386" s="54"/>
      <c r="J386" s="54"/>
      <c r="K386" s="55"/>
      <c r="L386" s="56"/>
      <c r="M386" s="54"/>
      <c r="N386" s="54"/>
      <c r="O386" s="57"/>
      <c r="P386" s="53"/>
      <c r="Q386" s="54"/>
      <c r="R386" s="55"/>
      <c r="S386" s="55"/>
      <c r="T386" s="57"/>
      <c r="U386" s="56"/>
      <c r="V386" s="54"/>
      <c r="W386" s="55"/>
      <c r="X386" s="55"/>
      <c r="Y386" s="57"/>
      <c r="Z386" s="53"/>
      <c r="AA386" s="54"/>
      <c r="AB386" s="55"/>
      <c r="AC386" s="55"/>
      <c r="AD386" s="57"/>
      <c r="AE386" s="56"/>
      <c r="AF386" s="54"/>
      <c r="AG386" s="55"/>
      <c r="AH386" s="55"/>
      <c r="AI386" s="57"/>
      <c r="AJ386" s="56"/>
      <c r="AK386" s="54"/>
      <c r="AL386" s="54"/>
      <c r="AM386" s="54"/>
      <c r="AN386" s="57"/>
      <c r="AO386" s="53"/>
      <c r="AP386" s="54"/>
      <c r="AQ386" s="54"/>
      <c r="AR386" s="54"/>
      <c r="AS386" s="57"/>
      <c r="AT386" s="56"/>
      <c r="AU386" s="57"/>
      <c r="AV386" s="56"/>
      <c r="AW386" s="57"/>
      <c r="AX386" s="8"/>
      <c r="AZ386" s="1">
        <v>90</v>
      </c>
    </row>
    <row r="387" spans="3:52" ht="15" customHeight="1" x14ac:dyDescent="0.25">
      <c r="C387" s="42"/>
      <c r="D387" s="69">
        <f>D376</f>
        <v>45719</v>
      </c>
      <c r="E387" s="70">
        <f t="shared" si="37"/>
        <v>31.166666666666494</v>
      </c>
      <c r="F387" s="71">
        <f t="shared" si="33"/>
        <v>45720.166666667566</v>
      </c>
      <c r="G387" s="72"/>
      <c r="H387" s="73"/>
      <c r="I387" s="74"/>
      <c r="J387" s="74"/>
      <c r="K387" s="75"/>
      <c r="L387" s="76"/>
      <c r="M387" s="74"/>
      <c r="N387" s="74"/>
      <c r="O387" s="77"/>
      <c r="P387" s="73"/>
      <c r="Q387" s="74"/>
      <c r="R387" s="75"/>
      <c r="S387" s="75"/>
      <c r="T387" s="77"/>
      <c r="U387" s="76"/>
      <c r="V387" s="74"/>
      <c r="W387" s="75"/>
      <c r="X387" s="75"/>
      <c r="Y387" s="77"/>
      <c r="Z387" s="73"/>
      <c r="AA387" s="74"/>
      <c r="AB387" s="75"/>
      <c r="AC387" s="75"/>
      <c r="AD387" s="77"/>
      <c r="AE387" s="76"/>
      <c r="AF387" s="74"/>
      <c r="AG387" s="75"/>
      <c r="AH387" s="75"/>
      <c r="AI387" s="77"/>
      <c r="AJ387" s="76"/>
      <c r="AK387" s="74"/>
      <c r="AL387" s="74"/>
      <c r="AM387" s="74"/>
      <c r="AN387" s="77"/>
      <c r="AO387" s="73"/>
      <c r="AP387" s="74"/>
      <c r="AQ387" s="74"/>
      <c r="AR387" s="74"/>
      <c r="AS387" s="77"/>
      <c r="AT387" s="76"/>
      <c r="AU387" s="77"/>
      <c r="AV387" s="76"/>
      <c r="AW387" s="77"/>
      <c r="AX387" s="8"/>
      <c r="AZ387" s="1">
        <v>90</v>
      </c>
    </row>
    <row r="388" spans="3:52" ht="15.75" thickBot="1" x14ac:dyDescent="0.3">
      <c r="C388" s="78"/>
      <c r="D388" s="79"/>
      <c r="E388" s="79"/>
      <c r="F388" s="79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1"/>
    </row>
  </sheetData>
  <mergeCells count="56">
    <mergeCell ref="AW12:AW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K12:AK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J12:J14"/>
    <mergeCell ref="K12:K14"/>
    <mergeCell ref="L12:L14"/>
    <mergeCell ref="M12:M14"/>
    <mergeCell ref="Y12:Y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C2:AX8"/>
    <mergeCell ref="D10:F15"/>
    <mergeCell ref="G10:G11"/>
    <mergeCell ref="H10:K11"/>
    <mergeCell ref="L10:O11"/>
    <mergeCell ref="P10:T11"/>
    <mergeCell ref="U10:Y11"/>
    <mergeCell ref="Z10:AD11"/>
    <mergeCell ref="AE10:AI11"/>
    <mergeCell ref="AJ10:AN11"/>
    <mergeCell ref="AO10:AS11"/>
    <mergeCell ref="AT10:AU11"/>
    <mergeCell ref="AV10:AW11"/>
    <mergeCell ref="G12:G14"/>
    <mergeCell ref="H12:H14"/>
    <mergeCell ref="I12:I14"/>
  </mergeCells>
  <conditionalFormatting sqref="A1:C1 G1:XFD1 C2 A2:B8 AY2:XFD8 A9:C15 AX9:XFD1048576 A16:B387 A388:C1048576 G388:AW1048576">
    <cfRule type="cellIs" dxfId="68" priority="32" operator="between">
      <formula>10</formula>
      <formula>100</formula>
    </cfRule>
    <cfRule type="cellIs" dxfId="67" priority="33" operator="between">
      <formula>1</formula>
      <formula>10</formula>
    </cfRule>
    <cfRule type="cellIs" dxfId="66" priority="34" operator="between">
      <formula>0</formula>
      <formula>1</formula>
    </cfRule>
  </conditionalFormatting>
  <conditionalFormatting sqref="A1:C1 G1:XFD1 C2 A2:B8 AY2:XFD8 A9:C15 AX9:XFD1048576 A16:B387 A388:C1048576">
    <cfRule type="cellIs" dxfId="65" priority="30" operator="equal">
      <formula>0</formula>
    </cfRule>
    <cfRule type="cellIs" dxfId="64" priority="31" operator="greaterThan">
      <formula>100</formula>
    </cfRule>
  </conditionalFormatting>
  <conditionalFormatting sqref="D16:D387">
    <cfRule type="expression" dxfId="63" priority="18">
      <formula>_xlfn.ISFORMULA(D16)</formula>
    </cfRule>
    <cfRule type="expression" priority="19">
      <formula>isvalue(D16)</formula>
    </cfRule>
  </conditionalFormatting>
  <conditionalFormatting sqref="G16:G387">
    <cfRule type="expression" dxfId="62" priority="8">
      <formula>_xlfn.ISFORMULA(G16)</formula>
    </cfRule>
    <cfRule type="expression" dxfId="61" priority="9">
      <formula>isvalue(G16)</formula>
    </cfRule>
  </conditionalFormatting>
  <conditionalFormatting sqref="G16:AW387">
    <cfRule type="cellIs" dxfId="60" priority="1" operator="equal">
      <formula>1</formula>
    </cfRule>
    <cfRule type="cellIs" dxfId="59" priority="3" operator="between">
      <formula>0</formula>
      <formula>1</formula>
    </cfRule>
    <cfRule type="cellIs" dxfId="58" priority="4" operator="equal">
      <formula>100</formula>
    </cfRule>
    <cfRule type="cellIs" dxfId="57" priority="5" operator="between">
      <formula>1</formula>
      <formula>10</formula>
    </cfRule>
    <cfRule type="cellIs" dxfId="56" priority="6" operator="between">
      <formula>10</formula>
      <formula>100</formula>
    </cfRule>
    <cfRule type="cellIs" dxfId="55" priority="10" operator="lessThan">
      <formula>0</formula>
    </cfRule>
    <cfRule type="cellIs" dxfId="54" priority="11" operator="equal">
      <formula>0</formula>
    </cfRule>
    <cfRule type="cellIs" dxfId="53" priority="12" operator="between">
      <formula>0</formula>
      <formula>1</formula>
    </cfRule>
    <cfRule type="cellIs" dxfId="52" priority="13" operator="between">
      <formula>1</formula>
      <formula>100</formula>
    </cfRule>
    <cfRule type="cellIs" dxfId="51" priority="15" operator="equal">
      <formula>0</formula>
    </cfRule>
    <cfRule type="expression" dxfId="50" priority="17">
      <formula>_xlfn.ISFORMULA(G16)</formula>
    </cfRule>
  </conditionalFormatting>
  <conditionalFormatting sqref="G16:AW1048576">
    <cfRule type="cellIs" dxfId="49" priority="2" operator="equal">
      <formula>0</formula>
    </cfRule>
    <cfRule type="cellIs" dxfId="48" priority="7" operator="greaterThan">
      <formula>100</formula>
    </cfRule>
  </conditionalFormatting>
  <conditionalFormatting sqref="H16:AW387">
    <cfRule type="expression" dxfId="47" priority="21">
      <formula>isvalue(H16)</formula>
    </cfRule>
    <cfRule type="expression" dxfId="46" priority="29">
      <formula>_xlfn.ISFORMULA(H16)</formula>
    </cfRule>
  </conditionalFormatting>
  <pageMargins left="0.7" right="0.7" top="0.75" bottom="0.75" header="0.3" footer="0.3"/>
  <headerFooter>
    <oddHeader>&amp;L&amp;"Calibri"&amp;14&amp;K000000 INTERNAL USE&amp;1#_x000D_</oddHeader>
    <oddFooter>&amp;C_x000D_&amp;1#&amp;"Calibri"&amp;10&amp;K000000 General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6E80-8C86-46EA-8269-089747598BFA}">
  <sheetPr>
    <tabColor rgb="FF002060"/>
  </sheetPr>
  <dimension ref="C1:BB388"/>
  <sheetViews>
    <sheetView showGridLines="0" topLeftCell="A8" zoomScale="70" zoomScaleNormal="70" workbookViewId="0">
      <pane xSplit="6" ySplit="8" topLeftCell="G30" activePane="bottomRight" state="frozen"/>
      <selection pane="topRight" activeCell="G8" sqref="G8"/>
      <selection pane="bottomLeft" activeCell="A16" sqref="A16"/>
      <selection pane="bottomRight" activeCell="G12" sqref="G12:G14"/>
    </sheetView>
  </sheetViews>
  <sheetFormatPr defaultColWidth="8.7109375" defaultRowHeight="15" x14ac:dyDescent="0.25"/>
  <cols>
    <col min="1" max="3" width="4.140625" style="1" customWidth="1"/>
    <col min="4" max="5" width="8.5703125" style="2" customWidth="1"/>
    <col min="6" max="6" width="12.28515625" style="2" customWidth="1"/>
    <col min="7" max="49" width="8.5703125" style="3" customWidth="1"/>
    <col min="50" max="50" width="3.5703125" style="1" customWidth="1"/>
    <col min="51" max="16384" width="8.7109375" style="1"/>
  </cols>
  <sheetData>
    <row r="1" spans="3:54" ht="15.75" thickBot="1" x14ac:dyDescent="0.3"/>
    <row r="2" spans="3:54" ht="14.45" customHeight="1" x14ac:dyDescent="0.25">
      <c r="C2" s="126" t="s">
        <v>17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8"/>
    </row>
    <row r="3" spans="3:54" ht="14.45" customHeight="1" x14ac:dyDescent="0.25">
      <c r="C3" s="129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1"/>
    </row>
    <row r="4" spans="3:54" ht="14.45" customHeight="1" x14ac:dyDescent="0.25"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1"/>
    </row>
    <row r="5" spans="3:54" ht="14.45" customHeight="1" x14ac:dyDescent="0.25">
      <c r="C5" s="129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1"/>
    </row>
    <row r="6" spans="3:54" ht="14.45" customHeight="1" x14ac:dyDescent="0.25"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1"/>
    </row>
    <row r="7" spans="3:54" ht="14.45" customHeight="1" x14ac:dyDescent="0.25"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1"/>
    </row>
    <row r="8" spans="3:54" ht="20.45" customHeight="1" thickBot="1" x14ac:dyDescent="0.3"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4"/>
    </row>
    <row r="9" spans="3:54" s="5" customFormat="1" x14ac:dyDescent="0.25">
      <c r="C9" s="4"/>
      <c r="D9" s="5">
        <v>1</v>
      </c>
      <c r="E9" s="5">
        <f>D9+1</f>
        <v>2</v>
      </c>
      <c r="F9" s="5">
        <f>E9+1</f>
        <v>3</v>
      </c>
      <c r="G9" s="5">
        <f t="shared" ref="G9:AS9" si="0">F9+1</f>
        <v>4</v>
      </c>
      <c r="H9" s="5">
        <f t="shared" si="0"/>
        <v>5</v>
      </c>
      <c r="I9" s="5">
        <f t="shared" si="0"/>
        <v>6</v>
      </c>
      <c r="J9" s="5">
        <f t="shared" si="0"/>
        <v>7</v>
      </c>
      <c r="K9" s="5">
        <f t="shared" si="0"/>
        <v>8</v>
      </c>
      <c r="L9" s="5">
        <f t="shared" si="0"/>
        <v>9</v>
      </c>
      <c r="M9" s="5">
        <f t="shared" si="0"/>
        <v>10</v>
      </c>
      <c r="N9" s="5">
        <f t="shared" si="0"/>
        <v>11</v>
      </c>
      <c r="O9" s="5">
        <f t="shared" si="0"/>
        <v>12</v>
      </c>
      <c r="P9" s="5">
        <f t="shared" si="0"/>
        <v>13</v>
      </c>
      <c r="Q9" s="5">
        <f t="shared" si="0"/>
        <v>14</v>
      </c>
      <c r="R9" s="5">
        <f t="shared" si="0"/>
        <v>15</v>
      </c>
      <c r="S9" s="5">
        <f t="shared" si="0"/>
        <v>16</v>
      </c>
      <c r="T9" s="5">
        <f t="shared" si="0"/>
        <v>17</v>
      </c>
      <c r="U9" s="5">
        <f t="shared" si="0"/>
        <v>18</v>
      </c>
      <c r="V9" s="5">
        <f t="shared" si="0"/>
        <v>19</v>
      </c>
      <c r="W9" s="5">
        <f t="shared" si="0"/>
        <v>20</v>
      </c>
      <c r="X9" s="5">
        <f t="shared" si="0"/>
        <v>21</v>
      </c>
      <c r="Y9" s="5">
        <f t="shared" si="0"/>
        <v>22</v>
      </c>
      <c r="Z9" s="5">
        <f t="shared" si="0"/>
        <v>23</v>
      </c>
      <c r="AA9" s="5">
        <f t="shared" si="0"/>
        <v>24</v>
      </c>
      <c r="AB9" s="5">
        <f t="shared" si="0"/>
        <v>25</v>
      </c>
      <c r="AC9" s="5">
        <f t="shared" si="0"/>
        <v>26</v>
      </c>
      <c r="AD9" s="5">
        <f t="shared" si="0"/>
        <v>27</v>
      </c>
      <c r="AE9" s="5">
        <f t="shared" si="0"/>
        <v>28</v>
      </c>
      <c r="AF9" s="5">
        <f t="shared" si="0"/>
        <v>29</v>
      </c>
      <c r="AG9" s="5">
        <f t="shared" si="0"/>
        <v>30</v>
      </c>
      <c r="AH9" s="5">
        <f t="shared" si="0"/>
        <v>31</v>
      </c>
      <c r="AI9" s="5">
        <f t="shared" si="0"/>
        <v>32</v>
      </c>
      <c r="AJ9" s="5">
        <f t="shared" si="0"/>
        <v>33</v>
      </c>
      <c r="AK9" s="5">
        <f t="shared" si="0"/>
        <v>34</v>
      </c>
      <c r="AL9" s="5">
        <f t="shared" si="0"/>
        <v>35</v>
      </c>
      <c r="AM9" s="5">
        <f t="shared" si="0"/>
        <v>36</v>
      </c>
      <c r="AN9" s="5">
        <f t="shared" si="0"/>
        <v>37</v>
      </c>
      <c r="AO9" s="5">
        <f t="shared" si="0"/>
        <v>38</v>
      </c>
      <c r="AP9" s="5">
        <f t="shared" si="0"/>
        <v>39</v>
      </c>
      <c r="AQ9" s="5">
        <f t="shared" si="0"/>
        <v>40</v>
      </c>
      <c r="AR9" s="5">
        <f t="shared" si="0"/>
        <v>41</v>
      </c>
      <c r="AS9" s="5">
        <f t="shared" si="0"/>
        <v>42</v>
      </c>
      <c r="AT9" s="5">
        <f>AS9+1</f>
        <v>43</v>
      </c>
      <c r="AU9" s="5">
        <f>AT9+1</f>
        <v>44</v>
      </c>
      <c r="AV9" s="5">
        <f>AU9+1</f>
        <v>45</v>
      </c>
      <c r="AW9" s="5">
        <f>AV9+1</f>
        <v>46</v>
      </c>
      <c r="AX9" s="6"/>
    </row>
    <row r="10" spans="3:54" ht="15" customHeight="1" x14ac:dyDescent="0.25">
      <c r="C10" s="7"/>
      <c r="D10" s="135" t="s">
        <v>0</v>
      </c>
      <c r="E10" s="136"/>
      <c r="F10" s="136"/>
      <c r="G10" s="139" t="s">
        <v>18</v>
      </c>
      <c r="H10" s="141" t="s">
        <v>19</v>
      </c>
      <c r="I10" s="142"/>
      <c r="J10" s="142"/>
      <c r="K10" s="143"/>
      <c r="L10" s="147" t="s">
        <v>20</v>
      </c>
      <c r="M10" s="148"/>
      <c r="N10" s="148"/>
      <c r="O10" s="149"/>
      <c r="P10" s="153" t="s">
        <v>21</v>
      </c>
      <c r="Q10" s="154"/>
      <c r="R10" s="154"/>
      <c r="S10" s="154"/>
      <c r="T10" s="155"/>
      <c r="U10" s="147" t="s">
        <v>22</v>
      </c>
      <c r="V10" s="148"/>
      <c r="W10" s="159"/>
      <c r="X10" s="159"/>
      <c r="Y10" s="149"/>
      <c r="Z10" s="161" t="s">
        <v>23</v>
      </c>
      <c r="AA10" s="162"/>
      <c r="AB10" s="162"/>
      <c r="AC10" s="162"/>
      <c r="AD10" s="163"/>
      <c r="AE10" s="167" t="s">
        <v>24</v>
      </c>
      <c r="AF10" s="168"/>
      <c r="AG10" s="168"/>
      <c r="AH10" s="168"/>
      <c r="AI10" s="169"/>
      <c r="AJ10" s="173" t="s">
        <v>25</v>
      </c>
      <c r="AK10" s="174"/>
      <c r="AL10" s="174"/>
      <c r="AM10" s="174"/>
      <c r="AN10" s="175"/>
      <c r="AO10" s="179" t="s">
        <v>26</v>
      </c>
      <c r="AP10" s="180"/>
      <c r="AQ10" s="180"/>
      <c r="AR10" s="180"/>
      <c r="AS10" s="181"/>
      <c r="AT10" s="185" t="s">
        <v>27</v>
      </c>
      <c r="AU10" s="186"/>
      <c r="AV10" s="189" t="s">
        <v>28</v>
      </c>
      <c r="AW10" s="190"/>
      <c r="AX10" s="8"/>
    </row>
    <row r="11" spans="3:54" ht="15" customHeight="1" x14ac:dyDescent="0.25">
      <c r="C11" s="7"/>
      <c r="D11" s="137"/>
      <c r="E11" s="138"/>
      <c r="F11" s="138"/>
      <c r="G11" s="140"/>
      <c r="H11" s="144"/>
      <c r="I11" s="145"/>
      <c r="J11" s="145"/>
      <c r="K11" s="146"/>
      <c r="L11" s="150"/>
      <c r="M11" s="151"/>
      <c r="N11" s="151"/>
      <c r="O11" s="152"/>
      <c r="P11" s="156"/>
      <c r="Q11" s="157"/>
      <c r="R11" s="157"/>
      <c r="S11" s="157"/>
      <c r="T11" s="158"/>
      <c r="U11" s="150"/>
      <c r="V11" s="151"/>
      <c r="W11" s="160"/>
      <c r="X11" s="160"/>
      <c r="Y11" s="152"/>
      <c r="Z11" s="164"/>
      <c r="AA11" s="165"/>
      <c r="AB11" s="165"/>
      <c r="AC11" s="165"/>
      <c r="AD11" s="166"/>
      <c r="AE11" s="170"/>
      <c r="AF11" s="171"/>
      <c r="AG11" s="171"/>
      <c r="AH11" s="171"/>
      <c r="AI11" s="172"/>
      <c r="AJ11" s="176"/>
      <c r="AK11" s="177"/>
      <c r="AL11" s="177"/>
      <c r="AM11" s="177"/>
      <c r="AN11" s="178"/>
      <c r="AO11" s="182"/>
      <c r="AP11" s="183"/>
      <c r="AQ11" s="183"/>
      <c r="AR11" s="183"/>
      <c r="AS11" s="184"/>
      <c r="AT11" s="187"/>
      <c r="AU11" s="188"/>
      <c r="AV11" s="191"/>
      <c r="AW11" s="192"/>
      <c r="AX11" s="8"/>
    </row>
    <row r="12" spans="3:54" ht="15" customHeight="1" x14ac:dyDescent="0.25">
      <c r="C12" s="7"/>
      <c r="D12" s="137"/>
      <c r="E12" s="138"/>
      <c r="F12" s="138"/>
      <c r="G12" s="193" t="s">
        <v>29</v>
      </c>
      <c r="H12" s="194" t="s">
        <v>29</v>
      </c>
      <c r="I12" s="195" t="s">
        <v>30</v>
      </c>
      <c r="J12" s="198" t="s">
        <v>31</v>
      </c>
      <c r="K12" s="199" t="s">
        <v>32</v>
      </c>
      <c r="L12" s="200" t="s">
        <v>29</v>
      </c>
      <c r="M12" s="201" t="s">
        <v>31</v>
      </c>
      <c r="N12" s="205" t="s">
        <v>30</v>
      </c>
      <c r="O12" s="204" t="s">
        <v>32</v>
      </c>
      <c r="P12" s="206" t="s">
        <v>29</v>
      </c>
      <c r="Q12" s="207" t="s">
        <v>30</v>
      </c>
      <c r="R12" s="207" t="s">
        <v>31</v>
      </c>
      <c r="S12" s="210" t="s">
        <v>32</v>
      </c>
      <c r="T12" s="211" t="s">
        <v>33</v>
      </c>
      <c r="U12" s="200" t="s">
        <v>29</v>
      </c>
      <c r="V12" s="201" t="s">
        <v>30</v>
      </c>
      <c r="W12" s="205" t="s">
        <v>31</v>
      </c>
      <c r="X12" s="201" t="s">
        <v>32</v>
      </c>
      <c r="Y12" s="204" t="s">
        <v>33</v>
      </c>
      <c r="Z12" s="217" t="s">
        <v>29</v>
      </c>
      <c r="AA12" s="218" t="s">
        <v>30</v>
      </c>
      <c r="AB12" s="218" t="s">
        <v>31</v>
      </c>
      <c r="AC12" s="221" t="s">
        <v>32</v>
      </c>
      <c r="AD12" s="222" t="s">
        <v>33</v>
      </c>
      <c r="AE12" s="225" t="s">
        <v>29</v>
      </c>
      <c r="AF12" s="226" t="s">
        <v>30</v>
      </c>
      <c r="AG12" s="229" t="s">
        <v>31</v>
      </c>
      <c r="AH12" s="229" t="s">
        <v>32</v>
      </c>
      <c r="AI12" s="230" t="s">
        <v>33</v>
      </c>
      <c r="AJ12" s="233" t="s">
        <v>29</v>
      </c>
      <c r="AK12" s="214" t="s">
        <v>30</v>
      </c>
      <c r="AL12" s="237" t="s">
        <v>31</v>
      </c>
      <c r="AM12" s="237" t="s">
        <v>32</v>
      </c>
      <c r="AN12" s="238" t="s">
        <v>34</v>
      </c>
      <c r="AO12" s="239" t="s">
        <v>29</v>
      </c>
      <c r="AP12" s="240" t="s">
        <v>30</v>
      </c>
      <c r="AQ12" s="243" t="s">
        <v>31</v>
      </c>
      <c r="AR12" s="243" t="s">
        <v>32</v>
      </c>
      <c r="AS12" s="244" t="s">
        <v>34</v>
      </c>
      <c r="AT12" s="245" t="s">
        <v>29</v>
      </c>
      <c r="AU12" s="246" t="s">
        <v>31</v>
      </c>
      <c r="AV12" s="249" t="s">
        <v>35</v>
      </c>
      <c r="AW12" s="234" t="s">
        <v>36</v>
      </c>
      <c r="AX12" s="8"/>
    </row>
    <row r="13" spans="3:54" ht="15" customHeight="1" x14ac:dyDescent="0.25">
      <c r="C13" s="7"/>
      <c r="D13" s="137"/>
      <c r="E13" s="138"/>
      <c r="F13" s="138"/>
      <c r="G13" s="193"/>
      <c r="H13" s="194"/>
      <c r="I13" s="196"/>
      <c r="J13" s="198"/>
      <c r="K13" s="199"/>
      <c r="L13" s="200"/>
      <c r="M13" s="202"/>
      <c r="N13" s="205"/>
      <c r="O13" s="204"/>
      <c r="P13" s="206"/>
      <c r="Q13" s="208"/>
      <c r="R13" s="208"/>
      <c r="S13" s="210"/>
      <c r="T13" s="212"/>
      <c r="U13" s="200"/>
      <c r="V13" s="202"/>
      <c r="W13" s="205"/>
      <c r="X13" s="202"/>
      <c r="Y13" s="204"/>
      <c r="Z13" s="217"/>
      <c r="AA13" s="219"/>
      <c r="AB13" s="219"/>
      <c r="AC13" s="221"/>
      <c r="AD13" s="223"/>
      <c r="AE13" s="225"/>
      <c r="AF13" s="227"/>
      <c r="AG13" s="229"/>
      <c r="AH13" s="229"/>
      <c r="AI13" s="231"/>
      <c r="AJ13" s="233"/>
      <c r="AK13" s="215"/>
      <c r="AL13" s="237"/>
      <c r="AM13" s="237"/>
      <c r="AN13" s="238"/>
      <c r="AO13" s="239"/>
      <c r="AP13" s="241"/>
      <c r="AQ13" s="243"/>
      <c r="AR13" s="243"/>
      <c r="AS13" s="244"/>
      <c r="AT13" s="245"/>
      <c r="AU13" s="247"/>
      <c r="AV13" s="249"/>
      <c r="AW13" s="235"/>
      <c r="AX13" s="8"/>
    </row>
    <row r="14" spans="3:54" ht="15" customHeight="1" x14ac:dyDescent="0.25">
      <c r="C14" s="7"/>
      <c r="D14" s="137"/>
      <c r="E14" s="138"/>
      <c r="F14" s="138"/>
      <c r="G14" s="193"/>
      <c r="H14" s="194"/>
      <c r="I14" s="197"/>
      <c r="J14" s="198"/>
      <c r="K14" s="199"/>
      <c r="L14" s="200"/>
      <c r="M14" s="203"/>
      <c r="N14" s="205"/>
      <c r="O14" s="204"/>
      <c r="P14" s="206"/>
      <c r="Q14" s="209"/>
      <c r="R14" s="209"/>
      <c r="S14" s="210"/>
      <c r="T14" s="213"/>
      <c r="U14" s="200"/>
      <c r="V14" s="203"/>
      <c r="W14" s="205"/>
      <c r="X14" s="203"/>
      <c r="Y14" s="204"/>
      <c r="Z14" s="217"/>
      <c r="AA14" s="220"/>
      <c r="AB14" s="220"/>
      <c r="AC14" s="221"/>
      <c r="AD14" s="224"/>
      <c r="AE14" s="225"/>
      <c r="AF14" s="228"/>
      <c r="AG14" s="229"/>
      <c r="AH14" s="229"/>
      <c r="AI14" s="232"/>
      <c r="AJ14" s="233"/>
      <c r="AK14" s="216"/>
      <c r="AL14" s="237"/>
      <c r="AM14" s="237"/>
      <c r="AN14" s="238"/>
      <c r="AO14" s="239"/>
      <c r="AP14" s="242"/>
      <c r="AQ14" s="243"/>
      <c r="AR14" s="243"/>
      <c r="AS14" s="244"/>
      <c r="AT14" s="245"/>
      <c r="AU14" s="248"/>
      <c r="AV14" s="249"/>
      <c r="AW14" s="236"/>
      <c r="AX14" s="8"/>
    </row>
    <row r="15" spans="3:54" s="41" customFormat="1" ht="21.6" customHeight="1" x14ac:dyDescent="0.25">
      <c r="C15" s="9"/>
      <c r="D15" s="137"/>
      <c r="E15" s="138"/>
      <c r="F15" s="138"/>
      <c r="G15" s="10" t="s">
        <v>37</v>
      </c>
      <c r="H15" s="11" t="s">
        <v>37</v>
      </c>
      <c r="I15" s="12" t="s">
        <v>38</v>
      </c>
      <c r="J15" s="12" t="s">
        <v>14</v>
      </c>
      <c r="K15" s="13" t="s">
        <v>14</v>
      </c>
      <c r="L15" s="14" t="s">
        <v>37</v>
      </c>
      <c r="M15" s="15" t="s">
        <v>38</v>
      </c>
      <c r="N15" s="15" t="s">
        <v>38</v>
      </c>
      <c r="O15" s="16" t="s">
        <v>14</v>
      </c>
      <c r="P15" s="17" t="s">
        <v>37</v>
      </c>
      <c r="Q15" s="18" t="s">
        <v>38</v>
      </c>
      <c r="R15" s="19" t="s">
        <v>14</v>
      </c>
      <c r="S15" s="19" t="s">
        <v>14</v>
      </c>
      <c r="T15" s="20" t="s">
        <v>39</v>
      </c>
      <c r="U15" s="14" t="s">
        <v>37</v>
      </c>
      <c r="V15" s="15" t="s">
        <v>38</v>
      </c>
      <c r="W15" s="15" t="s">
        <v>14</v>
      </c>
      <c r="X15" s="21" t="s">
        <v>14</v>
      </c>
      <c r="Y15" s="16" t="s">
        <v>39</v>
      </c>
      <c r="Z15" s="22" t="s">
        <v>37</v>
      </c>
      <c r="AA15" s="23" t="s">
        <v>38</v>
      </c>
      <c r="AB15" s="24" t="s">
        <v>14</v>
      </c>
      <c r="AC15" s="24" t="s">
        <v>14</v>
      </c>
      <c r="AD15" s="25" t="s">
        <v>39</v>
      </c>
      <c r="AE15" s="26" t="s">
        <v>37</v>
      </c>
      <c r="AF15" s="27" t="s">
        <v>38</v>
      </c>
      <c r="AG15" s="28" t="s">
        <v>14</v>
      </c>
      <c r="AH15" s="28" t="s">
        <v>14</v>
      </c>
      <c r="AI15" s="29" t="s">
        <v>39</v>
      </c>
      <c r="AJ15" s="30" t="s">
        <v>37</v>
      </c>
      <c r="AK15" s="31" t="s">
        <v>38</v>
      </c>
      <c r="AL15" s="31" t="s">
        <v>14</v>
      </c>
      <c r="AM15" s="31" t="s">
        <v>14</v>
      </c>
      <c r="AN15" s="32" t="s">
        <v>39</v>
      </c>
      <c r="AO15" s="33" t="s">
        <v>37</v>
      </c>
      <c r="AP15" s="34" t="s">
        <v>38</v>
      </c>
      <c r="AQ15" s="34" t="s">
        <v>14</v>
      </c>
      <c r="AR15" s="34" t="s">
        <v>14</v>
      </c>
      <c r="AS15" s="35" t="s">
        <v>39</v>
      </c>
      <c r="AT15" s="36" t="s">
        <v>37</v>
      </c>
      <c r="AU15" s="37" t="s">
        <v>38</v>
      </c>
      <c r="AV15" s="38" t="s">
        <v>37</v>
      </c>
      <c r="AW15" s="39" t="s">
        <v>38</v>
      </c>
      <c r="AX15" s="40"/>
    </row>
    <row r="16" spans="3:54" ht="15" customHeight="1" x14ac:dyDescent="0.25">
      <c r="C16" s="42">
        <v>1</v>
      </c>
      <c r="D16" s="43">
        <f>DATE([3]Dash!$F$3,VLOOKUP([3]Dash!$E$3,[3]Abb!$C$3:$D$14,2,FALSE),C16)</f>
        <v>45717</v>
      </c>
      <c r="E16" s="44">
        <v>0.25</v>
      </c>
      <c r="F16" s="45">
        <f>D16+E16</f>
        <v>45717.25</v>
      </c>
      <c r="G16" s="46">
        <v>42</v>
      </c>
      <c r="H16" s="47">
        <v>40</v>
      </c>
      <c r="I16" s="48">
        <v>9.9</v>
      </c>
      <c r="J16" s="48">
        <v>200</v>
      </c>
      <c r="K16" s="49">
        <v>5.0999999999999996</v>
      </c>
      <c r="L16" s="50">
        <v>41</v>
      </c>
      <c r="M16" s="48">
        <v>10</v>
      </c>
      <c r="N16" s="48">
        <v>200</v>
      </c>
      <c r="O16" s="51">
        <v>6.4</v>
      </c>
      <c r="P16" s="47">
        <v>41</v>
      </c>
      <c r="Q16" s="48">
        <v>10.1</v>
      </c>
      <c r="R16" s="49">
        <v>0</v>
      </c>
      <c r="S16" s="49">
        <v>4.9000000000000004</v>
      </c>
      <c r="T16" s="51">
        <v>17.3</v>
      </c>
      <c r="U16" s="50">
        <v>40</v>
      </c>
      <c r="V16" s="48">
        <v>10.1</v>
      </c>
      <c r="W16" s="49">
        <v>0</v>
      </c>
      <c r="X16" s="49">
        <v>5</v>
      </c>
      <c r="Y16" s="51">
        <v>14.42</v>
      </c>
      <c r="Z16" s="47">
        <v>40</v>
      </c>
      <c r="AA16" s="48">
        <v>10.1</v>
      </c>
      <c r="AB16" s="49">
        <v>0</v>
      </c>
      <c r="AC16" s="49">
        <v>5.6</v>
      </c>
      <c r="AD16" s="51">
        <v>15.38</v>
      </c>
      <c r="AE16" s="50">
        <v>40</v>
      </c>
      <c r="AF16" s="48">
        <v>10</v>
      </c>
      <c r="AG16" s="49">
        <v>0</v>
      </c>
      <c r="AH16" s="49">
        <v>5.6</v>
      </c>
      <c r="AI16" s="51">
        <v>15.38</v>
      </c>
      <c r="AJ16" s="50">
        <v>39</v>
      </c>
      <c r="AK16" s="48">
        <v>9.6999999999999993</v>
      </c>
      <c r="AL16" s="48">
        <v>0</v>
      </c>
      <c r="AM16" s="48">
        <v>5.5</v>
      </c>
      <c r="AN16" s="51">
        <v>6.73</v>
      </c>
      <c r="AO16" s="47">
        <v>40</v>
      </c>
      <c r="AP16" s="48">
        <v>9.6</v>
      </c>
      <c r="AQ16" s="48">
        <v>150</v>
      </c>
      <c r="AR16" s="48">
        <v>5.9</v>
      </c>
      <c r="AS16" s="51">
        <v>13.46</v>
      </c>
      <c r="AT16" s="50">
        <v>29</v>
      </c>
      <c r="AU16" s="51">
        <v>100</v>
      </c>
      <c r="AV16" s="50">
        <v>67.960609436035199</v>
      </c>
      <c r="AW16" s="51">
        <v>340.82621997197469</v>
      </c>
      <c r="AX16" s="8"/>
      <c r="AZ16" s="1">
        <v>90</v>
      </c>
      <c r="BB16" s="82">
        <f>((T16*442)+(Y16*442)+(AD16*442)+(AI16*442)+(AN16*442)+(AS16*442))/1000</f>
        <v>36.540140000000001</v>
      </c>
    </row>
    <row r="17" spans="3:54" ht="15" customHeight="1" x14ac:dyDescent="0.25">
      <c r="C17" s="42"/>
      <c r="D17" s="43">
        <f>D16</f>
        <v>45717</v>
      </c>
      <c r="E17" s="44">
        <f>E16+2/24</f>
        <v>0.33333333333333331</v>
      </c>
      <c r="F17" s="45">
        <f>F16+(E17-E16)</f>
        <v>45717.333333333336</v>
      </c>
      <c r="G17" s="52">
        <v>42</v>
      </c>
      <c r="H17" s="53">
        <v>40</v>
      </c>
      <c r="I17" s="54">
        <v>9.9</v>
      </c>
      <c r="J17" s="54">
        <v>200</v>
      </c>
      <c r="K17" s="55">
        <v>5.0999999999999996</v>
      </c>
      <c r="L17" s="56">
        <v>41</v>
      </c>
      <c r="M17" s="54">
        <v>10</v>
      </c>
      <c r="N17" s="54">
        <v>200</v>
      </c>
      <c r="O17" s="57">
        <v>6.4</v>
      </c>
      <c r="P17" s="53">
        <v>41</v>
      </c>
      <c r="Q17" s="54">
        <v>10.1</v>
      </c>
      <c r="R17" s="55">
        <v>0</v>
      </c>
      <c r="S17" s="55">
        <v>4.9000000000000004</v>
      </c>
      <c r="T17" s="57">
        <v>17.3</v>
      </c>
      <c r="U17" s="56">
        <v>40</v>
      </c>
      <c r="V17" s="54">
        <v>10.1</v>
      </c>
      <c r="W17" s="55">
        <v>0</v>
      </c>
      <c r="X17" s="55">
        <v>5</v>
      </c>
      <c r="Y17" s="57">
        <v>14.42</v>
      </c>
      <c r="Z17" s="53">
        <v>40</v>
      </c>
      <c r="AA17" s="54">
        <v>10.1</v>
      </c>
      <c r="AB17" s="55">
        <v>0</v>
      </c>
      <c r="AC17" s="55">
        <v>5.6</v>
      </c>
      <c r="AD17" s="57">
        <v>15.38</v>
      </c>
      <c r="AE17" s="56">
        <v>40</v>
      </c>
      <c r="AF17" s="54">
        <v>10</v>
      </c>
      <c r="AG17" s="55">
        <v>0</v>
      </c>
      <c r="AH17" s="55">
        <v>5.6</v>
      </c>
      <c r="AI17" s="57">
        <v>15.38</v>
      </c>
      <c r="AJ17" s="56">
        <v>39</v>
      </c>
      <c r="AK17" s="54">
        <v>9.6999999999999993</v>
      </c>
      <c r="AL17" s="54">
        <v>0</v>
      </c>
      <c r="AM17" s="54">
        <v>5.5</v>
      </c>
      <c r="AN17" s="57">
        <v>6.73</v>
      </c>
      <c r="AO17" s="53">
        <v>40</v>
      </c>
      <c r="AP17" s="54">
        <v>9.6</v>
      </c>
      <c r="AQ17" s="54">
        <v>150</v>
      </c>
      <c r="AR17" s="54">
        <v>5.9</v>
      </c>
      <c r="AS17" s="57">
        <v>13.46</v>
      </c>
      <c r="AT17" s="56">
        <v>29</v>
      </c>
      <c r="AU17" s="57">
        <v>100</v>
      </c>
      <c r="AV17" s="56">
        <v>68.465164184570298</v>
      </c>
      <c r="AW17" s="57">
        <v>339.46156455675759</v>
      </c>
      <c r="AX17" s="8"/>
      <c r="AZ17" s="1">
        <v>90</v>
      </c>
      <c r="BB17" s="82">
        <f t="shared" ref="BB17:BB80" si="1">((T17*442)+(Y17*442)+(AD17*442)+(AI17*442)+(AN17*442)+(AS17*442))/1000</f>
        <v>36.540140000000001</v>
      </c>
    </row>
    <row r="18" spans="3:54" ht="15" customHeight="1" x14ac:dyDescent="0.25">
      <c r="C18" s="42"/>
      <c r="D18" s="43">
        <f>D16</f>
        <v>45717</v>
      </c>
      <c r="E18" s="44">
        <f t="shared" ref="E18:E27" si="2">E17+2/24</f>
        <v>0.41666666666666663</v>
      </c>
      <c r="F18" s="45">
        <f t="shared" ref="F18:F81" si="3">F17+(E18-E17)</f>
        <v>45717.416666666672</v>
      </c>
      <c r="G18" s="52">
        <v>42</v>
      </c>
      <c r="H18" s="53">
        <v>41</v>
      </c>
      <c r="I18" s="54">
        <v>10.8</v>
      </c>
      <c r="J18" s="54">
        <v>250</v>
      </c>
      <c r="K18" s="55">
        <v>5.4</v>
      </c>
      <c r="L18" s="56">
        <v>40</v>
      </c>
      <c r="M18" s="54">
        <v>10.199999999999999</v>
      </c>
      <c r="N18" s="54">
        <v>200</v>
      </c>
      <c r="O18" s="57">
        <v>5.9</v>
      </c>
      <c r="P18" s="53">
        <v>40</v>
      </c>
      <c r="Q18" s="54">
        <v>10.1</v>
      </c>
      <c r="R18" s="55">
        <v>0</v>
      </c>
      <c r="S18" s="55">
        <v>5.0999999999999996</v>
      </c>
      <c r="T18" s="57">
        <v>17.690000000000001</v>
      </c>
      <c r="U18" s="56">
        <v>40</v>
      </c>
      <c r="V18" s="54">
        <v>10.1</v>
      </c>
      <c r="W18" s="55">
        <v>0</v>
      </c>
      <c r="X18" s="55">
        <v>5.2</v>
      </c>
      <c r="Y18" s="57">
        <v>15.38</v>
      </c>
      <c r="Z18" s="53">
        <v>39</v>
      </c>
      <c r="AA18" s="54">
        <v>10.1</v>
      </c>
      <c r="AB18" s="55">
        <v>0</v>
      </c>
      <c r="AC18" s="55">
        <v>5.5</v>
      </c>
      <c r="AD18" s="57">
        <v>15.76</v>
      </c>
      <c r="AE18" s="56">
        <v>40</v>
      </c>
      <c r="AF18" s="54">
        <v>10.1</v>
      </c>
      <c r="AG18" s="55">
        <v>0</v>
      </c>
      <c r="AH18" s="55">
        <v>5.5</v>
      </c>
      <c r="AI18" s="57">
        <v>15.38</v>
      </c>
      <c r="AJ18" s="56">
        <v>40</v>
      </c>
      <c r="AK18" s="54">
        <v>9.6999999999999993</v>
      </c>
      <c r="AL18" s="54">
        <v>0</v>
      </c>
      <c r="AM18" s="54">
        <v>5.7</v>
      </c>
      <c r="AN18" s="57">
        <v>6.73</v>
      </c>
      <c r="AO18" s="53">
        <v>41</v>
      </c>
      <c r="AP18" s="54">
        <v>9.6</v>
      </c>
      <c r="AQ18" s="54">
        <v>140</v>
      </c>
      <c r="AR18" s="54">
        <v>5.8</v>
      </c>
      <c r="AS18" s="57">
        <v>17.3</v>
      </c>
      <c r="AT18" s="56">
        <v>30</v>
      </c>
      <c r="AU18" s="57">
        <v>100</v>
      </c>
      <c r="AV18" s="56">
        <v>68.766273498535199</v>
      </c>
      <c r="AW18" s="57">
        <v>335.41534024874369</v>
      </c>
      <c r="AX18" s="8"/>
      <c r="AZ18" s="1">
        <v>90</v>
      </c>
      <c r="BB18" s="82">
        <f t="shared" si="1"/>
        <v>39.002079999999999</v>
      </c>
    </row>
    <row r="19" spans="3:54" ht="15" customHeight="1" x14ac:dyDescent="0.25">
      <c r="C19" s="42"/>
      <c r="D19" s="43">
        <f>D16</f>
        <v>45717</v>
      </c>
      <c r="E19" s="44">
        <f t="shared" si="2"/>
        <v>0.49999999999999994</v>
      </c>
      <c r="F19" s="45">
        <f t="shared" si="3"/>
        <v>45717.500000000007</v>
      </c>
      <c r="G19" s="52">
        <v>41</v>
      </c>
      <c r="H19" s="53">
        <v>41</v>
      </c>
      <c r="I19" s="54">
        <v>10.9</v>
      </c>
      <c r="J19" s="54">
        <v>250</v>
      </c>
      <c r="K19" s="55">
        <v>5.7</v>
      </c>
      <c r="L19" s="56">
        <v>41</v>
      </c>
      <c r="M19" s="54">
        <v>10.4</v>
      </c>
      <c r="N19" s="54">
        <v>250</v>
      </c>
      <c r="O19" s="57">
        <v>5.8</v>
      </c>
      <c r="P19" s="53">
        <v>41</v>
      </c>
      <c r="Q19" s="54">
        <v>10.199999999999999</v>
      </c>
      <c r="R19" s="55">
        <v>0</v>
      </c>
      <c r="S19" s="55">
        <v>5.2</v>
      </c>
      <c r="T19" s="57">
        <v>16.34</v>
      </c>
      <c r="U19" s="56">
        <v>40</v>
      </c>
      <c r="V19" s="54">
        <v>10.199999999999999</v>
      </c>
      <c r="W19" s="55">
        <v>0</v>
      </c>
      <c r="X19" s="55">
        <v>5.5</v>
      </c>
      <c r="Y19" s="57">
        <v>14.42</v>
      </c>
      <c r="Z19" s="53">
        <v>39</v>
      </c>
      <c r="AA19" s="54">
        <v>10.199999999999999</v>
      </c>
      <c r="AB19" s="55">
        <v>0</v>
      </c>
      <c r="AC19" s="55">
        <v>5.4</v>
      </c>
      <c r="AD19" s="57">
        <v>15.38</v>
      </c>
      <c r="AE19" s="56">
        <v>39</v>
      </c>
      <c r="AF19" s="54">
        <v>10.1</v>
      </c>
      <c r="AG19" s="55">
        <v>0</v>
      </c>
      <c r="AH19" s="55">
        <v>5.4</v>
      </c>
      <c r="AI19" s="57">
        <v>14.42</v>
      </c>
      <c r="AJ19" s="56">
        <v>39</v>
      </c>
      <c r="AK19" s="54">
        <v>9.9</v>
      </c>
      <c r="AL19" s="54">
        <v>0</v>
      </c>
      <c r="AM19" s="54">
        <v>5.4</v>
      </c>
      <c r="AN19" s="57">
        <v>7.69</v>
      </c>
      <c r="AO19" s="53">
        <v>39</v>
      </c>
      <c r="AP19" s="54">
        <v>9.8000000000000007</v>
      </c>
      <c r="AQ19" s="54">
        <v>140</v>
      </c>
      <c r="AR19" s="54">
        <v>5.7</v>
      </c>
      <c r="AS19" s="57">
        <v>16.34</v>
      </c>
      <c r="AT19" s="56">
        <v>28</v>
      </c>
      <c r="AU19" s="57">
        <v>100</v>
      </c>
      <c r="AV19" s="56">
        <v>69.25048828125</v>
      </c>
      <c r="AW19" s="57">
        <v>336.21600078145661</v>
      </c>
      <c r="AX19" s="8"/>
      <c r="AZ19" s="1">
        <v>90</v>
      </c>
      <c r="BB19" s="82">
        <f t="shared" si="1"/>
        <v>37.388779999999997</v>
      </c>
    </row>
    <row r="20" spans="3:54" ht="15" customHeight="1" x14ac:dyDescent="0.25">
      <c r="C20" s="42"/>
      <c r="D20" s="43">
        <f>D16</f>
        <v>45717</v>
      </c>
      <c r="E20" s="44">
        <f t="shared" si="2"/>
        <v>0.58333333333333326</v>
      </c>
      <c r="F20" s="45">
        <f t="shared" si="3"/>
        <v>45717.583333333343</v>
      </c>
      <c r="G20" s="52">
        <v>44</v>
      </c>
      <c r="H20" s="53">
        <v>42</v>
      </c>
      <c r="I20" s="54">
        <v>10.9</v>
      </c>
      <c r="J20" s="54">
        <v>300</v>
      </c>
      <c r="K20" s="55">
        <v>5.9</v>
      </c>
      <c r="L20" s="56">
        <v>40</v>
      </c>
      <c r="M20" s="54">
        <v>10.6</v>
      </c>
      <c r="N20" s="54">
        <v>250</v>
      </c>
      <c r="O20" s="57">
        <v>5.9</v>
      </c>
      <c r="P20" s="53">
        <v>40</v>
      </c>
      <c r="Q20" s="54">
        <v>10.5</v>
      </c>
      <c r="R20" s="55">
        <v>0</v>
      </c>
      <c r="S20" s="55">
        <v>5.5</v>
      </c>
      <c r="T20" s="57">
        <v>17.3</v>
      </c>
      <c r="U20" s="56">
        <v>40</v>
      </c>
      <c r="V20" s="54">
        <v>10.4</v>
      </c>
      <c r="W20" s="55">
        <v>0</v>
      </c>
      <c r="X20" s="55">
        <v>5.7</v>
      </c>
      <c r="Y20" s="57">
        <v>13.46</v>
      </c>
      <c r="Z20" s="53">
        <v>39</v>
      </c>
      <c r="AA20" s="54">
        <v>10.3</v>
      </c>
      <c r="AB20" s="55">
        <v>0</v>
      </c>
      <c r="AC20" s="55">
        <v>5.3</v>
      </c>
      <c r="AD20" s="57">
        <v>14.42</v>
      </c>
      <c r="AE20" s="56">
        <v>39</v>
      </c>
      <c r="AF20" s="54">
        <v>10.199999999999999</v>
      </c>
      <c r="AG20" s="55">
        <v>0</v>
      </c>
      <c r="AH20" s="55">
        <v>5.3</v>
      </c>
      <c r="AI20" s="57">
        <v>14.23</v>
      </c>
      <c r="AJ20" s="56">
        <v>39</v>
      </c>
      <c r="AK20" s="54">
        <v>10</v>
      </c>
      <c r="AL20" s="54">
        <v>0</v>
      </c>
      <c r="AM20" s="54">
        <v>5.3</v>
      </c>
      <c r="AN20" s="57">
        <v>7.69</v>
      </c>
      <c r="AO20" s="53">
        <v>40</v>
      </c>
      <c r="AP20" s="54">
        <v>9.9</v>
      </c>
      <c r="AQ20" s="54">
        <v>150</v>
      </c>
      <c r="AR20" s="54">
        <v>5.4</v>
      </c>
      <c r="AS20" s="57">
        <v>16.34</v>
      </c>
      <c r="AT20" s="56">
        <v>34</v>
      </c>
      <c r="AU20" s="57">
        <v>100</v>
      </c>
      <c r="AV20" s="56">
        <v>69.401039123535199</v>
      </c>
      <c r="AW20" s="57">
        <v>336.34970553716022</v>
      </c>
      <c r="AX20" s="8"/>
      <c r="AZ20" s="1">
        <v>90</v>
      </c>
      <c r="BB20" s="82">
        <f t="shared" si="1"/>
        <v>36.880480000000006</v>
      </c>
    </row>
    <row r="21" spans="3:54" ht="15" customHeight="1" x14ac:dyDescent="0.25">
      <c r="C21" s="42"/>
      <c r="D21" s="43">
        <f>D16</f>
        <v>45717</v>
      </c>
      <c r="E21" s="44">
        <f t="shared" si="2"/>
        <v>0.66666666666666663</v>
      </c>
      <c r="F21" s="45">
        <f t="shared" si="3"/>
        <v>45717.666666666679</v>
      </c>
      <c r="G21" s="52" t="s">
        <v>38</v>
      </c>
      <c r="H21" s="53">
        <v>42</v>
      </c>
      <c r="I21" s="54">
        <v>10.8</v>
      </c>
      <c r="J21" s="54">
        <v>300</v>
      </c>
      <c r="K21" s="55">
        <v>6</v>
      </c>
      <c r="L21" s="56">
        <v>41</v>
      </c>
      <c r="M21" s="54">
        <v>10.6</v>
      </c>
      <c r="N21" s="54">
        <v>250</v>
      </c>
      <c r="O21" s="57">
        <v>5.7</v>
      </c>
      <c r="P21" s="53">
        <v>39</v>
      </c>
      <c r="Q21" s="54">
        <v>10.5</v>
      </c>
      <c r="R21" s="55">
        <v>0</v>
      </c>
      <c r="S21" s="55">
        <v>5.3</v>
      </c>
      <c r="T21" s="57">
        <v>17.3</v>
      </c>
      <c r="U21" s="56">
        <v>39</v>
      </c>
      <c r="V21" s="54">
        <v>10.5</v>
      </c>
      <c r="W21" s="55">
        <v>0</v>
      </c>
      <c r="X21" s="55">
        <v>5.5</v>
      </c>
      <c r="Y21" s="57">
        <v>14.42</v>
      </c>
      <c r="Z21" s="53">
        <v>39</v>
      </c>
      <c r="AA21" s="54">
        <v>10.3</v>
      </c>
      <c r="AB21" s="55">
        <v>0</v>
      </c>
      <c r="AC21" s="55">
        <v>5.4</v>
      </c>
      <c r="AD21" s="57">
        <v>15.38</v>
      </c>
      <c r="AE21" s="56">
        <v>38</v>
      </c>
      <c r="AF21" s="54">
        <v>10.3</v>
      </c>
      <c r="AG21" s="55">
        <v>0</v>
      </c>
      <c r="AH21" s="55">
        <v>5.4</v>
      </c>
      <c r="AI21" s="57">
        <v>14.42</v>
      </c>
      <c r="AJ21" s="56">
        <v>38</v>
      </c>
      <c r="AK21" s="54">
        <v>10.1</v>
      </c>
      <c r="AL21" s="54">
        <v>0</v>
      </c>
      <c r="AM21" s="54">
        <v>5.2</v>
      </c>
      <c r="AN21" s="57">
        <v>6.73</v>
      </c>
      <c r="AO21" s="53">
        <v>39</v>
      </c>
      <c r="AP21" s="54">
        <v>10</v>
      </c>
      <c r="AQ21" s="54">
        <v>150</v>
      </c>
      <c r="AR21" s="54">
        <v>5.2</v>
      </c>
      <c r="AS21" s="57">
        <v>17.3</v>
      </c>
      <c r="AT21" s="56" t="s">
        <v>38</v>
      </c>
      <c r="AU21" s="57" t="s">
        <v>38</v>
      </c>
      <c r="AV21" s="56">
        <v>69.47021484375</v>
      </c>
      <c r="AW21" s="57">
        <v>337.81382671991986</v>
      </c>
      <c r="AX21" s="8"/>
      <c r="AZ21" s="1">
        <v>90</v>
      </c>
      <c r="BB21" s="82">
        <f t="shared" si="1"/>
        <v>37.813099999999999</v>
      </c>
    </row>
    <row r="22" spans="3:54" ht="15" customHeight="1" x14ac:dyDescent="0.25">
      <c r="C22" s="42"/>
      <c r="D22" s="43">
        <f>D16</f>
        <v>45717</v>
      </c>
      <c r="E22" s="44">
        <f t="shared" si="2"/>
        <v>0.75</v>
      </c>
      <c r="F22" s="45">
        <f t="shared" si="3"/>
        <v>45717.750000000015</v>
      </c>
      <c r="G22" s="52">
        <v>41</v>
      </c>
      <c r="H22" s="53">
        <v>42</v>
      </c>
      <c r="I22" s="54">
        <v>10.7</v>
      </c>
      <c r="J22" s="54">
        <v>350</v>
      </c>
      <c r="K22" s="55">
        <v>5.8</v>
      </c>
      <c r="L22" s="56">
        <v>40</v>
      </c>
      <c r="M22" s="54">
        <v>10.6</v>
      </c>
      <c r="N22" s="54">
        <v>250</v>
      </c>
      <c r="O22" s="57">
        <v>5.3</v>
      </c>
      <c r="P22" s="53">
        <v>40</v>
      </c>
      <c r="Q22" s="54">
        <v>10.5</v>
      </c>
      <c r="R22" s="55">
        <v>0</v>
      </c>
      <c r="S22" s="55">
        <v>5.3</v>
      </c>
      <c r="T22" s="57">
        <v>17.690000000000001</v>
      </c>
      <c r="U22" s="56">
        <v>39</v>
      </c>
      <c r="V22" s="54">
        <v>10.5</v>
      </c>
      <c r="W22" s="55">
        <v>0</v>
      </c>
      <c r="X22" s="55">
        <v>5.7</v>
      </c>
      <c r="Y22" s="57">
        <v>15.38</v>
      </c>
      <c r="Z22" s="53">
        <v>39</v>
      </c>
      <c r="AA22" s="54">
        <v>10.4</v>
      </c>
      <c r="AB22" s="55">
        <v>0</v>
      </c>
      <c r="AC22" s="55">
        <v>5.5</v>
      </c>
      <c r="AD22" s="57">
        <v>15.38</v>
      </c>
      <c r="AE22" s="56">
        <v>38</v>
      </c>
      <c r="AF22" s="54">
        <v>10.3</v>
      </c>
      <c r="AG22" s="55">
        <v>0</v>
      </c>
      <c r="AH22" s="55">
        <v>5.6</v>
      </c>
      <c r="AI22" s="57">
        <v>15</v>
      </c>
      <c r="AJ22" s="56">
        <v>38</v>
      </c>
      <c r="AK22" s="54">
        <v>10.199999999999999</v>
      </c>
      <c r="AL22" s="54">
        <v>0</v>
      </c>
      <c r="AM22" s="54">
        <v>5.7</v>
      </c>
      <c r="AN22" s="57">
        <v>6.73</v>
      </c>
      <c r="AO22" s="53">
        <v>39</v>
      </c>
      <c r="AP22" s="54">
        <v>10.1</v>
      </c>
      <c r="AQ22" s="54">
        <v>150</v>
      </c>
      <c r="AR22" s="54">
        <v>5.5</v>
      </c>
      <c r="AS22" s="57">
        <v>16.34</v>
      </c>
      <c r="AT22" s="56">
        <v>28</v>
      </c>
      <c r="AU22" s="57">
        <v>110</v>
      </c>
      <c r="AV22" s="56">
        <v>68.44482421875</v>
      </c>
      <c r="AW22" s="57">
        <v>337.74088564266759</v>
      </c>
      <c r="AX22" s="8"/>
      <c r="AZ22" s="1">
        <v>90</v>
      </c>
      <c r="BB22" s="82">
        <f t="shared" si="1"/>
        <v>38.241840000000003</v>
      </c>
    </row>
    <row r="23" spans="3:54" ht="15" customHeight="1" x14ac:dyDescent="0.25">
      <c r="C23" s="42"/>
      <c r="D23" s="43">
        <f>D16</f>
        <v>45717</v>
      </c>
      <c r="E23" s="44">
        <f t="shared" si="2"/>
        <v>0.83333333333333337</v>
      </c>
      <c r="F23" s="45">
        <f t="shared" si="3"/>
        <v>45717.83333333335</v>
      </c>
      <c r="G23" s="52">
        <v>39</v>
      </c>
      <c r="H23" s="53">
        <v>39</v>
      </c>
      <c r="I23" s="54">
        <v>10.4</v>
      </c>
      <c r="J23" s="54">
        <v>350</v>
      </c>
      <c r="K23" s="55">
        <v>7.1</v>
      </c>
      <c r="L23" s="56">
        <v>40</v>
      </c>
      <c r="M23" s="54">
        <v>10.6</v>
      </c>
      <c r="N23" s="54">
        <v>300</v>
      </c>
      <c r="O23" s="57">
        <v>7.3</v>
      </c>
      <c r="P23" s="53">
        <v>39</v>
      </c>
      <c r="Q23" s="54">
        <v>10.4</v>
      </c>
      <c r="R23" s="55">
        <v>0</v>
      </c>
      <c r="S23" s="55">
        <v>6.9</v>
      </c>
      <c r="T23" s="57">
        <v>17.3</v>
      </c>
      <c r="U23" s="56">
        <v>40</v>
      </c>
      <c r="V23" s="54">
        <v>10.3</v>
      </c>
      <c r="W23" s="55">
        <v>0</v>
      </c>
      <c r="X23" s="55">
        <v>6.7</v>
      </c>
      <c r="Y23" s="57">
        <v>15.38</v>
      </c>
      <c r="Z23" s="53">
        <v>40</v>
      </c>
      <c r="AA23" s="54">
        <v>10.199999999999999</v>
      </c>
      <c r="AB23" s="55">
        <v>0</v>
      </c>
      <c r="AC23" s="55">
        <v>6.7</v>
      </c>
      <c r="AD23" s="57">
        <v>16.34</v>
      </c>
      <c r="AE23" s="56">
        <v>37</v>
      </c>
      <c r="AF23" s="54">
        <v>10</v>
      </c>
      <c r="AG23" s="55">
        <v>0</v>
      </c>
      <c r="AH23" s="55">
        <v>6.5</v>
      </c>
      <c r="AI23" s="57">
        <v>14.42</v>
      </c>
      <c r="AJ23" s="56">
        <v>38</v>
      </c>
      <c r="AK23" s="54">
        <v>9.9</v>
      </c>
      <c r="AL23" s="54">
        <v>0</v>
      </c>
      <c r="AM23" s="54">
        <v>6.2</v>
      </c>
      <c r="AN23" s="57">
        <v>7.69</v>
      </c>
      <c r="AO23" s="53">
        <v>38</v>
      </c>
      <c r="AP23" s="54">
        <v>9.8000000000000007</v>
      </c>
      <c r="AQ23" s="54">
        <v>220</v>
      </c>
      <c r="AR23" s="54">
        <v>5.9</v>
      </c>
      <c r="AS23" s="57">
        <v>17.3</v>
      </c>
      <c r="AT23" s="56">
        <v>33</v>
      </c>
      <c r="AU23" s="57">
        <v>200</v>
      </c>
      <c r="AV23" s="56">
        <v>68.46923828125</v>
      </c>
      <c r="AW23" s="57">
        <v>341.85426324208578</v>
      </c>
      <c r="AX23" s="8"/>
      <c r="AZ23" s="1">
        <v>90</v>
      </c>
      <c r="BB23" s="82">
        <f t="shared" si="1"/>
        <v>39.086059999999996</v>
      </c>
    </row>
    <row r="24" spans="3:54" ht="15" customHeight="1" x14ac:dyDescent="0.25">
      <c r="C24" s="42"/>
      <c r="D24" s="43">
        <f>D16</f>
        <v>45717</v>
      </c>
      <c r="E24" s="44">
        <f t="shared" si="2"/>
        <v>0.91666666666666674</v>
      </c>
      <c r="F24" s="45">
        <f t="shared" si="3"/>
        <v>45717.916666666686</v>
      </c>
      <c r="G24" s="52">
        <v>43</v>
      </c>
      <c r="H24" s="53">
        <v>40</v>
      </c>
      <c r="I24" s="54">
        <v>10.9</v>
      </c>
      <c r="J24" s="54">
        <v>250</v>
      </c>
      <c r="K24" s="55">
        <v>6.9</v>
      </c>
      <c r="L24" s="56">
        <v>41</v>
      </c>
      <c r="M24" s="54">
        <v>10.5</v>
      </c>
      <c r="N24" s="54">
        <v>300</v>
      </c>
      <c r="O24" s="57">
        <v>7.1</v>
      </c>
      <c r="P24" s="53">
        <v>39</v>
      </c>
      <c r="Q24" s="54">
        <v>10.4</v>
      </c>
      <c r="R24" s="55">
        <v>0</v>
      </c>
      <c r="S24" s="55">
        <v>6.7</v>
      </c>
      <c r="T24" s="57">
        <v>18.2</v>
      </c>
      <c r="U24" s="56">
        <v>40</v>
      </c>
      <c r="V24" s="54">
        <v>10.3</v>
      </c>
      <c r="W24" s="55">
        <v>0</v>
      </c>
      <c r="X24" s="55">
        <v>6.5</v>
      </c>
      <c r="Y24" s="57">
        <v>15.3</v>
      </c>
      <c r="Z24" s="53">
        <v>40</v>
      </c>
      <c r="AA24" s="54">
        <v>10.199999999999999</v>
      </c>
      <c r="AB24" s="55">
        <v>0</v>
      </c>
      <c r="AC24" s="55">
        <v>6.5</v>
      </c>
      <c r="AD24" s="57">
        <v>16.3</v>
      </c>
      <c r="AE24" s="56">
        <v>38</v>
      </c>
      <c r="AF24" s="54">
        <v>10.1</v>
      </c>
      <c r="AG24" s="55">
        <v>0</v>
      </c>
      <c r="AH24" s="55">
        <v>6.4</v>
      </c>
      <c r="AI24" s="57">
        <v>14.4</v>
      </c>
      <c r="AJ24" s="56">
        <v>38</v>
      </c>
      <c r="AK24" s="54">
        <v>9.9</v>
      </c>
      <c r="AL24" s="54">
        <v>0</v>
      </c>
      <c r="AM24" s="54">
        <v>6</v>
      </c>
      <c r="AN24" s="57">
        <v>7.6</v>
      </c>
      <c r="AO24" s="53">
        <v>39</v>
      </c>
      <c r="AP24" s="54">
        <v>9.9</v>
      </c>
      <c r="AQ24" s="54">
        <v>220</v>
      </c>
      <c r="AR24" s="54">
        <v>5.7</v>
      </c>
      <c r="AS24" s="57">
        <v>18.2</v>
      </c>
      <c r="AT24" s="56">
        <v>33</v>
      </c>
      <c r="AU24" s="57">
        <v>190</v>
      </c>
      <c r="AV24" s="56">
        <v>68.831375122070298</v>
      </c>
      <c r="AW24" s="57">
        <v>341.49184992748002</v>
      </c>
      <c r="AX24" s="8"/>
      <c r="AZ24" s="1">
        <v>90</v>
      </c>
      <c r="BB24" s="82">
        <f t="shared" si="1"/>
        <v>39.78</v>
      </c>
    </row>
    <row r="25" spans="3:54" ht="15" customHeight="1" x14ac:dyDescent="0.25">
      <c r="C25" s="42"/>
      <c r="D25" s="43">
        <f>D16</f>
        <v>45717</v>
      </c>
      <c r="E25" s="44">
        <f t="shared" si="2"/>
        <v>1</v>
      </c>
      <c r="F25" s="45">
        <f t="shared" si="3"/>
        <v>45718.000000000022</v>
      </c>
      <c r="G25" s="52">
        <v>40</v>
      </c>
      <c r="H25" s="53">
        <v>40</v>
      </c>
      <c r="I25" s="54">
        <v>10.1</v>
      </c>
      <c r="J25" s="54">
        <v>200</v>
      </c>
      <c r="K25" s="55">
        <v>6.7</v>
      </c>
      <c r="L25" s="56">
        <v>41</v>
      </c>
      <c r="M25" s="54">
        <v>10.4</v>
      </c>
      <c r="N25" s="54">
        <v>250</v>
      </c>
      <c r="O25" s="57">
        <v>7</v>
      </c>
      <c r="P25" s="53">
        <v>41</v>
      </c>
      <c r="Q25" s="54">
        <v>10.4</v>
      </c>
      <c r="R25" s="55">
        <v>0</v>
      </c>
      <c r="S25" s="55">
        <v>6.4</v>
      </c>
      <c r="T25" s="57">
        <v>18.2</v>
      </c>
      <c r="U25" s="56">
        <v>40</v>
      </c>
      <c r="V25" s="54">
        <v>10.4</v>
      </c>
      <c r="W25" s="55">
        <v>0</v>
      </c>
      <c r="X25" s="55">
        <v>6.2</v>
      </c>
      <c r="Y25" s="57">
        <v>15.3</v>
      </c>
      <c r="Z25" s="53">
        <v>40</v>
      </c>
      <c r="AA25" s="54">
        <v>10.3</v>
      </c>
      <c r="AB25" s="55">
        <v>0</v>
      </c>
      <c r="AC25" s="55">
        <v>6.2</v>
      </c>
      <c r="AD25" s="57">
        <v>16.3</v>
      </c>
      <c r="AE25" s="56">
        <v>38</v>
      </c>
      <c r="AF25" s="54">
        <v>10.1</v>
      </c>
      <c r="AG25" s="55">
        <v>0</v>
      </c>
      <c r="AH25" s="55">
        <v>6.1</v>
      </c>
      <c r="AI25" s="57">
        <v>14.4</v>
      </c>
      <c r="AJ25" s="56">
        <v>38</v>
      </c>
      <c r="AK25" s="54">
        <v>10.1</v>
      </c>
      <c r="AL25" s="54">
        <v>0</v>
      </c>
      <c r="AM25" s="54">
        <v>6.2</v>
      </c>
      <c r="AN25" s="57">
        <v>7.6</v>
      </c>
      <c r="AO25" s="53">
        <v>39</v>
      </c>
      <c r="AP25" s="54">
        <v>9.8000000000000007</v>
      </c>
      <c r="AQ25" s="54">
        <v>210</v>
      </c>
      <c r="AR25" s="54">
        <v>5.3</v>
      </c>
      <c r="AS25" s="57">
        <v>18.600000000000001</v>
      </c>
      <c r="AT25" s="56">
        <v>34</v>
      </c>
      <c r="AU25" s="57">
        <v>190</v>
      </c>
      <c r="AV25" s="56">
        <v>68.505859375</v>
      </c>
      <c r="AW25" s="57">
        <v>342.8913479951521</v>
      </c>
      <c r="AX25" s="8"/>
      <c r="AZ25" s="1">
        <v>90</v>
      </c>
      <c r="BB25" s="82">
        <f t="shared" si="1"/>
        <v>39.956800000000001</v>
      </c>
    </row>
    <row r="26" spans="3:54" ht="15" customHeight="1" x14ac:dyDescent="0.25">
      <c r="C26" s="42"/>
      <c r="D26" s="43">
        <f>D16</f>
        <v>45717</v>
      </c>
      <c r="E26" s="44">
        <f t="shared" si="2"/>
        <v>1.0833333333333333</v>
      </c>
      <c r="F26" s="45">
        <f t="shared" si="3"/>
        <v>45718.083333333358</v>
      </c>
      <c r="G26" s="52">
        <v>43</v>
      </c>
      <c r="H26" s="53">
        <v>41</v>
      </c>
      <c r="I26" s="54">
        <v>10.1</v>
      </c>
      <c r="J26" s="54">
        <v>250</v>
      </c>
      <c r="K26" s="55">
        <v>6.4</v>
      </c>
      <c r="L26" s="56">
        <v>42</v>
      </c>
      <c r="M26" s="54">
        <v>10.199999999999999</v>
      </c>
      <c r="N26" s="54">
        <v>250</v>
      </c>
      <c r="O26" s="57">
        <v>6.7</v>
      </c>
      <c r="P26" s="53">
        <v>42</v>
      </c>
      <c r="Q26" s="54">
        <v>10.3</v>
      </c>
      <c r="R26" s="55">
        <v>0</v>
      </c>
      <c r="S26" s="55">
        <v>5.7</v>
      </c>
      <c r="T26" s="57">
        <v>18.2</v>
      </c>
      <c r="U26" s="56">
        <v>41</v>
      </c>
      <c r="V26" s="54">
        <v>10.3</v>
      </c>
      <c r="W26" s="55">
        <v>0</v>
      </c>
      <c r="X26" s="55">
        <v>5.8</v>
      </c>
      <c r="Y26" s="57">
        <v>15.3</v>
      </c>
      <c r="Z26" s="53">
        <v>40</v>
      </c>
      <c r="AA26" s="54">
        <v>10.199999999999999</v>
      </c>
      <c r="AB26" s="55">
        <v>0</v>
      </c>
      <c r="AC26" s="55">
        <v>6.1</v>
      </c>
      <c r="AD26" s="57">
        <v>15.3</v>
      </c>
      <c r="AE26" s="56">
        <v>39</v>
      </c>
      <c r="AF26" s="54">
        <v>10.1</v>
      </c>
      <c r="AG26" s="55">
        <v>0</v>
      </c>
      <c r="AH26" s="55">
        <v>5.9</v>
      </c>
      <c r="AI26" s="57">
        <v>15.3</v>
      </c>
      <c r="AJ26" s="56">
        <v>38</v>
      </c>
      <c r="AK26" s="54">
        <v>10.1</v>
      </c>
      <c r="AL26" s="54">
        <v>0</v>
      </c>
      <c r="AM26" s="54">
        <v>5.9</v>
      </c>
      <c r="AN26" s="57">
        <v>7.6</v>
      </c>
      <c r="AO26" s="53">
        <v>38</v>
      </c>
      <c r="AP26" s="54">
        <v>9.9</v>
      </c>
      <c r="AQ26" s="54">
        <v>220</v>
      </c>
      <c r="AR26" s="54">
        <v>5.0999999999999996</v>
      </c>
      <c r="AS26" s="57">
        <v>18.2</v>
      </c>
      <c r="AT26" s="56">
        <v>33</v>
      </c>
      <c r="AU26" s="57">
        <v>200</v>
      </c>
      <c r="AV26" s="56">
        <v>69.2138671875</v>
      </c>
      <c r="AW26" s="57">
        <v>342.90436917940775</v>
      </c>
      <c r="AX26" s="8"/>
      <c r="AZ26" s="1">
        <v>90</v>
      </c>
      <c r="BB26" s="82">
        <f t="shared" si="1"/>
        <v>39.735799999999998</v>
      </c>
    </row>
    <row r="27" spans="3:54" ht="15" customHeight="1" x14ac:dyDescent="0.25">
      <c r="C27" s="42"/>
      <c r="D27" s="58">
        <f>D16</f>
        <v>45717</v>
      </c>
      <c r="E27" s="59">
        <f t="shared" si="2"/>
        <v>1.1666666666666665</v>
      </c>
      <c r="F27" s="45">
        <f t="shared" si="3"/>
        <v>45718.166666666693</v>
      </c>
      <c r="G27" s="60">
        <v>41</v>
      </c>
      <c r="H27" s="61">
        <v>39</v>
      </c>
      <c r="I27" s="62">
        <v>9.8000000000000007</v>
      </c>
      <c r="J27" s="62">
        <v>250</v>
      </c>
      <c r="K27" s="63">
        <v>6</v>
      </c>
      <c r="L27" s="64">
        <v>40</v>
      </c>
      <c r="M27" s="62">
        <v>10</v>
      </c>
      <c r="N27" s="62">
        <v>250</v>
      </c>
      <c r="O27" s="65">
        <v>6.2</v>
      </c>
      <c r="P27" s="61">
        <v>40</v>
      </c>
      <c r="Q27" s="62">
        <v>10.3</v>
      </c>
      <c r="R27" s="63">
        <v>0</v>
      </c>
      <c r="S27" s="63">
        <v>5.4</v>
      </c>
      <c r="T27" s="65">
        <v>18.2</v>
      </c>
      <c r="U27" s="64">
        <v>39</v>
      </c>
      <c r="V27" s="62">
        <v>10.3</v>
      </c>
      <c r="W27" s="63">
        <v>0</v>
      </c>
      <c r="X27" s="63">
        <v>5.5</v>
      </c>
      <c r="Y27" s="65">
        <v>15.3</v>
      </c>
      <c r="Z27" s="61">
        <v>40</v>
      </c>
      <c r="AA27" s="62">
        <v>10.3</v>
      </c>
      <c r="AB27" s="63">
        <v>0</v>
      </c>
      <c r="AC27" s="63">
        <v>5.5</v>
      </c>
      <c r="AD27" s="65">
        <v>15.3</v>
      </c>
      <c r="AE27" s="64">
        <v>40</v>
      </c>
      <c r="AF27" s="62">
        <v>10.3</v>
      </c>
      <c r="AG27" s="63">
        <v>0</v>
      </c>
      <c r="AH27" s="63">
        <v>5.3</v>
      </c>
      <c r="AI27" s="65">
        <v>14.4</v>
      </c>
      <c r="AJ27" s="64">
        <v>40</v>
      </c>
      <c r="AK27" s="62">
        <v>10.199999999999999</v>
      </c>
      <c r="AL27" s="62">
        <v>0</v>
      </c>
      <c r="AM27" s="62">
        <v>5.2</v>
      </c>
      <c r="AN27" s="65">
        <v>7.6</v>
      </c>
      <c r="AO27" s="61">
        <v>39</v>
      </c>
      <c r="AP27" s="62">
        <v>10.1</v>
      </c>
      <c r="AQ27" s="62">
        <v>200</v>
      </c>
      <c r="AR27" s="62">
        <v>5.0999999999999996</v>
      </c>
      <c r="AS27" s="65">
        <v>18.600000000000001</v>
      </c>
      <c r="AT27" s="64">
        <v>35</v>
      </c>
      <c r="AU27" s="65">
        <v>180</v>
      </c>
      <c r="AV27" s="64">
        <v>69.466140747070298</v>
      </c>
      <c r="AW27" s="65">
        <v>343.30548291206361</v>
      </c>
      <c r="AX27" s="8"/>
      <c r="AZ27" s="1">
        <v>90</v>
      </c>
      <c r="BB27" s="82">
        <f t="shared" si="1"/>
        <v>39.514800000000001</v>
      </c>
    </row>
    <row r="28" spans="3:54" ht="15" customHeight="1" x14ac:dyDescent="0.25">
      <c r="C28" s="42">
        <f>C16+1</f>
        <v>2</v>
      </c>
      <c r="D28" s="66">
        <f>D16+1</f>
        <v>45718</v>
      </c>
      <c r="E28" s="67">
        <f>E27+2/24</f>
        <v>1.2499999999999998</v>
      </c>
      <c r="F28" s="68">
        <f t="shared" si="3"/>
        <v>45718.250000000029</v>
      </c>
      <c r="G28" s="46">
        <v>42</v>
      </c>
      <c r="H28" s="47">
        <v>40</v>
      </c>
      <c r="I28" s="48">
        <v>10.199999999999999</v>
      </c>
      <c r="J28" s="48">
        <v>250</v>
      </c>
      <c r="K28" s="49">
        <v>5.7</v>
      </c>
      <c r="L28" s="50">
        <v>41</v>
      </c>
      <c r="M28" s="48">
        <v>10.3</v>
      </c>
      <c r="N28" s="48">
        <v>250</v>
      </c>
      <c r="O28" s="51">
        <v>5.9</v>
      </c>
      <c r="P28" s="47">
        <v>41</v>
      </c>
      <c r="Q28" s="48">
        <v>10.3</v>
      </c>
      <c r="R28" s="49">
        <v>0</v>
      </c>
      <c r="S28" s="49">
        <v>5.5</v>
      </c>
      <c r="T28" s="51">
        <v>17.3</v>
      </c>
      <c r="U28" s="50">
        <v>41</v>
      </c>
      <c r="V28" s="48">
        <v>10</v>
      </c>
      <c r="W28" s="49">
        <v>0</v>
      </c>
      <c r="X28" s="49">
        <v>5.2</v>
      </c>
      <c r="Y28" s="51">
        <v>15</v>
      </c>
      <c r="Z28" s="47">
        <v>41</v>
      </c>
      <c r="AA28" s="48">
        <v>10</v>
      </c>
      <c r="AB28" s="49">
        <v>0</v>
      </c>
      <c r="AC28" s="49">
        <v>5.3</v>
      </c>
      <c r="AD28" s="51">
        <v>15</v>
      </c>
      <c r="AE28" s="50">
        <v>40</v>
      </c>
      <c r="AF28" s="48">
        <v>10.3</v>
      </c>
      <c r="AG28" s="49">
        <v>0</v>
      </c>
      <c r="AH28" s="49">
        <v>5.7</v>
      </c>
      <c r="AI28" s="51">
        <v>14.42</v>
      </c>
      <c r="AJ28" s="50">
        <v>39</v>
      </c>
      <c r="AK28" s="48">
        <v>10.199999999999999</v>
      </c>
      <c r="AL28" s="48">
        <v>0</v>
      </c>
      <c r="AM28" s="48">
        <v>5.0999999999999996</v>
      </c>
      <c r="AN28" s="51">
        <v>7.69</v>
      </c>
      <c r="AO28" s="47">
        <v>39</v>
      </c>
      <c r="AP28" s="48">
        <v>10.1</v>
      </c>
      <c r="AQ28" s="48">
        <v>190</v>
      </c>
      <c r="AR28" s="48">
        <v>5.2</v>
      </c>
      <c r="AS28" s="51">
        <v>17.3</v>
      </c>
      <c r="AT28" s="50">
        <v>33</v>
      </c>
      <c r="AU28" s="51">
        <v>180</v>
      </c>
      <c r="AV28" s="50">
        <v>68.9453125</v>
      </c>
      <c r="AW28" s="51">
        <v>340.92447928016384</v>
      </c>
      <c r="AX28" s="8"/>
      <c r="AZ28" s="1">
        <v>90</v>
      </c>
      <c r="BB28" s="82">
        <f t="shared" si="1"/>
        <v>38.32582</v>
      </c>
    </row>
    <row r="29" spans="3:54" ht="15" customHeight="1" x14ac:dyDescent="0.25">
      <c r="C29" s="42"/>
      <c r="D29" s="43">
        <f>D28</f>
        <v>45718</v>
      </c>
      <c r="E29" s="44">
        <f>E28+2/24</f>
        <v>1.333333333333333</v>
      </c>
      <c r="F29" s="45">
        <f t="shared" si="3"/>
        <v>45718.333333333365</v>
      </c>
      <c r="G29" s="52">
        <v>42</v>
      </c>
      <c r="H29" s="53">
        <v>41</v>
      </c>
      <c r="I29" s="54">
        <v>10</v>
      </c>
      <c r="J29" s="54">
        <v>300</v>
      </c>
      <c r="K29" s="55">
        <v>6.7</v>
      </c>
      <c r="L29" s="56">
        <v>43</v>
      </c>
      <c r="M29" s="54">
        <v>10</v>
      </c>
      <c r="N29" s="54">
        <v>200</v>
      </c>
      <c r="O29" s="57">
        <v>6.6</v>
      </c>
      <c r="P29" s="53">
        <v>40</v>
      </c>
      <c r="Q29" s="54">
        <v>10</v>
      </c>
      <c r="R29" s="55">
        <v>0</v>
      </c>
      <c r="S29" s="55">
        <v>7.2</v>
      </c>
      <c r="T29" s="57">
        <v>18.260000000000002</v>
      </c>
      <c r="U29" s="56">
        <v>40</v>
      </c>
      <c r="V29" s="54">
        <v>10.1</v>
      </c>
      <c r="W29" s="55">
        <v>0</v>
      </c>
      <c r="X29" s="55">
        <v>6.5</v>
      </c>
      <c r="Y29" s="57">
        <v>13.46</v>
      </c>
      <c r="Z29" s="53">
        <v>41</v>
      </c>
      <c r="AA29" s="54">
        <v>10.199999999999999</v>
      </c>
      <c r="AB29" s="55">
        <v>0</v>
      </c>
      <c r="AC29" s="55">
        <v>8.1</v>
      </c>
      <c r="AD29" s="57">
        <v>14.42</v>
      </c>
      <c r="AE29" s="56">
        <v>39</v>
      </c>
      <c r="AF29" s="54">
        <v>10.3</v>
      </c>
      <c r="AG29" s="55">
        <v>0</v>
      </c>
      <c r="AH29" s="55">
        <v>8.5</v>
      </c>
      <c r="AI29" s="57">
        <v>16.34</v>
      </c>
      <c r="AJ29" s="56">
        <v>39</v>
      </c>
      <c r="AK29" s="54">
        <v>10.199999999999999</v>
      </c>
      <c r="AL29" s="54">
        <v>0</v>
      </c>
      <c r="AM29" s="54">
        <v>8.8000000000000007</v>
      </c>
      <c r="AN29" s="57">
        <v>7.69</v>
      </c>
      <c r="AO29" s="53">
        <v>39</v>
      </c>
      <c r="AP29" s="54">
        <v>10.1</v>
      </c>
      <c r="AQ29" s="54">
        <v>190</v>
      </c>
      <c r="AR29" s="54">
        <v>8.1999999999999993</v>
      </c>
      <c r="AS29" s="57">
        <v>18.260000000000002</v>
      </c>
      <c r="AT29" s="56">
        <v>37</v>
      </c>
      <c r="AU29" s="57">
        <v>170</v>
      </c>
      <c r="AV29" s="56">
        <v>69.905593872070298</v>
      </c>
      <c r="AW29" s="57">
        <v>339.72125746409097</v>
      </c>
      <c r="AX29" s="8"/>
      <c r="AZ29" s="1">
        <v>90</v>
      </c>
      <c r="BB29" s="82">
        <f t="shared" si="1"/>
        <v>39.086059999999996</v>
      </c>
    </row>
    <row r="30" spans="3:54" ht="15" customHeight="1" x14ac:dyDescent="0.25">
      <c r="C30" s="42"/>
      <c r="D30" s="43">
        <f>D28</f>
        <v>45718</v>
      </c>
      <c r="E30" s="44">
        <f t="shared" ref="E30:E39" si="4">E29+2/24</f>
        <v>1.4166666666666663</v>
      </c>
      <c r="F30" s="45">
        <f t="shared" si="3"/>
        <v>45718.416666666701</v>
      </c>
      <c r="G30" s="52">
        <v>41</v>
      </c>
      <c r="H30" s="53">
        <v>39</v>
      </c>
      <c r="I30" s="54">
        <v>9.5</v>
      </c>
      <c r="J30" s="54">
        <v>150</v>
      </c>
      <c r="K30" s="55">
        <v>7.1</v>
      </c>
      <c r="L30" s="56">
        <v>42</v>
      </c>
      <c r="M30" s="54">
        <v>9.8000000000000007</v>
      </c>
      <c r="N30" s="54">
        <v>200</v>
      </c>
      <c r="O30" s="57">
        <v>6</v>
      </c>
      <c r="P30" s="53">
        <v>40</v>
      </c>
      <c r="Q30" s="54">
        <v>9.9</v>
      </c>
      <c r="R30" s="55">
        <v>0</v>
      </c>
      <c r="S30" s="55">
        <v>8.1999999999999993</v>
      </c>
      <c r="T30" s="57">
        <v>18.07</v>
      </c>
      <c r="U30" s="56">
        <v>44</v>
      </c>
      <c r="V30" s="54">
        <v>10</v>
      </c>
      <c r="W30" s="55">
        <v>0</v>
      </c>
      <c r="X30" s="55">
        <v>8.4</v>
      </c>
      <c r="Y30" s="57">
        <v>13.84</v>
      </c>
      <c r="Z30" s="53">
        <v>40</v>
      </c>
      <c r="AA30" s="54">
        <v>10</v>
      </c>
      <c r="AB30" s="55">
        <v>0</v>
      </c>
      <c r="AC30" s="55">
        <v>8.9</v>
      </c>
      <c r="AD30" s="57">
        <v>14.61</v>
      </c>
      <c r="AE30" s="56">
        <v>40</v>
      </c>
      <c r="AF30" s="54">
        <v>10.1</v>
      </c>
      <c r="AG30" s="55">
        <v>0</v>
      </c>
      <c r="AH30" s="55">
        <v>8.8000000000000007</v>
      </c>
      <c r="AI30" s="57">
        <v>16.149999999999999</v>
      </c>
      <c r="AJ30" s="56">
        <v>39</v>
      </c>
      <c r="AK30" s="54">
        <v>10.1</v>
      </c>
      <c r="AL30" s="54">
        <v>0</v>
      </c>
      <c r="AM30" s="54">
        <v>7.3</v>
      </c>
      <c r="AN30" s="57">
        <v>7.88</v>
      </c>
      <c r="AO30" s="53">
        <v>39</v>
      </c>
      <c r="AP30" s="54">
        <v>10</v>
      </c>
      <c r="AQ30" s="54">
        <v>170</v>
      </c>
      <c r="AR30" s="54">
        <v>8.5</v>
      </c>
      <c r="AS30" s="57">
        <v>18.260000000000002</v>
      </c>
      <c r="AT30" s="56">
        <v>36</v>
      </c>
      <c r="AU30" s="57">
        <v>150</v>
      </c>
      <c r="AV30" s="56">
        <v>69.5556640625</v>
      </c>
      <c r="AW30" s="57">
        <v>338.81582752863568</v>
      </c>
      <c r="AX30" s="8"/>
      <c r="AZ30" s="1">
        <v>90</v>
      </c>
      <c r="BB30" s="82">
        <f t="shared" si="1"/>
        <v>39.254019999999997</v>
      </c>
    </row>
    <row r="31" spans="3:54" ht="15" customHeight="1" x14ac:dyDescent="0.25">
      <c r="C31" s="42"/>
      <c r="D31" s="43">
        <f>D28</f>
        <v>45718</v>
      </c>
      <c r="E31" s="44">
        <f t="shared" si="4"/>
        <v>1.4999999999999996</v>
      </c>
      <c r="F31" s="45">
        <f t="shared" si="3"/>
        <v>45718.500000000036</v>
      </c>
      <c r="G31" s="52">
        <v>38</v>
      </c>
      <c r="H31" s="53">
        <v>39</v>
      </c>
      <c r="I31" s="54">
        <v>9.4</v>
      </c>
      <c r="J31" s="54">
        <v>200</v>
      </c>
      <c r="K31" s="55">
        <v>0</v>
      </c>
      <c r="L31" s="56">
        <v>40</v>
      </c>
      <c r="M31" s="54">
        <v>9.6999999999999993</v>
      </c>
      <c r="N31" s="54">
        <v>200</v>
      </c>
      <c r="O31" s="57">
        <v>0</v>
      </c>
      <c r="P31" s="53">
        <v>41</v>
      </c>
      <c r="Q31" s="54">
        <v>9.9</v>
      </c>
      <c r="R31" s="55">
        <v>0</v>
      </c>
      <c r="S31" s="55">
        <v>0</v>
      </c>
      <c r="T31" s="57">
        <v>17.88</v>
      </c>
      <c r="U31" s="56">
        <v>41</v>
      </c>
      <c r="V31" s="54">
        <v>10</v>
      </c>
      <c r="W31" s="55">
        <v>0</v>
      </c>
      <c r="X31" s="55">
        <v>0</v>
      </c>
      <c r="Y31" s="57">
        <v>13.65</v>
      </c>
      <c r="Z31" s="53">
        <v>40</v>
      </c>
      <c r="AA31" s="54">
        <v>10.1</v>
      </c>
      <c r="AB31" s="55">
        <v>0</v>
      </c>
      <c r="AC31" s="55">
        <v>0</v>
      </c>
      <c r="AD31" s="57">
        <v>14.42</v>
      </c>
      <c r="AE31" s="56">
        <v>39</v>
      </c>
      <c r="AF31" s="54">
        <v>10.1</v>
      </c>
      <c r="AG31" s="55">
        <v>0</v>
      </c>
      <c r="AH31" s="55">
        <v>0</v>
      </c>
      <c r="AI31" s="57">
        <v>15.96</v>
      </c>
      <c r="AJ31" s="56">
        <v>38</v>
      </c>
      <c r="AK31" s="54">
        <v>10.1</v>
      </c>
      <c r="AL31" s="54">
        <v>0</v>
      </c>
      <c r="AM31" s="54">
        <v>0</v>
      </c>
      <c r="AN31" s="57">
        <v>8.65</v>
      </c>
      <c r="AO31" s="53">
        <v>38</v>
      </c>
      <c r="AP31" s="54">
        <v>10</v>
      </c>
      <c r="AQ31" s="54">
        <v>170</v>
      </c>
      <c r="AR31" s="54">
        <v>0</v>
      </c>
      <c r="AS31" s="57">
        <v>18.07</v>
      </c>
      <c r="AT31" s="56">
        <v>36</v>
      </c>
      <c r="AU31" s="57">
        <v>150</v>
      </c>
      <c r="AV31" s="56">
        <v>91.499832153320298</v>
      </c>
      <c r="AW31" s="57">
        <v>311.62061176300051</v>
      </c>
      <c r="AX31" s="8"/>
      <c r="AZ31" s="1">
        <v>90</v>
      </c>
      <c r="BB31" s="82">
        <f t="shared" si="1"/>
        <v>39.174459999999996</v>
      </c>
    </row>
    <row r="32" spans="3:54" ht="15" customHeight="1" x14ac:dyDescent="0.25">
      <c r="C32" s="42"/>
      <c r="D32" s="43">
        <f>D28</f>
        <v>45718</v>
      </c>
      <c r="E32" s="44">
        <f t="shared" si="4"/>
        <v>1.5833333333333328</v>
      </c>
      <c r="F32" s="45">
        <f t="shared" si="3"/>
        <v>45718.583333333372</v>
      </c>
      <c r="G32" s="52">
        <v>42</v>
      </c>
      <c r="H32" s="53">
        <v>39</v>
      </c>
      <c r="I32" s="54">
        <v>9.1999999999999993</v>
      </c>
      <c r="J32" s="54">
        <v>250</v>
      </c>
      <c r="K32" s="55">
        <v>0</v>
      </c>
      <c r="L32" s="56">
        <v>41</v>
      </c>
      <c r="M32" s="54">
        <v>9.9</v>
      </c>
      <c r="N32" s="54">
        <v>250</v>
      </c>
      <c r="O32" s="57">
        <v>0</v>
      </c>
      <c r="P32" s="53">
        <v>42</v>
      </c>
      <c r="Q32" s="54">
        <v>9.6999999999999993</v>
      </c>
      <c r="R32" s="55">
        <v>0</v>
      </c>
      <c r="S32" s="55">
        <v>0</v>
      </c>
      <c r="T32" s="57">
        <v>15.76</v>
      </c>
      <c r="U32" s="56">
        <v>42</v>
      </c>
      <c r="V32" s="54">
        <v>9.9</v>
      </c>
      <c r="W32" s="55">
        <v>0</v>
      </c>
      <c r="X32" s="55">
        <v>0</v>
      </c>
      <c r="Y32" s="57">
        <v>14.03</v>
      </c>
      <c r="Z32" s="53">
        <v>40</v>
      </c>
      <c r="AA32" s="54">
        <v>10</v>
      </c>
      <c r="AB32" s="55">
        <v>0</v>
      </c>
      <c r="AC32" s="55">
        <v>0</v>
      </c>
      <c r="AD32" s="57">
        <v>14.42</v>
      </c>
      <c r="AE32" s="56">
        <v>40</v>
      </c>
      <c r="AF32" s="54">
        <v>10.1</v>
      </c>
      <c r="AG32" s="55">
        <v>0</v>
      </c>
      <c r="AH32" s="55">
        <v>0</v>
      </c>
      <c r="AI32" s="57">
        <v>14.42</v>
      </c>
      <c r="AJ32" s="56">
        <v>40</v>
      </c>
      <c r="AK32" s="54">
        <v>10.1</v>
      </c>
      <c r="AL32" s="54">
        <v>0</v>
      </c>
      <c r="AM32" s="54">
        <v>0</v>
      </c>
      <c r="AN32" s="57">
        <v>7.69</v>
      </c>
      <c r="AO32" s="53">
        <v>40</v>
      </c>
      <c r="AP32" s="54">
        <v>10.1</v>
      </c>
      <c r="AQ32" s="54">
        <v>100</v>
      </c>
      <c r="AR32" s="54">
        <v>0</v>
      </c>
      <c r="AS32" s="57">
        <v>18.260000000000002</v>
      </c>
      <c r="AT32" s="56">
        <v>35</v>
      </c>
      <c r="AU32" s="57">
        <v>150</v>
      </c>
      <c r="AV32" s="56">
        <v>94.62890625</v>
      </c>
      <c r="AW32" s="57">
        <v>263.83282646493365</v>
      </c>
      <c r="AX32" s="8"/>
      <c r="AZ32" s="1">
        <v>90</v>
      </c>
      <c r="BB32" s="82">
        <f t="shared" si="1"/>
        <v>37.384360000000001</v>
      </c>
    </row>
    <row r="33" spans="3:54" ht="15" customHeight="1" x14ac:dyDescent="0.25">
      <c r="C33" s="42"/>
      <c r="D33" s="43">
        <f>D28</f>
        <v>45718</v>
      </c>
      <c r="E33" s="44">
        <f t="shared" si="4"/>
        <v>1.6666666666666661</v>
      </c>
      <c r="F33" s="45">
        <f t="shared" si="3"/>
        <v>45718.666666666708</v>
      </c>
      <c r="G33" s="52">
        <v>41</v>
      </c>
      <c r="H33" s="53">
        <v>40</v>
      </c>
      <c r="I33" s="54">
        <v>10</v>
      </c>
      <c r="J33" s="54">
        <v>250</v>
      </c>
      <c r="K33" s="55">
        <v>0</v>
      </c>
      <c r="L33" s="56">
        <v>42</v>
      </c>
      <c r="M33" s="54">
        <v>9.8000000000000007</v>
      </c>
      <c r="N33" s="54">
        <v>300</v>
      </c>
      <c r="O33" s="57">
        <v>0</v>
      </c>
      <c r="P33" s="53">
        <v>43</v>
      </c>
      <c r="Q33" s="54">
        <v>9.9</v>
      </c>
      <c r="R33" s="55">
        <v>0</v>
      </c>
      <c r="S33" s="55">
        <v>0</v>
      </c>
      <c r="T33" s="57">
        <v>15.38</v>
      </c>
      <c r="U33" s="56">
        <v>43</v>
      </c>
      <c r="V33" s="54">
        <v>9.8000000000000007</v>
      </c>
      <c r="W33" s="55">
        <v>0</v>
      </c>
      <c r="X33" s="55">
        <v>0</v>
      </c>
      <c r="Y33" s="57">
        <v>13.46</v>
      </c>
      <c r="Z33" s="53">
        <v>44</v>
      </c>
      <c r="AA33" s="54">
        <v>9.8000000000000007</v>
      </c>
      <c r="AB33" s="55">
        <v>0</v>
      </c>
      <c r="AC33" s="55">
        <v>0</v>
      </c>
      <c r="AD33" s="57">
        <v>14.42</v>
      </c>
      <c r="AE33" s="56">
        <v>43</v>
      </c>
      <c r="AF33" s="54">
        <v>10.1</v>
      </c>
      <c r="AG33" s="55">
        <v>0</v>
      </c>
      <c r="AH33" s="55">
        <v>0</v>
      </c>
      <c r="AI33" s="57">
        <v>13.46</v>
      </c>
      <c r="AJ33" s="56">
        <v>41</v>
      </c>
      <c r="AK33" s="54">
        <v>10.1</v>
      </c>
      <c r="AL33" s="54">
        <v>0</v>
      </c>
      <c r="AM33" s="54">
        <v>0</v>
      </c>
      <c r="AN33" s="57">
        <v>6.73</v>
      </c>
      <c r="AO33" s="53">
        <v>38</v>
      </c>
      <c r="AP33" s="54">
        <v>10.199999999999999</v>
      </c>
      <c r="AQ33" s="54">
        <v>170</v>
      </c>
      <c r="AR33" s="54">
        <v>0</v>
      </c>
      <c r="AS33" s="57">
        <v>18.260000000000002</v>
      </c>
      <c r="AT33" s="56">
        <v>33</v>
      </c>
      <c r="AU33" s="57">
        <v>130</v>
      </c>
      <c r="AV33" s="56">
        <v>94.657386779785199</v>
      </c>
      <c r="AW33" s="57">
        <v>266.53706144100676</v>
      </c>
      <c r="AX33" s="8"/>
      <c r="AZ33" s="1">
        <v>90</v>
      </c>
      <c r="BB33" s="82">
        <f t="shared" si="1"/>
        <v>36.115819999999999</v>
      </c>
    </row>
    <row r="34" spans="3:54" ht="15" customHeight="1" x14ac:dyDescent="0.25">
      <c r="C34" s="42"/>
      <c r="D34" s="43">
        <f>D28</f>
        <v>45718</v>
      </c>
      <c r="E34" s="44">
        <f t="shared" si="4"/>
        <v>1.7499999999999993</v>
      </c>
      <c r="F34" s="45">
        <f t="shared" si="3"/>
        <v>45718.750000000044</v>
      </c>
      <c r="G34" s="52">
        <v>40</v>
      </c>
      <c r="H34" s="53">
        <v>42</v>
      </c>
      <c r="I34" s="54">
        <v>9.9</v>
      </c>
      <c r="J34" s="54">
        <v>250</v>
      </c>
      <c r="K34" s="55">
        <v>0</v>
      </c>
      <c r="L34" s="56">
        <v>42</v>
      </c>
      <c r="M34" s="54">
        <v>9.9</v>
      </c>
      <c r="N34" s="54">
        <v>250</v>
      </c>
      <c r="O34" s="57">
        <v>0</v>
      </c>
      <c r="P34" s="53">
        <v>41</v>
      </c>
      <c r="Q34" s="54">
        <v>9.6999999999999993</v>
      </c>
      <c r="R34" s="55">
        <v>0</v>
      </c>
      <c r="S34" s="55">
        <v>0</v>
      </c>
      <c r="T34" s="57">
        <v>16.36</v>
      </c>
      <c r="U34" s="56">
        <v>40</v>
      </c>
      <c r="V34" s="54">
        <v>9.6999999999999993</v>
      </c>
      <c r="W34" s="55">
        <v>0</v>
      </c>
      <c r="X34" s="55">
        <v>0</v>
      </c>
      <c r="Y34" s="57">
        <v>14.03</v>
      </c>
      <c r="Z34" s="53">
        <v>43</v>
      </c>
      <c r="AA34" s="54">
        <v>9.9</v>
      </c>
      <c r="AB34" s="55">
        <v>0</v>
      </c>
      <c r="AC34" s="55">
        <v>0</v>
      </c>
      <c r="AD34" s="57">
        <v>14.23</v>
      </c>
      <c r="AE34" s="56">
        <v>40</v>
      </c>
      <c r="AF34" s="54">
        <v>10.1</v>
      </c>
      <c r="AG34" s="55">
        <v>0</v>
      </c>
      <c r="AH34" s="55">
        <v>0</v>
      </c>
      <c r="AI34" s="57">
        <v>14.61</v>
      </c>
      <c r="AJ34" s="56">
        <v>41</v>
      </c>
      <c r="AK34" s="54">
        <v>9.9</v>
      </c>
      <c r="AL34" s="54">
        <v>0</v>
      </c>
      <c r="AM34" s="54">
        <v>0</v>
      </c>
      <c r="AN34" s="57">
        <v>7.88</v>
      </c>
      <c r="AO34" s="53">
        <v>40</v>
      </c>
      <c r="AP34" s="54">
        <v>9.9</v>
      </c>
      <c r="AQ34" s="54">
        <v>160</v>
      </c>
      <c r="AR34" s="54">
        <v>0</v>
      </c>
      <c r="AS34" s="57">
        <v>18.07</v>
      </c>
      <c r="AT34" s="56">
        <v>34</v>
      </c>
      <c r="AU34" s="57">
        <v>130</v>
      </c>
      <c r="AV34" s="56">
        <v>94.755043029785199</v>
      </c>
      <c r="AW34" s="57">
        <v>270.48201211583796</v>
      </c>
      <c r="AX34" s="8"/>
      <c r="AZ34" s="1">
        <v>90</v>
      </c>
      <c r="BB34" s="82">
        <f t="shared" si="1"/>
        <v>37.649560000000001</v>
      </c>
    </row>
    <row r="35" spans="3:54" ht="15" customHeight="1" x14ac:dyDescent="0.25">
      <c r="C35" s="42"/>
      <c r="D35" s="43">
        <f>D28</f>
        <v>45718</v>
      </c>
      <c r="E35" s="44">
        <f t="shared" si="4"/>
        <v>1.8333333333333326</v>
      </c>
      <c r="F35" s="45">
        <f t="shared" si="3"/>
        <v>45718.833333333379</v>
      </c>
      <c r="G35" s="52">
        <v>42</v>
      </c>
      <c r="H35" s="53">
        <v>40</v>
      </c>
      <c r="I35" s="54">
        <v>10.5</v>
      </c>
      <c r="J35" s="54">
        <v>250</v>
      </c>
      <c r="K35" s="55">
        <v>0</v>
      </c>
      <c r="L35" s="56">
        <v>40</v>
      </c>
      <c r="M35" s="54">
        <v>9.9</v>
      </c>
      <c r="N35" s="54">
        <v>300</v>
      </c>
      <c r="O35" s="57">
        <v>0</v>
      </c>
      <c r="P35" s="53">
        <v>41</v>
      </c>
      <c r="Q35" s="54">
        <v>9.8000000000000007</v>
      </c>
      <c r="R35" s="55">
        <v>0</v>
      </c>
      <c r="S35" s="55">
        <v>0</v>
      </c>
      <c r="T35" s="57">
        <v>17.3</v>
      </c>
      <c r="U35" s="56">
        <v>41</v>
      </c>
      <c r="V35" s="54">
        <v>9.6999999999999993</v>
      </c>
      <c r="W35" s="55">
        <v>0</v>
      </c>
      <c r="X35" s="55">
        <v>0</v>
      </c>
      <c r="Y35" s="57">
        <v>16.34</v>
      </c>
      <c r="Z35" s="53">
        <v>41</v>
      </c>
      <c r="AA35" s="54">
        <v>9.8000000000000007</v>
      </c>
      <c r="AB35" s="55">
        <v>0</v>
      </c>
      <c r="AC35" s="55">
        <v>0</v>
      </c>
      <c r="AD35" s="57">
        <v>15.38</v>
      </c>
      <c r="AE35" s="56">
        <v>41</v>
      </c>
      <c r="AF35" s="54">
        <v>9.8000000000000007</v>
      </c>
      <c r="AG35" s="55">
        <v>0</v>
      </c>
      <c r="AH35" s="55">
        <v>0</v>
      </c>
      <c r="AI35" s="57">
        <v>15.38</v>
      </c>
      <c r="AJ35" s="56">
        <v>40</v>
      </c>
      <c r="AK35" s="54">
        <v>9.8000000000000007</v>
      </c>
      <c r="AL35" s="54">
        <v>0</v>
      </c>
      <c r="AM35" s="54">
        <v>0</v>
      </c>
      <c r="AN35" s="57">
        <v>7.69</v>
      </c>
      <c r="AO35" s="53">
        <v>40</v>
      </c>
      <c r="AP35" s="54">
        <v>9.9</v>
      </c>
      <c r="AQ35" s="54">
        <v>150</v>
      </c>
      <c r="AR35" s="54">
        <v>0</v>
      </c>
      <c r="AS35" s="57">
        <v>17.3</v>
      </c>
      <c r="AT35" s="56">
        <v>32</v>
      </c>
      <c r="AU35" s="57">
        <v>110</v>
      </c>
      <c r="AV35" s="56">
        <v>94.7021484375</v>
      </c>
      <c r="AW35" s="57">
        <v>274.39404792310671</v>
      </c>
      <c r="AX35" s="8"/>
      <c r="AZ35" s="1">
        <v>90</v>
      </c>
      <c r="BB35" s="82">
        <f t="shared" si="1"/>
        <v>39.510379999999998</v>
      </c>
    </row>
    <row r="36" spans="3:54" ht="15" customHeight="1" x14ac:dyDescent="0.25">
      <c r="C36" s="42"/>
      <c r="D36" s="43">
        <f>D28</f>
        <v>45718</v>
      </c>
      <c r="E36" s="44">
        <f t="shared" si="4"/>
        <v>1.9166666666666659</v>
      </c>
      <c r="F36" s="45">
        <f t="shared" si="3"/>
        <v>45718.916666666715</v>
      </c>
      <c r="G36" s="52">
        <v>44</v>
      </c>
      <c r="H36" s="53">
        <v>41</v>
      </c>
      <c r="I36" s="54">
        <v>10.6</v>
      </c>
      <c r="J36" s="54">
        <v>250</v>
      </c>
      <c r="K36" s="55">
        <v>0</v>
      </c>
      <c r="L36" s="56">
        <v>41</v>
      </c>
      <c r="M36" s="54">
        <v>10</v>
      </c>
      <c r="N36" s="54">
        <v>250</v>
      </c>
      <c r="O36" s="57">
        <v>0</v>
      </c>
      <c r="P36" s="53">
        <v>40</v>
      </c>
      <c r="Q36" s="54">
        <v>9.8000000000000007</v>
      </c>
      <c r="R36" s="55">
        <v>0</v>
      </c>
      <c r="S36" s="55">
        <v>0</v>
      </c>
      <c r="T36" s="57">
        <v>18.260000000000002</v>
      </c>
      <c r="U36" s="56">
        <v>40</v>
      </c>
      <c r="V36" s="54">
        <v>9.6999999999999993</v>
      </c>
      <c r="W36" s="55">
        <v>0</v>
      </c>
      <c r="X36" s="55">
        <v>0</v>
      </c>
      <c r="Y36" s="57">
        <v>14.8</v>
      </c>
      <c r="Z36" s="53">
        <v>40</v>
      </c>
      <c r="AA36" s="54">
        <v>9.8000000000000007</v>
      </c>
      <c r="AB36" s="55">
        <v>0</v>
      </c>
      <c r="AC36" s="55">
        <v>0</v>
      </c>
      <c r="AD36" s="57">
        <v>15.96</v>
      </c>
      <c r="AE36" s="56">
        <v>39</v>
      </c>
      <c r="AF36" s="54">
        <v>9.8000000000000007</v>
      </c>
      <c r="AG36" s="55">
        <v>0</v>
      </c>
      <c r="AH36" s="55">
        <v>0</v>
      </c>
      <c r="AI36" s="57">
        <v>14.42</v>
      </c>
      <c r="AJ36" s="56">
        <v>39</v>
      </c>
      <c r="AK36" s="54">
        <v>9.6999999999999993</v>
      </c>
      <c r="AL36" s="54">
        <v>0</v>
      </c>
      <c r="AM36" s="54">
        <v>0</v>
      </c>
      <c r="AN36" s="57">
        <v>7.69</v>
      </c>
      <c r="AO36" s="53">
        <v>40</v>
      </c>
      <c r="AP36" s="54">
        <v>9.9</v>
      </c>
      <c r="AQ36" s="54">
        <v>160</v>
      </c>
      <c r="AR36" s="54">
        <v>0</v>
      </c>
      <c r="AS36" s="57">
        <v>16.53</v>
      </c>
      <c r="AT36" s="56">
        <v>33</v>
      </c>
      <c r="AU36" s="57">
        <v>130</v>
      </c>
      <c r="AV36" s="56">
        <v>94.864906311035199</v>
      </c>
      <c r="AW36" s="57">
        <v>276.26133344800525</v>
      </c>
      <c r="AX36" s="8"/>
      <c r="AZ36" s="1">
        <v>90</v>
      </c>
      <c r="BB36" s="82">
        <f t="shared" si="1"/>
        <v>38.745719999999999</v>
      </c>
    </row>
    <row r="37" spans="3:54" ht="15" customHeight="1" x14ac:dyDescent="0.25">
      <c r="C37" s="42"/>
      <c r="D37" s="43">
        <f>D28</f>
        <v>45718</v>
      </c>
      <c r="E37" s="44">
        <f t="shared" si="4"/>
        <v>1.9999999999999991</v>
      </c>
      <c r="F37" s="45">
        <f t="shared" si="3"/>
        <v>45719.000000000051</v>
      </c>
      <c r="G37" s="52">
        <v>43</v>
      </c>
      <c r="H37" s="53">
        <v>40</v>
      </c>
      <c r="I37" s="54">
        <v>10.4</v>
      </c>
      <c r="J37" s="54">
        <v>250</v>
      </c>
      <c r="K37" s="55">
        <v>0</v>
      </c>
      <c r="L37" s="56">
        <v>40</v>
      </c>
      <c r="M37" s="54">
        <v>10</v>
      </c>
      <c r="N37" s="54">
        <v>250</v>
      </c>
      <c r="O37" s="57">
        <v>0</v>
      </c>
      <c r="P37" s="53">
        <v>40</v>
      </c>
      <c r="Q37" s="54">
        <v>9.8000000000000007</v>
      </c>
      <c r="R37" s="55">
        <v>0</v>
      </c>
      <c r="S37" s="55">
        <v>0</v>
      </c>
      <c r="T37" s="57">
        <v>18.07</v>
      </c>
      <c r="U37" s="56">
        <v>39</v>
      </c>
      <c r="V37" s="54">
        <v>9.6999999999999993</v>
      </c>
      <c r="W37" s="55">
        <v>0</v>
      </c>
      <c r="X37" s="55">
        <v>0</v>
      </c>
      <c r="Y37" s="57">
        <v>15.38</v>
      </c>
      <c r="Z37" s="53">
        <v>39</v>
      </c>
      <c r="AA37" s="54">
        <v>9.6999999999999993</v>
      </c>
      <c r="AB37" s="55">
        <v>0</v>
      </c>
      <c r="AC37" s="55">
        <v>0</v>
      </c>
      <c r="AD37" s="57">
        <v>14.42</v>
      </c>
      <c r="AE37" s="56">
        <v>40</v>
      </c>
      <c r="AF37" s="54">
        <v>9.6999999999999993</v>
      </c>
      <c r="AG37" s="55">
        <v>0</v>
      </c>
      <c r="AH37" s="55">
        <v>0</v>
      </c>
      <c r="AI37" s="57">
        <v>15.38</v>
      </c>
      <c r="AJ37" s="56">
        <v>40</v>
      </c>
      <c r="AK37" s="54">
        <v>9.6</v>
      </c>
      <c r="AL37" s="54">
        <v>0</v>
      </c>
      <c r="AM37" s="54">
        <v>0</v>
      </c>
      <c r="AN37" s="57">
        <v>6.73</v>
      </c>
      <c r="AO37" s="53">
        <v>41</v>
      </c>
      <c r="AP37" s="54">
        <v>9.8000000000000007</v>
      </c>
      <c r="AQ37" s="54">
        <v>160</v>
      </c>
      <c r="AR37" s="54">
        <v>0</v>
      </c>
      <c r="AS37" s="57">
        <v>16.34</v>
      </c>
      <c r="AT37" s="56">
        <v>32</v>
      </c>
      <c r="AU37" s="57">
        <v>120</v>
      </c>
      <c r="AV37" s="56">
        <v>94.9462890625</v>
      </c>
      <c r="AW37" s="57">
        <v>277.16326720875998</v>
      </c>
      <c r="AX37" s="8"/>
      <c r="AZ37" s="1">
        <v>90</v>
      </c>
      <c r="BB37" s="82">
        <f t="shared" si="1"/>
        <v>38.153440000000003</v>
      </c>
    </row>
    <row r="38" spans="3:54" ht="15" customHeight="1" x14ac:dyDescent="0.25">
      <c r="C38" s="42"/>
      <c r="D38" s="43">
        <f>D28</f>
        <v>45718</v>
      </c>
      <c r="E38" s="44">
        <f t="shared" si="4"/>
        <v>2.0833333333333326</v>
      </c>
      <c r="F38" s="45">
        <f t="shared" si="3"/>
        <v>45719.083333333387</v>
      </c>
      <c r="G38" s="52">
        <v>43</v>
      </c>
      <c r="H38" s="53">
        <v>40</v>
      </c>
      <c r="I38" s="54">
        <v>10.8</v>
      </c>
      <c r="J38" s="54">
        <v>250</v>
      </c>
      <c r="K38" s="55">
        <v>0</v>
      </c>
      <c r="L38" s="56">
        <v>41</v>
      </c>
      <c r="M38" s="54">
        <v>10.3</v>
      </c>
      <c r="N38" s="54">
        <v>200</v>
      </c>
      <c r="O38" s="57">
        <v>0</v>
      </c>
      <c r="P38" s="53">
        <v>40</v>
      </c>
      <c r="Q38" s="54">
        <v>10</v>
      </c>
      <c r="R38" s="55">
        <v>0</v>
      </c>
      <c r="S38" s="55">
        <v>0</v>
      </c>
      <c r="T38" s="57">
        <v>17.3</v>
      </c>
      <c r="U38" s="56">
        <v>40</v>
      </c>
      <c r="V38" s="54">
        <v>10</v>
      </c>
      <c r="W38" s="55">
        <v>0</v>
      </c>
      <c r="X38" s="55">
        <v>0</v>
      </c>
      <c r="Y38" s="57">
        <v>14.42</v>
      </c>
      <c r="Z38" s="53">
        <v>40</v>
      </c>
      <c r="AA38" s="54">
        <v>9.8000000000000007</v>
      </c>
      <c r="AB38" s="55">
        <v>0</v>
      </c>
      <c r="AC38" s="55">
        <v>0</v>
      </c>
      <c r="AD38" s="57">
        <v>15.38</v>
      </c>
      <c r="AE38" s="56">
        <v>41</v>
      </c>
      <c r="AF38" s="54">
        <v>9.8000000000000007</v>
      </c>
      <c r="AG38" s="55">
        <v>0</v>
      </c>
      <c r="AH38" s="55">
        <v>0</v>
      </c>
      <c r="AI38" s="57">
        <v>15.38</v>
      </c>
      <c r="AJ38" s="56">
        <v>40</v>
      </c>
      <c r="AK38" s="54">
        <v>9.6999999999999993</v>
      </c>
      <c r="AL38" s="54">
        <v>0</v>
      </c>
      <c r="AM38" s="54">
        <v>0</v>
      </c>
      <c r="AN38" s="57">
        <v>6.73</v>
      </c>
      <c r="AO38" s="53">
        <v>40</v>
      </c>
      <c r="AP38" s="54">
        <v>9.9</v>
      </c>
      <c r="AQ38" s="54">
        <v>150</v>
      </c>
      <c r="AR38" s="54">
        <v>0</v>
      </c>
      <c r="AS38" s="57">
        <v>17.3</v>
      </c>
      <c r="AT38" s="56">
        <v>30</v>
      </c>
      <c r="AU38" s="57">
        <v>120</v>
      </c>
      <c r="AV38" s="56">
        <v>94.938148498535199</v>
      </c>
      <c r="AW38" s="57">
        <v>279.90366890534449</v>
      </c>
      <c r="AX38" s="8"/>
      <c r="AZ38" s="1">
        <v>90</v>
      </c>
      <c r="BB38" s="82">
        <f t="shared" si="1"/>
        <v>38.23742</v>
      </c>
    </row>
    <row r="39" spans="3:54" ht="15" customHeight="1" x14ac:dyDescent="0.25">
      <c r="C39" s="42"/>
      <c r="D39" s="69">
        <f>D28</f>
        <v>45718</v>
      </c>
      <c r="E39" s="70">
        <f t="shared" si="4"/>
        <v>2.1666666666666661</v>
      </c>
      <c r="F39" s="71">
        <f t="shared" si="3"/>
        <v>45719.166666666722</v>
      </c>
      <c r="G39" s="60">
        <v>43</v>
      </c>
      <c r="H39" s="61">
        <v>41</v>
      </c>
      <c r="I39" s="62">
        <v>10.8</v>
      </c>
      <c r="J39" s="62">
        <v>200</v>
      </c>
      <c r="K39" s="63">
        <v>0</v>
      </c>
      <c r="L39" s="64">
        <v>42</v>
      </c>
      <c r="M39" s="62">
        <v>10.3</v>
      </c>
      <c r="N39" s="62">
        <v>250</v>
      </c>
      <c r="O39" s="65">
        <v>0</v>
      </c>
      <c r="P39" s="61">
        <v>41</v>
      </c>
      <c r="Q39" s="62">
        <v>10.199999999999999</v>
      </c>
      <c r="R39" s="63">
        <v>0</v>
      </c>
      <c r="S39" s="63">
        <v>0</v>
      </c>
      <c r="T39" s="65">
        <v>18.260000000000002</v>
      </c>
      <c r="U39" s="64">
        <v>40</v>
      </c>
      <c r="V39" s="62">
        <v>10</v>
      </c>
      <c r="W39" s="63">
        <v>0</v>
      </c>
      <c r="X39" s="63">
        <v>0</v>
      </c>
      <c r="Y39" s="65">
        <v>14.42</v>
      </c>
      <c r="Z39" s="61">
        <v>41</v>
      </c>
      <c r="AA39" s="62">
        <v>9.8000000000000007</v>
      </c>
      <c r="AB39" s="63">
        <v>0</v>
      </c>
      <c r="AC39" s="63">
        <v>0</v>
      </c>
      <c r="AD39" s="65">
        <v>15.38</v>
      </c>
      <c r="AE39" s="64">
        <v>41</v>
      </c>
      <c r="AF39" s="62">
        <v>9.8000000000000007</v>
      </c>
      <c r="AG39" s="63">
        <v>0</v>
      </c>
      <c r="AH39" s="63">
        <v>0</v>
      </c>
      <c r="AI39" s="65">
        <v>15.38</v>
      </c>
      <c r="AJ39" s="64">
        <v>40</v>
      </c>
      <c r="AK39" s="62">
        <v>9.6999999999999993</v>
      </c>
      <c r="AL39" s="62">
        <v>0</v>
      </c>
      <c r="AM39" s="62">
        <v>0</v>
      </c>
      <c r="AN39" s="65">
        <v>8.6</v>
      </c>
      <c r="AO39" s="61">
        <v>40</v>
      </c>
      <c r="AP39" s="62">
        <v>9.8000000000000007</v>
      </c>
      <c r="AQ39" s="62">
        <v>130</v>
      </c>
      <c r="AR39" s="62">
        <v>0</v>
      </c>
      <c r="AS39" s="65">
        <v>18.260000000000002</v>
      </c>
      <c r="AT39" s="64">
        <v>35</v>
      </c>
      <c r="AU39" s="65">
        <v>100</v>
      </c>
      <c r="AV39" s="64">
        <v>94.938148498535199</v>
      </c>
      <c r="AW39" s="65">
        <v>280.36880300190921</v>
      </c>
      <c r="AX39" s="8"/>
      <c r="AZ39" s="1">
        <v>90</v>
      </c>
      <c r="BB39" s="82">
        <f t="shared" si="1"/>
        <v>39.912599999999998</v>
      </c>
    </row>
    <row r="40" spans="3:54" ht="15" customHeight="1" x14ac:dyDescent="0.25">
      <c r="C40" s="42">
        <f>C28+1</f>
        <v>3</v>
      </c>
      <c r="D40" s="66">
        <f>DATE([3]Dash!$F$3,VLOOKUP([3]Dash!$E$3,[3]Abb!$C$3:$D$14,2,FALSE),C40)</f>
        <v>45719</v>
      </c>
      <c r="E40" s="67">
        <f>E39+2/24</f>
        <v>2.2499999999999996</v>
      </c>
      <c r="F40" s="68">
        <f t="shared" si="3"/>
        <v>45719.250000000058</v>
      </c>
      <c r="G40" s="46">
        <v>44</v>
      </c>
      <c r="H40" s="47">
        <v>41</v>
      </c>
      <c r="I40" s="48">
        <v>10.9</v>
      </c>
      <c r="J40" s="48">
        <v>200</v>
      </c>
      <c r="K40" s="49">
        <v>0</v>
      </c>
      <c r="L40" s="50">
        <v>41</v>
      </c>
      <c r="M40" s="48">
        <v>10.5</v>
      </c>
      <c r="N40" s="48">
        <v>250</v>
      </c>
      <c r="O40" s="51">
        <v>0</v>
      </c>
      <c r="P40" s="47">
        <v>40</v>
      </c>
      <c r="Q40" s="48">
        <v>10.3</v>
      </c>
      <c r="R40" s="49">
        <v>0</v>
      </c>
      <c r="S40" s="49">
        <v>0</v>
      </c>
      <c r="T40" s="51">
        <v>18.260000000000002</v>
      </c>
      <c r="U40" s="50">
        <v>40</v>
      </c>
      <c r="V40" s="48">
        <v>10.199999999999999</v>
      </c>
      <c r="W40" s="49">
        <v>0</v>
      </c>
      <c r="X40" s="49">
        <v>0</v>
      </c>
      <c r="Y40" s="51">
        <v>14.42</v>
      </c>
      <c r="Z40" s="47">
        <v>40</v>
      </c>
      <c r="AA40" s="48">
        <v>10</v>
      </c>
      <c r="AB40" s="49">
        <v>0</v>
      </c>
      <c r="AC40" s="49">
        <v>0</v>
      </c>
      <c r="AD40" s="51">
        <v>15.38</v>
      </c>
      <c r="AE40" s="50">
        <v>41</v>
      </c>
      <c r="AF40" s="48">
        <v>9.9</v>
      </c>
      <c r="AG40" s="49">
        <v>0</v>
      </c>
      <c r="AH40" s="49">
        <v>0</v>
      </c>
      <c r="AI40" s="51">
        <v>15.38</v>
      </c>
      <c r="AJ40" s="50">
        <v>41</v>
      </c>
      <c r="AK40" s="48">
        <v>9.6999999999999993</v>
      </c>
      <c r="AL40" s="48">
        <v>0</v>
      </c>
      <c r="AM40" s="48">
        <v>0</v>
      </c>
      <c r="AN40" s="51">
        <v>7.69</v>
      </c>
      <c r="AO40" s="47">
        <v>40</v>
      </c>
      <c r="AP40" s="48">
        <v>9.8000000000000007</v>
      </c>
      <c r="AQ40" s="48">
        <v>130</v>
      </c>
      <c r="AR40" s="48">
        <v>0</v>
      </c>
      <c r="AS40" s="51">
        <v>18.260000000000002</v>
      </c>
      <c r="AT40" s="50">
        <v>35</v>
      </c>
      <c r="AU40" s="51">
        <v>110</v>
      </c>
      <c r="AV40" s="50">
        <v>95.01953125</v>
      </c>
      <c r="AW40" s="51">
        <v>280.09657171272363</v>
      </c>
      <c r="AX40" s="8"/>
      <c r="AZ40" s="1">
        <v>90</v>
      </c>
      <c r="BB40" s="82">
        <f t="shared" si="1"/>
        <v>39.510379999999998</v>
      </c>
    </row>
    <row r="41" spans="3:54" ht="15" customHeight="1" x14ac:dyDescent="0.25">
      <c r="C41" s="42"/>
      <c r="D41" s="43">
        <f>D40</f>
        <v>45719</v>
      </c>
      <c r="E41" s="44">
        <f>E40+2/24</f>
        <v>2.333333333333333</v>
      </c>
      <c r="F41" s="45">
        <f t="shared" si="3"/>
        <v>45719.333333333394</v>
      </c>
      <c r="G41" s="52">
        <v>0</v>
      </c>
      <c r="H41" s="53">
        <v>40</v>
      </c>
      <c r="I41" s="54">
        <v>10.9</v>
      </c>
      <c r="J41" s="54">
        <v>200</v>
      </c>
      <c r="K41" s="55">
        <v>0</v>
      </c>
      <c r="L41" s="56">
        <v>42</v>
      </c>
      <c r="M41" s="54">
        <v>10.5</v>
      </c>
      <c r="N41" s="54">
        <v>250</v>
      </c>
      <c r="O41" s="57">
        <v>0</v>
      </c>
      <c r="P41" s="53">
        <v>41</v>
      </c>
      <c r="Q41" s="54">
        <v>10.3</v>
      </c>
      <c r="R41" s="55">
        <v>0</v>
      </c>
      <c r="S41" s="55">
        <v>0</v>
      </c>
      <c r="T41" s="57">
        <v>16.37</v>
      </c>
      <c r="U41" s="56">
        <v>41</v>
      </c>
      <c r="V41" s="54">
        <v>10.1</v>
      </c>
      <c r="W41" s="55">
        <v>0</v>
      </c>
      <c r="X41" s="55">
        <v>0</v>
      </c>
      <c r="Y41" s="57">
        <v>13.84</v>
      </c>
      <c r="Z41" s="53">
        <v>40</v>
      </c>
      <c r="AA41" s="54">
        <v>9.9</v>
      </c>
      <c r="AB41" s="55">
        <v>0</v>
      </c>
      <c r="AC41" s="55">
        <v>0</v>
      </c>
      <c r="AD41" s="57">
        <v>15.76</v>
      </c>
      <c r="AE41" s="56">
        <v>41</v>
      </c>
      <c r="AF41" s="54">
        <v>9.8000000000000007</v>
      </c>
      <c r="AG41" s="55">
        <v>0</v>
      </c>
      <c r="AH41" s="55">
        <v>0</v>
      </c>
      <c r="AI41" s="57">
        <v>14.42</v>
      </c>
      <c r="AJ41" s="56">
        <v>40</v>
      </c>
      <c r="AK41" s="54">
        <v>9.8000000000000007</v>
      </c>
      <c r="AL41" s="54">
        <v>0</v>
      </c>
      <c r="AM41" s="54">
        <v>0</v>
      </c>
      <c r="AN41" s="57">
        <v>8.65</v>
      </c>
      <c r="AO41" s="53">
        <v>40</v>
      </c>
      <c r="AP41" s="54">
        <v>9.9</v>
      </c>
      <c r="AQ41" s="54">
        <v>150</v>
      </c>
      <c r="AR41" s="54">
        <v>0</v>
      </c>
      <c r="AS41" s="57">
        <v>18.649999999999999</v>
      </c>
      <c r="AT41" s="56">
        <v>0</v>
      </c>
      <c r="AU41" s="57">
        <v>0</v>
      </c>
      <c r="AV41" s="56">
        <v>95.052078247070298</v>
      </c>
      <c r="AW41" s="57">
        <v>282.44020092223462</v>
      </c>
      <c r="AX41" s="8"/>
      <c r="AZ41" s="1">
        <v>90</v>
      </c>
      <c r="BB41" s="82">
        <f t="shared" si="1"/>
        <v>38.758979999999994</v>
      </c>
    </row>
    <row r="42" spans="3:54" ht="15" customHeight="1" x14ac:dyDescent="0.25">
      <c r="C42" s="42"/>
      <c r="D42" s="43">
        <f>D40</f>
        <v>45719</v>
      </c>
      <c r="E42" s="44">
        <f t="shared" ref="E42:E51" si="5">E41+2/24</f>
        <v>2.4166666666666665</v>
      </c>
      <c r="F42" s="45">
        <f t="shared" si="3"/>
        <v>45719.41666666673</v>
      </c>
      <c r="G42" s="52">
        <v>0</v>
      </c>
      <c r="H42" s="53">
        <v>40</v>
      </c>
      <c r="I42" s="54">
        <v>10.9</v>
      </c>
      <c r="J42" s="54">
        <v>200</v>
      </c>
      <c r="K42" s="55">
        <v>0</v>
      </c>
      <c r="L42" s="56">
        <v>42</v>
      </c>
      <c r="M42" s="54">
        <v>10.5</v>
      </c>
      <c r="N42" s="54">
        <v>250</v>
      </c>
      <c r="O42" s="57">
        <v>0</v>
      </c>
      <c r="P42" s="53">
        <v>41</v>
      </c>
      <c r="Q42" s="54">
        <v>10.3</v>
      </c>
      <c r="R42" s="55">
        <v>0</v>
      </c>
      <c r="S42" s="55">
        <v>0</v>
      </c>
      <c r="T42" s="57">
        <v>16.34</v>
      </c>
      <c r="U42" s="56">
        <v>40</v>
      </c>
      <c r="V42" s="54">
        <v>10.1</v>
      </c>
      <c r="W42" s="55">
        <v>0</v>
      </c>
      <c r="X42" s="55">
        <v>0</v>
      </c>
      <c r="Y42" s="57">
        <v>13.84</v>
      </c>
      <c r="Z42" s="53">
        <v>40</v>
      </c>
      <c r="AA42" s="54">
        <v>9.9</v>
      </c>
      <c r="AB42" s="55">
        <v>0</v>
      </c>
      <c r="AC42" s="55">
        <v>0</v>
      </c>
      <c r="AD42" s="57">
        <v>15.38</v>
      </c>
      <c r="AE42" s="56">
        <v>41</v>
      </c>
      <c r="AF42" s="54">
        <v>9.8000000000000007</v>
      </c>
      <c r="AG42" s="55">
        <v>0</v>
      </c>
      <c r="AH42" s="55">
        <v>0</v>
      </c>
      <c r="AI42" s="57">
        <v>14.28</v>
      </c>
      <c r="AJ42" s="56">
        <v>40</v>
      </c>
      <c r="AK42" s="54">
        <v>9.8000000000000007</v>
      </c>
      <c r="AL42" s="54">
        <v>0</v>
      </c>
      <c r="AM42" s="54">
        <v>0</v>
      </c>
      <c r="AN42" s="57">
        <v>7.88</v>
      </c>
      <c r="AO42" s="53">
        <v>39</v>
      </c>
      <c r="AP42" s="54">
        <v>9.9</v>
      </c>
      <c r="AQ42" s="54">
        <v>150</v>
      </c>
      <c r="AR42" s="54">
        <v>0</v>
      </c>
      <c r="AS42" s="57">
        <v>17.690000000000001</v>
      </c>
      <c r="AT42" s="56">
        <v>0</v>
      </c>
      <c r="AU42" s="57">
        <v>0</v>
      </c>
      <c r="AV42" s="56">
        <v>94.514968872070298</v>
      </c>
      <c r="AW42" s="57">
        <v>282.51265894873069</v>
      </c>
      <c r="AX42" s="8"/>
      <c r="AZ42" s="1">
        <v>90</v>
      </c>
      <c r="BB42" s="82">
        <f t="shared" si="1"/>
        <v>37.751220000000004</v>
      </c>
    </row>
    <row r="43" spans="3:54" ht="15" customHeight="1" x14ac:dyDescent="0.25">
      <c r="C43" s="42"/>
      <c r="D43" s="43">
        <f>D40</f>
        <v>45719</v>
      </c>
      <c r="E43" s="44">
        <f t="shared" si="5"/>
        <v>2.5</v>
      </c>
      <c r="F43" s="45">
        <f t="shared" si="3"/>
        <v>45719.500000000065</v>
      </c>
      <c r="G43" s="52">
        <v>42</v>
      </c>
      <c r="H43" s="53">
        <v>41</v>
      </c>
      <c r="I43" s="54">
        <v>10.9</v>
      </c>
      <c r="J43" s="54">
        <v>200</v>
      </c>
      <c r="K43" s="55">
        <v>0</v>
      </c>
      <c r="L43" s="56">
        <v>42</v>
      </c>
      <c r="M43" s="54">
        <v>10.6</v>
      </c>
      <c r="N43" s="54">
        <v>250</v>
      </c>
      <c r="O43" s="57">
        <v>0</v>
      </c>
      <c r="P43" s="53">
        <v>41</v>
      </c>
      <c r="Q43" s="54">
        <v>10.4</v>
      </c>
      <c r="R43" s="55">
        <v>0</v>
      </c>
      <c r="S43" s="55">
        <v>0</v>
      </c>
      <c r="T43" s="57">
        <v>11.53</v>
      </c>
      <c r="U43" s="56">
        <v>40</v>
      </c>
      <c r="V43" s="54">
        <v>10.1</v>
      </c>
      <c r="W43" s="55">
        <v>0</v>
      </c>
      <c r="X43" s="55">
        <v>0</v>
      </c>
      <c r="Y43" s="57">
        <v>14.61</v>
      </c>
      <c r="Z43" s="53">
        <v>41</v>
      </c>
      <c r="AA43" s="54">
        <v>10</v>
      </c>
      <c r="AB43" s="55">
        <v>0</v>
      </c>
      <c r="AC43" s="55">
        <v>0</v>
      </c>
      <c r="AD43" s="57">
        <v>16.34</v>
      </c>
      <c r="AE43" s="56">
        <v>40</v>
      </c>
      <c r="AF43" s="54">
        <v>9.6999999999999993</v>
      </c>
      <c r="AG43" s="55">
        <v>0</v>
      </c>
      <c r="AH43" s="55">
        <v>0</v>
      </c>
      <c r="AI43" s="57">
        <v>14.42</v>
      </c>
      <c r="AJ43" s="56">
        <v>40</v>
      </c>
      <c r="AK43" s="54">
        <v>9.6999999999999993</v>
      </c>
      <c r="AL43" s="54">
        <v>0</v>
      </c>
      <c r="AM43" s="54">
        <v>0</v>
      </c>
      <c r="AN43" s="57">
        <v>8.26</v>
      </c>
      <c r="AO43" s="53">
        <v>38</v>
      </c>
      <c r="AP43" s="54">
        <v>9.8000000000000007</v>
      </c>
      <c r="AQ43" s="54">
        <v>160</v>
      </c>
      <c r="AR43" s="54">
        <v>0</v>
      </c>
      <c r="AS43" s="57">
        <v>16.920000000000002</v>
      </c>
      <c r="AT43" s="56">
        <v>33</v>
      </c>
      <c r="AU43" s="57">
        <v>120</v>
      </c>
      <c r="AV43" s="56">
        <v>94.344070434570298</v>
      </c>
      <c r="AW43" s="57">
        <v>282.64925715892264</v>
      </c>
      <c r="AX43" s="8"/>
      <c r="AZ43" s="1">
        <v>90</v>
      </c>
      <c r="BB43" s="82">
        <f t="shared" si="1"/>
        <v>36.279360000000004</v>
      </c>
    </row>
    <row r="44" spans="3:54" ht="15" customHeight="1" x14ac:dyDescent="0.25">
      <c r="C44" s="42"/>
      <c r="D44" s="43">
        <f>D40</f>
        <v>45719</v>
      </c>
      <c r="E44" s="44">
        <f t="shared" si="5"/>
        <v>2.5833333333333335</v>
      </c>
      <c r="F44" s="45">
        <f t="shared" si="3"/>
        <v>45719.583333333401</v>
      </c>
      <c r="G44" s="52">
        <v>41</v>
      </c>
      <c r="H44" s="53">
        <v>41</v>
      </c>
      <c r="I44" s="54">
        <v>11.2</v>
      </c>
      <c r="J44" s="54">
        <v>300</v>
      </c>
      <c r="K44" s="55">
        <v>0</v>
      </c>
      <c r="L44" s="56">
        <v>41</v>
      </c>
      <c r="M44" s="54">
        <v>10.6</v>
      </c>
      <c r="N44" s="54">
        <v>250</v>
      </c>
      <c r="O44" s="57">
        <v>0</v>
      </c>
      <c r="P44" s="53">
        <v>39</v>
      </c>
      <c r="Q44" s="54">
        <v>10.5</v>
      </c>
      <c r="R44" s="55">
        <v>0</v>
      </c>
      <c r="S44" s="55">
        <v>0</v>
      </c>
      <c r="T44" s="57">
        <v>6.73</v>
      </c>
      <c r="U44" s="56">
        <v>41</v>
      </c>
      <c r="V44" s="54">
        <v>10.199999999999999</v>
      </c>
      <c r="W44" s="55">
        <v>0</v>
      </c>
      <c r="X44" s="55">
        <v>0</v>
      </c>
      <c r="Y44" s="57">
        <v>13.46</v>
      </c>
      <c r="Z44" s="53">
        <v>40</v>
      </c>
      <c r="AA44" s="54">
        <v>10.1</v>
      </c>
      <c r="AB44" s="55">
        <v>0</v>
      </c>
      <c r="AC44" s="55">
        <v>0</v>
      </c>
      <c r="AD44" s="57">
        <v>16.34</v>
      </c>
      <c r="AE44" s="56">
        <v>39</v>
      </c>
      <c r="AF44" s="54">
        <v>9.9</v>
      </c>
      <c r="AG44" s="55">
        <v>0</v>
      </c>
      <c r="AH44" s="55">
        <v>0</v>
      </c>
      <c r="AI44" s="57">
        <v>14.42</v>
      </c>
      <c r="AJ44" s="56">
        <v>40</v>
      </c>
      <c r="AK44" s="54">
        <v>9.8000000000000007</v>
      </c>
      <c r="AL44" s="54">
        <v>0</v>
      </c>
      <c r="AM44" s="54">
        <v>0</v>
      </c>
      <c r="AN44" s="57">
        <v>8.65</v>
      </c>
      <c r="AO44" s="53">
        <v>39</v>
      </c>
      <c r="AP44" s="54">
        <v>9.8000000000000007</v>
      </c>
      <c r="AQ44" s="54">
        <v>140</v>
      </c>
      <c r="AR44" s="54">
        <v>0</v>
      </c>
      <c r="AS44" s="57">
        <v>17.3</v>
      </c>
      <c r="AT44" s="56">
        <v>33</v>
      </c>
      <c r="AU44" s="57">
        <v>100</v>
      </c>
      <c r="AV44" s="56">
        <v>94.986976623535199</v>
      </c>
      <c r="AW44" s="57">
        <v>281.0713253062529</v>
      </c>
      <c r="AX44" s="8"/>
      <c r="AZ44" s="1">
        <v>90</v>
      </c>
      <c r="BB44" s="82">
        <f t="shared" si="1"/>
        <v>33.989800000000002</v>
      </c>
    </row>
    <row r="45" spans="3:54" ht="15" customHeight="1" x14ac:dyDescent="0.25">
      <c r="C45" s="42"/>
      <c r="D45" s="43">
        <f>D40</f>
        <v>45719</v>
      </c>
      <c r="E45" s="44">
        <f t="shared" si="5"/>
        <v>2.666666666666667</v>
      </c>
      <c r="F45" s="45">
        <f t="shared" si="3"/>
        <v>45719.666666666737</v>
      </c>
      <c r="G45" s="52">
        <v>40</v>
      </c>
      <c r="H45" s="53">
        <v>42</v>
      </c>
      <c r="I45" s="54">
        <v>10.3</v>
      </c>
      <c r="J45" s="54">
        <v>200</v>
      </c>
      <c r="K45" s="55">
        <v>0</v>
      </c>
      <c r="L45" s="56">
        <v>42</v>
      </c>
      <c r="M45" s="54">
        <v>10.6</v>
      </c>
      <c r="N45" s="54">
        <v>250</v>
      </c>
      <c r="O45" s="57">
        <v>0</v>
      </c>
      <c r="P45" s="53">
        <v>39</v>
      </c>
      <c r="Q45" s="54">
        <v>10.5</v>
      </c>
      <c r="R45" s="55">
        <v>0</v>
      </c>
      <c r="S45" s="55">
        <v>0</v>
      </c>
      <c r="T45" s="57">
        <v>7.69</v>
      </c>
      <c r="U45" s="56">
        <v>42</v>
      </c>
      <c r="V45" s="54">
        <v>10.199999999999999</v>
      </c>
      <c r="W45" s="55">
        <v>0</v>
      </c>
      <c r="X45" s="55">
        <v>0</v>
      </c>
      <c r="Y45" s="57">
        <v>13.46</v>
      </c>
      <c r="Z45" s="53">
        <v>40</v>
      </c>
      <c r="AA45" s="54">
        <v>10</v>
      </c>
      <c r="AB45" s="55">
        <v>0</v>
      </c>
      <c r="AC45" s="55">
        <v>0</v>
      </c>
      <c r="AD45" s="57">
        <v>15.38</v>
      </c>
      <c r="AE45" s="56">
        <v>36</v>
      </c>
      <c r="AF45" s="54">
        <v>9.9</v>
      </c>
      <c r="AG45" s="55">
        <v>0</v>
      </c>
      <c r="AH45" s="55">
        <v>0</v>
      </c>
      <c r="AI45" s="57">
        <v>13.46</v>
      </c>
      <c r="AJ45" s="56">
        <v>40</v>
      </c>
      <c r="AK45" s="54">
        <v>9.6999999999999993</v>
      </c>
      <c r="AL45" s="54">
        <v>0</v>
      </c>
      <c r="AM45" s="54">
        <v>0</v>
      </c>
      <c r="AN45" s="57">
        <v>8.65</v>
      </c>
      <c r="AO45" s="53">
        <v>39</v>
      </c>
      <c r="AP45" s="54">
        <v>9.6</v>
      </c>
      <c r="AQ45" s="54">
        <v>150</v>
      </c>
      <c r="AR45" s="54">
        <v>0</v>
      </c>
      <c r="AS45" s="57">
        <v>17.25</v>
      </c>
      <c r="AT45" s="56">
        <v>32</v>
      </c>
      <c r="AU45" s="57">
        <v>130</v>
      </c>
      <c r="AV45" s="56">
        <v>93.623855590820298</v>
      </c>
      <c r="AW45" s="57">
        <v>283.72781583207347</v>
      </c>
      <c r="AX45" s="8"/>
      <c r="AZ45" s="1">
        <v>90</v>
      </c>
      <c r="BB45" s="82">
        <f t="shared" si="1"/>
        <v>33.543380000000006</v>
      </c>
    </row>
    <row r="46" spans="3:54" ht="15" customHeight="1" x14ac:dyDescent="0.25">
      <c r="C46" s="42"/>
      <c r="D46" s="43">
        <f>D40</f>
        <v>45719</v>
      </c>
      <c r="E46" s="44">
        <f t="shared" si="5"/>
        <v>2.7500000000000004</v>
      </c>
      <c r="F46" s="45">
        <f t="shared" si="3"/>
        <v>45719.750000000073</v>
      </c>
      <c r="G46" s="52">
        <v>40</v>
      </c>
      <c r="H46" s="53">
        <v>40</v>
      </c>
      <c r="I46" s="54">
        <v>10.5</v>
      </c>
      <c r="J46" s="54">
        <v>150</v>
      </c>
      <c r="K46" s="55">
        <v>0</v>
      </c>
      <c r="L46" s="56">
        <v>40</v>
      </c>
      <c r="M46" s="54">
        <v>10.5</v>
      </c>
      <c r="N46" s="54">
        <v>150</v>
      </c>
      <c r="O46" s="57">
        <v>0</v>
      </c>
      <c r="P46" s="53">
        <v>39</v>
      </c>
      <c r="Q46" s="54">
        <v>10.5</v>
      </c>
      <c r="R46" s="55">
        <v>0</v>
      </c>
      <c r="S46" s="55">
        <v>0</v>
      </c>
      <c r="T46" s="57">
        <v>12.5</v>
      </c>
      <c r="U46" s="56">
        <v>38</v>
      </c>
      <c r="V46" s="54">
        <v>10.3</v>
      </c>
      <c r="W46" s="55">
        <v>0</v>
      </c>
      <c r="X46" s="55">
        <v>0</v>
      </c>
      <c r="Y46" s="57">
        <v>7.69</v>
      </c>
      <c r="Z46" s="53">
        <v>39</v>
      </c>
      <c r="AA46" s="54">
        <v>10.1</v>
      </c>
      <c r="AB46" s="55">
        <v>0</v>
      </c>
      <c r="AC46" s="55">
        <v>0</v>
      </c>
      <c r="AD46" s="57">
        <v>15.76</v>
      </c>
      <c r="AE46" s="56">
        <v>37</v>
      </c>
      <c r="AF46" s="54">
        <v>10</v>
      </c>
      <c r="AG46" s="55">
        <v>0</v>
      </c>
      <c r="AH46" s="55">
        <v>0</v>
      </c>
      <c r="AI46" s="57">
        <v>14.23</v>
      </c>
      <c r="AJ46" s="56">
        <v>39</v>
      </c>
      <c r="AK46" s="54">
        <v>9.6999999999999993</v>
      </c>
      <c r="AL46" s="54">
        <v>0</v>
      </c>
      <c r="AM46" s="54">
        <v>0</v>
      </c>
      <c r="AN46" s="57">
        <v>8.26</v>
      </c>
      <c r="AO46" s="53">
        <v>38</v>
      </c>
      <c r="AP46" s="54">
        <v>9.6</v>
      </c>
      <c r="AQ46" s="54">
        <v>170</v>
      </c>
      <c r="AR46" s="54">
        <v>0</v>
      </c>
      <c r="AS46" s="57">
        <v>17.690000000000001</v>
      </c>
      <c r="AT46" s="56">
        <v>34</v>
      </c>
      <c r="AU46" s="57">
        <v>140</v>
      </c>
      <c r="AV46" s="56">
        <v>93.949378967285199</v>
      </c>
      <c r="AW46" s="57">
        <v>282.50759483513735</v>
      </c>
      <c r="AX46" s="8"/>
      <c r="AZ46" s="1">
        <v>90</v>
      </c>
      <c r="BB46" s="82">
        <f t="shared" si="1"/>
        <v>33.649459999999998</v>
      </c>
    </row>
    <row r="47" spans="3:54" ht="15" customHeight="1" x14ac:dyDescent="0.25">
      <c r="C47" s="42"/>
      <c r="D47" s="43">
        <f>D40</f>
        <v>45719</v>
      </c>
      <c r="E47" s="44">
        <f t="shared" si="5"/>
        <v>2.8333333333333339</v>
      </c>
      <c r="F47" s="45">
        <f t="shared" si="3"/>
        <v>45719.833333333409</v>
      </c>
      <c r="G47" s="52">
        <v>41</v>
      </c>
      <c r="H47" s="53">
        <v>39</v>
      </c>
      <c r="I47" s="54">
        <v>10.6</v>
      </c>
      <c r="J47" s="54">
        <v>200</v>
      </c>
      <c r="K47" s="55">
        <v>0</v>
      </c>
      <c r="L47" s="56">
        <v>40</v>
      </c>
      <c r="M47" s="54">
        <v>10.5</v>
      </c>
      <c r="N47" s="54">
        <v>200</v>
      </c>
      <c r="O47" s="57">
        <v>0</v>
      </c>
      <c r="P47" s="53">
        <v>37</v>
      </c>
      <c r="Q47" s="54">
        <v>10.4</v>
      </c>
      <c r="R47" s="55">
        <v>0</v>
      </c>
      <c r="S47" s="55">
        <v>0</v>
      </c>
      <c r="T47" s="57">
        <v>13.46</v>
      </c>
      <c r="U47" s="56">
        <v>37</v>
      </c>
      <c r="V47" s="54">
        <v>10.3</v>
      </c>
      <c r="W47" s="55">
        <v>0</v>
      </c>
      <c r="X47" s="55">
        <v>0</v>
      </c>
      <c r="Y47" s="57">
        <v>7.69</v>
      </c>
      <c r="Z47" s="53">
        <v>38</v>
      </c>
      <c r="AA47" s="54">
        <v>10.199999999999999</v>
      </c>
      <c r="AB47" s="55">
        <v>0</v>
      </c>
      <c r="AC47" s="55">
        <v>0</v>
      </c>
      <c r="AD47" s="57">
        <v>16.34</v>
      </c>
      <c r="AE47" s="56">
        <v>37</v>
      </c>
      <c r="AF47" s="54">
        <v>10.199999999999999</v>
      </c>
      <c r="AG47" s="55">
        <v>0</v>
      </c>
      <c r="AH47" s="55">
        <v>0</v>
      </c>
      <c r="AI47" s="57">
        <v>15.38</v>
      </c>
      <c r="AJ47" s="56">
        <v>37</v>
      </c>
      <c r="AK47" s="54">
        <v>10</v>
      </c>
      <c r="AL47" s="54">
        <v>0</v>
      </c>
      <c r="AM47" s="54">
        <v>0</v>
      </c>
      <c r="AN47" s="57">
        <v>7.69</v>
      </c>
      <c r="AO47" s="53">
        <v>36</v>
      </c>
      <c r="AP47" s="54">
        <v>10</v>
      </c>
      <c r="AQ47" s="54">
        <v>240</v>
      </c>
      <c r="AR47" s="54">
        <v>0</v>
      </c>
      <c r="AS47" s="57">
        <v>18.260000000000002</v>
      </c>
      <c r="AT47" s="56">
        <v>33</v>
      </c>
      <c r="AU47" s="57">
        <v>180</v>
      </c>
      <c r="AV47" s="56">
        <v>94.368484497070298</v>
      </c>
      <c r="AW47" s="57">
        <v>283.71383106211823</v>
      </c>
      <c r="AX47" s="8"/>
      <c r="AZ47" s="1">
        <v>90</v>
      </c>
      <c r="BB47" s="82">
        <f t="shared" si="1"/>
        <v>34.838440000000006</v>
      </c>
    </row>
    <row r="48" spans="3:54" ht="15" customHeight="1" x14ac:dyDescent="0.25">
      <c r="C48" s="42"/>
      <c r="D48" s="43">
        <f>D40</f>
        <v>45719</v>
      </c>
      <c r="E48" s="44">
        <f t="shared" si="5"/>
        <v>2.9166666666666674</v>
      </c>
      <c r="F48" s="45">
        <f t="shared" si="3"/>
        <v>45719.916666666744</v>
      </c>
      <c r="G48" s="52">
        <v>43</v>
      </c>
      <c r="H48" s="53">
        <v>39</v>
      </c>
      <c r="I48" s="54">
        <v>10.5</v>
      </c>
      <c r="J48" s="54">
        <v>200</v>
      </c>
      <c r="K48" s="55">
        <v>0</v>
      </c>
      <c r="L48" s="56">
        <v>41</v>
      </c>
      <c r="M48" s="54">
        <v>10.5</v>
      </c>
      <c r="N48" s="54">
        <v>200</v>
      </c>
      <c r="O48" s="57">
        <v>0</v>
      </c>
      <c r="P48" s="53">
        <v>38</v>
      </c>
      <c r="Q48" s="54">
        <v>10.4</v>
      </c>
      <c r="R48" s="55">
        <v>0</v>
      </c>
      <c r="S48" s="55">
        <v>0</v>
      </c>
      <c r="T48" s="57">
        <v>16.34</v>
      </c>
      <c r="U48" s="56">
        <v>38</v>
      </c>
      <c r="V48" s="54">
        <v>10.3</v>
      </c>
      <c r="W48" s="55">
        <v>0</v>
      </c>
      <c r="X48" s="55">
        <v>0</v>
      </c>
      <c r="Y48" s="57">
        <v>6.73</v>
      </c>
      <c r="Z48" s="53">
        <v>38</v>
      </c>
      <c r="AA48" s="54">
        <v>10.199999999999999</v>
      </c>
      <c r="AB48" s="55">
        <v>0</v>
      </c>
      <c r="AC48" s="55">
        <v>0</v>
      </c>
      <c r="AD48" s="57">
        <v>15.38</v>
      </c>
      <c r="AE48" s="56">
        <v>37</v>
      </c>
      <c r="AF48" s="54">
        <v>10.199999999999999</v>
      </c>
      <c r="AG48" s="55">
        <v>0</v>
      </c>
      <c r="AH48" s="55">
        <v>0</v>
      </c>
      <c r="AI48" s="57">
        <v>15.38</v>
      </c>
      <c r="AJ48" s="56">
        <v>37</v>
      </c>
      <c r="AK48" s="54">
        <v>10</v>
      </c>
      <c r="AL48" s="54">
        <v>0</v>
      </c>
      <c r="AM48" s="54">
        <v>0</v>
      </c>
      <c r="AN48" s="57">
        <v>7.69</v>
      </c>
      <c r="AO48" s="53">
        <v>37</v>
      </c>
      <c r="AP48" s="54">
        <v>10</v>
      </c>
      <c r="AQ48" s="54">
        <v>200</v>
      </c>
      <c r="AR48" s="54">
        <v>0</v>
      </c>
      <c r="AS48" s="57">
        <v>18.260000000000002</v>
      </c>
      <c r="AT48" s="56">
        <v>31</v>
      </c>
      <c r="AU48" s="57">
        <v>170</v>
      </c>
      <c r="AV48" s="56">
        <v>94.3359375</v>
      </c>
      <c r="AW48" s="57">
        <v>283.44943632433814</v>
      </c>
      <c r="AX48" s="8"/>
      <c r="AZ48" s="1">
        <v>90</v>
      </c>
      <c r="BB48" s="82">
        <f t="shared" si="1"/>
        <v>35.26276</v>
      </c>
    </row>
    <row r="49" spans="3:54" ht="15" customHeight="1" x14ac:dyDescent="0.25">
      <c r="C49" s="42"/>
      <c r="D49" s="43">
        <f>D40</f>
        <v>45719</v>
      </c>
      <c r="E49" s="44">
        <f t="shared" si="5"/>
        <v>3.0000000000000009</v>
      </c>
      <c r="F49" s="45">
        <f t="shared" si="3"/>
        <v>45720.00000000008</v>
      </c>
      <c r="G49" s="52">
        <v>43</v>
      </c>
      <c r="H49" s="53">
        <v>40</v>
      </c>
      <c r="I49" s="54">
        <v>10.5</v>
      </c>
      <c r="J49" s="54">
        <v>150</v>
      </c>
      <c r="K49" s="55">
        <v>0</v>
      </c>
      <c r="L49" s="56">
        <v>40</v>
      </c>
      <c r="M49" s="54">
        <v>10.5</v>
      </c>
      <c r="N49" s="54">
        <v>200</v>
      </c>
      <c r="O49" s="57">
        <v>0</v>
      </c>
      <c r="P49" s="53">
        <v>38</v>
      </c>
      <c r="Q49" s="54">
        <v>10.5</v>
      </c>
      <c r="R49" s="55">
        <v>0</v>
      </c>
      <c r="S49" s="55">
        <v>0</v>
      </c>
      <c r="T49" s="57">
        <v>16.34</v>
      </c>
      <c r="U49" s="56">
        <v>38</v>
      </c>
      <c r="V49" s="54">
        <v>10.4</v>
      </c>
      <c r="W49" s="55">
        <v>0</v>
      </c>
      <c r="X49" s="55">
        <v>0</v>
      </c>
      <c r="Y49" s="57">
        <v>10.57</v>
      </c>
      <c r="Z49" s="53">
        <v>38</v>
      </c>
      <c r="AA49" s="54">
        <v>10.4</v>
      </c>
      <c r="AB49" s="55">
        <v>0</v>
      </c>
      <c r="AC49" s="55">
        <v>0</v>
      </c>
      <c r="AD49" s="57">
        <v>9.61</v>
      </c>
      <c r="AE49" s="56">
        <v>38</v>
      </c>
      <c r="AF49" s="54">
        <v>10.3</v>
      </c>
      <c r="AG49" s="55">
        <v>0</v>
      </c>
      <c r="AH49" s="55">
        <v>0</v>
      </c>
      <c r="AI49" s="57">
        <v>15.38</v>
      </c>
      <c r="AJ49" s="56">
        <v>37</v>
      </c>
      <c r="AK49" s="54">
        <v>10.199999999999999</v>
      </c>
      <c r="AL49" s="54">
        <v>0</v>
      </c>
      <c r="AM49" s="54">
        <v>0</v>
      </c>
      <c r="AN49" s="57">
        <v>8.65</v>
      </c>
      <c r="AO49" s="53">
        <v>37</v>
      </c>
      <c r="AP49" s="54">
        <v>10</v>
      </c>
      <c r="AQ49" s="54">
        <v>200</v>
      </c>
      <c r="AR49" s="54">
        <v>0</v>
      </c>
      <c r="AS49" s="57">
        <v>17.3</v>
      </c>
      <c r="AT49" s="56">
        <v>31</v>
      </c>
      <c r="AU49" s="57">
        <v>170</v>
      </c>
      <c r="AV49" s="56">
        <v>93.56689453125</v>
      </c>
      <c r="AW49" s="57">
        <v>284.09131453198694</v>
      </c>
      <c r="AX49" s="8"/>
      <c r="AZ49" s="1">
        <v>90</v>
      </c>
      <c r="BB49" s="82">
        <f t="shared" si="1"/>
        <v>34.409699999999994</v>
      </c>
    </row>
    <row r="50" spans="3:54" ht="15" customHeight="1" x14ac:dyDescent="0.25">
      <c r="C50" s="42"/>
      <c r="D50" s="43">
        <f>D40</f>
        <v>45719</v>
      </c>
      <c r="E50" s="44">
        <f t="shared" si="5"/>
        <v>3.0833333333333344</v>
      </c>
      <c r="F50" s="45">
        <f t="shared" si="3"/>
        <v>45720.083333333416</v>
      </c>
      <c r="G50" s="52">
        <v>45</v>
      </c>
      <c r="H50" s="53">
        <v>41</v>
      </c>
      <c r="I50" s="54">
        <v>10</v>
      </c>
      <c r="J50" s="54">
        <v>200</v>
      </c>
      <c r="K50" s="55">
        <v>0</v>
      </c>
      <c r="L50" s="56">
        <v>41</v>
      </c>
      <c r="M50" s="54">
        <v>10.4</v>
      </c>
      <c r="N50" s="54">
        <v>200</v>
      </c>
      <c r="O50" s="57">
        <v>0</v>
      </c>
      <c r="P50" s="53">
        <v>39</v>
      </c>
      <c r="Q50" s="54">
        <v>10.4</v>
      </c>
      <c r="R50" s="55">
        <v>0</v>
      </c>
      <c r="S50" s="55">
        <v>0</v>
      </c>
      <c r="T50" s="57">
        <v>16.73</v>
      </c>
      <c r="U50" s="56">
        <v>39</v>
      </c>
      <c r="V50" s="54">
        <v>10.4</v>
      </c>
      <c r="W50" s="55">
        <v>0</v>
      </c>
      <c r="X50" s="55">
        <v>0</v>
      </c>
      <c r="Y50" s="57">
        <v>16.34</v>
      </c>
      <c r="Z50" s="53">
        <v>39</v>
      </c>
      <c r="AA50" s="54">
        <v>10.3</v>
      </c>
      <c r="AB50" s="55">
        <v>0</v>
      </c>
      <c r="AC50" s="55">
        <v>0</v>
      </c>
      <c r="AD50" s="57">
        <v>4.8</v>
      </c>
      <c r="AE50" s="56">
        <v>39</v>
      </c>
      <c r="AF50" s="54">
        <v>10.3</v>
      </c>
      <c r="AG50" s="55">
        <v>0</v>
      </c>
      <c r="AH50" s="55">
        <v>0</v>
      </c>
      <c r="AI50" s="57">
        <v>14.8</v>
      </c>
      <c r="AJ50" s="56">
        <v>38</v>
      </c>
      <c r="AK50" s="54">
        <v>10.199999999999999</v>
      </c>
      <c r="AL50" s="54">
        <v>0</v>
      </c>
      <c r="AM50" s="54">
        <v>0</v>
      </c>
      <c r="AN50" s="57">
        <v>8.07</v>
      </c>
      <c r="AO50" s="53">
        <v>38</v>
      </c>
      <c r="AP50" s="54">
        <v>10.1</v>
      </c>
      <c r="AQ50" s="54">
        <v>170</v>
      </c>
      <c r="AR50" s="54">
        <v>0</v>
      </c>
      <c r="AS50" s="57">
        <v>17.88</v>
      </c>
      <c r="AT50" s="56">
        <v>32</v>
      </c>
      <c r="AU50" s="57">
        <v>140</v>
      </c>
      <c r="AV50" s="56">
        <v>94.026687622070298</v>
      </c>
      <c r="AW50" s="57">
        <v>285.25692046663414</v>
      </c>
      <c r="AX50" s="8"/>
      <c r="AZ50" s="1">
        <v>90</v>
      </c>
      <c r="BB50" s="82">
        <f t="shared" si="1"/>
        <v>34.750039999999991</v>
      </c>
    </row>
    <row r="51" spans="3:54" ht="15" customHeight="1" x14ac:dyDescent="0.25">
      <c r="C51" s="42"/>
      <c r="D51" s="69">
        <f>D40</f>
        <v>45719</v>
      </c>
      <c r="E51" s="70">
        <f t="shared" si="5"/>
        <v>3.1666666666666679</v>
      </c>
      <c r="F51" s="71">
        <f t="shared" si="3"/>
        <v>45720.166666666752</v>
      </c>
      <c r="G51" s="60">
        <v>44</v>
      </c>
      <c r="H51" s="61">
        <v>41</v>
      </c>
      <c r="I51" s="62">
        <v>9.9</v>
      </c>
      <c r="J51" s="62">
        <v>200</v>
      </c>
      <c r="K51" s="63">
        <v>0</v>
      </c>
      <c r="L51" s="64">
        <v>41</v>
      </c>
      <c r="M51" s="62">
        <v>10.199999999999999</v>
      </c>
      <c r="N51" s="62">
        <v>200</v>
      </c>
      <c r="O51" s="65">
        <v>0</v>
      </c>
      <c r="P51" s="61">
        <v>40</v>
      </c>
      <c r="Q51" s="62">
        <v>10.4</v>
      </c>
      <c r="R51" s="63">
        <v>0</v>
      </c>
      <c r="S51" s="63">
        <v>0</v>
      </c>
      <c r="T51" s="65">
        <v>16.73</v>
      </c>
      <c r="U51" s="64">
        <v>40</v>
      </c>
      <c r="V51" s="62">
        <v>10.4</v>
      </c>
      <c r="W51" s="63">
        <v>0</v>
      </c>
      <c r="X51" s="63">
        <v>0</v>
      </c>
      <c r="Y51" s="65">
        <v>16.34</v>
      </c>
      <c r="Z51" s="61">
        <v>39</v>
      </c>
      <c r="AA51" s="62">
        <v>10.4</v>
      </c>
      <c r="AB51" s="63">
        <v>0</v>
      </c>
      <c r="AC51" s="63">
        <v>0</v>
      </c>
      <c r="AD51" s="65">
        <v>11.53</v>
      </c>
      <c r="AE51" s="64">
        <v>39</v>
      </c>
      <c r="AF51" s="62">
        <v>10.4</v>
      </c>
      <c r="AG51" s="63">
        <v>0</v>
      </c>
      <c r="AH51" s="63">
        <v>0</v>
      </c>
      <c r="AI51" s="65">
        <v>7.69</v>
      </c>
      <c r="AJ51" s="64">
        <v>37</v>
      </c>
      <c r="AK51" s="62">
        <v>10.199999999999999</v>
      </c>
      <c r="AL51" s="62">
        <v>0</v>
      </c>
      <c r="AM51" s="62">
        <v>0</v>
      </c>
      <c r="AN51" s="65">
        <v>7.69</v>
      </c>
      <c r="AO51" s="61">
        <v>38</v>
      </c>
      <c r="AP51" s="62">
        <v>10.199999999999999</v>
      </c>
      <c r="AQ51" s="62">
        <v>180</v>
      </c>
      <c r="AR51" s="62">
        <v>0</v>
      </c>
      <c r="AS51" s="65">
        <v>18.2</v>
      </c>
      <c r="AT51" s="64">
        <v>33</v>
      </c>
      <c r="AU51" s="65">
        <v>140</v>
      </c>
      <c r="AV51" s="64">
        <v>94.588211059570298</v>
      </c>
      <c r="AW51" s="65">
        <v>283.85332272965462</v>
      </c>
      <c r="AX51" s="8"/>
      <c r="AZ51" s="1">
        <v>90</v>
      </c>
      <c r="BB51" s="82">
        <f t="shared" si="1"/>
        <v>34.55556</v>
      </c>
    </row>
    <row r="52" spans="3:54" ht="15" customHeight="1" x14ac:dyDescent="0.25">
      <c r="C52" s="42">
        <f>C40+1</f>
        <v>4</v>
      </c>
      <c r="D52" s="66">
        <f>DATE([3]Dash!$F$3,VLOOKUP([3]Dash!$E$3,[3]Abb!$C$3:$D$14,2,FALSE),C52)</f>
        <v>45720</v>
      </c>
      <c r="E52" s="67">
        <f>E51+2/24</f>
        <v>3.2500000000000013</v>
      </c>
      <c r="F52" s="68">
        <f t="shared" si="3"/>
        <v>45720.250000000087</v>
      </c>
      <c r="G52" s="46">
        <v>44</v>
      </c>
      <c r="H52" s="47">
        <v>39</v>
      </c>
      <c r="I52" s="48">
        <v>9.9</v>
      </c>
      <c r="J52" s="48">
        <v>200</v>
      </c>
      <c r="K52" s="49">
        <v>0</v>
      </c>
      <c r="L52" s="50">
        <v>41</v>
      </c>
      <c r="M52" s="48">
        <v>10.199999999999999</v>
      </c>
      <c r="N52" s="48">
        <v>200</v>
      </c>
      <c r="O52" s="51">
        <v>0</v>
      </c>
      <c r="P52" s="47">
        <v>39</v>
      </c>
      <c r="Q52" s="48">
        <v>10.4</v>
      </c>
      <c r="R52" s="49">
        <v>0</v>
      </c>
      <c r="S52" s="49">
        <v>0</v>
      </c>
      <c r="T52" s="51">
        <v>16.34</v>
      </c>
      <c r="U52" s="50">
        <v>38</v>
      </c>
      <c r="V52" s="48">
        <v>10.4</v>
      </c>
      <c r="W52" s="49">
        <v>0</v>
      </c>
      <c r="X52" s="49">
        <v>0</v>
      </c>
      <c r="Y52" s="51">
        <v>16.34</v>
      </c>
      <c r="Z52" s="47">
        <v>38</v>
      </c>
      <c r="AA52" s="48">
        <v>10.4</v>
      </c>
      <c r="AB52" s="49">
        <v>0</v>
      </c>
      <c r="AC52" s="49">
        <v>0</v>
      </c>
      <c r="AD52" s="51">
        <v>16.34</v>
      </c>
      <c r="AE52" s="50">
        <v>39</v>
      </c>
      <c r="AF52" s="48">
        <v>10.4</v>
      </c>
      <c r="AG52" s="49">
        <v>0</v>
      </c>
      <c r="AH52" s="49">
        <v>0</v>
      </c>
      <c r="AI52" s="51">
        <v>4.8</v>
      </c>
      <c r="AJ52" s="50">
        <v>38</v>
      </c>
      <c r="AK52" s="48">
        <v>10.3</v>
      </c>
      <c r="AL52" s="48">
        <v>0</v>
      </c>
      <c r="AM52" s="48">
        <v>0</v>
      </c>
      <c r="AN52" s="51">
        <v>10.57</v>
      </c>
      <c r="AO52" s="47">
        <v>38</v>
      </c>
      <c r="AP52" s="48">
        <v>10.3</v>
      </c>
      <c r="AQ52" s="48">
        <v>180</v>
      </c>
      <c r="AR52" s="48">
        <v>0</v>
      </c>
      <c r="AS52" s="48">
        <v>14.4</v>
      </c>
      <c r="AT52" s="50">
        <v>33</v>
      </c>
      <c r="AU52" s="51">
        <v>130</v>
      </c>
      <c r="AV52" s="50">
        <v>94.022621154785199</v>
      </c>
      <c r="AW52" s="51">
        <v>284.82675001832348</v>
      </c>
      <c r="AX52" s="8"/>
      <c r="AZ52" s="1">
        <v>90</v>
      </c>
      <c r="BB52" s="82">
        <f t="shared" si="1"/>
        <v>34.825180000000003</v>
      </c>
    </row>
    <row r="53" spans="3:54" ht="15" customHeight="1" x14ac:dyDescent="0.25">
      <c r="C53" s="42"/>
      <c r="D53" s="43">
        <f>D52</f>
        <v>45720</v>
      </c>
      <c r="E53" s="44">
        <f>E52+2/24</f>
        <v>3.3333333333333348</v>
      </c>
      <c r="F53" s="45">
        <f t="shared" si="3"/>
        <v>45720.333333333423</v>
      </c>
      <c r="G53" s="52">
        <v>0</v>
      </c>
      <c r="H53" s="53">
        <v>41</v>
      </c>
      <c r="I53" s="54">
        <v>9.6</v>
      </c>
      <c r="J53" s="54">
        <v>200</v>
      </c>
      <c r="K53" s="55">
        <v>0</v>
      </c>
      <c r="L53" s="56">
        <v>40</v>
      </c>
      <c r="M53" s="54">
        <v>10</v>
      </c>
      <c r="N53" s="54">
        <v>150</v>
      </c>
      <c r="O53" s="57">
        <v>0</v>
      </c>
      <c r="P53" s="53">
        <v>40</v>
      </c>
      <c r="Q53" s="54">
        <v>10.199999999999999</v>
      </c>
      <c r="R53" s="55">
        <v>0</v>
      </c>
      <c r="S53" s="55">
        <v>0</v>
      </c>
      <c r="T53" s="57">
        <v>16.34</v>
      </c>
      <c r="U53" s="56">
        <v>39</v>
      </c>
      <c r="V53" s="54">
        <v>10.3</v>
      </c>
      <c r="W53" s="55">
        <v>0</v>
      </c>
      <c r="X53" s="55">
        <v>0</v>
      </c>
      <c r="Y53" s="57">
        <v>15.76</v>
      </c>
      <c r="Z53" s="53">
        <v>39</v>
      </c>
      <c r="AA53" s="54">
        <v>10.3</v>
      </c>
      <c r="AB53" s="55">
        <v>0</v>
      </c>
      <c r="AC53" s="55">
        <v>0</v>
      </c>
      <c r="AD53" s="57">
        <v>16.34</v>
      </c>
      <c r="AE53" s="56">
        <v>39</v>
      </c>
      <c r="AF53" s="54">
        <v>10.3</v>
      </c>
      <c r="AG53" s="55">
        <v>0</v>
      </c>
      <c r="AH53" s="55">
        <v>0</v>
      </c>
      <c r="AI53" s="57">
        <v>4.8</v>
      </c>
      <c r="AJ53" s="56">
        <v>39</v>
      </c>
      <c r="AK53" s="54">
        <v>10.199999999999999</v>
      </c>
      <c r="AL53" s="54">
        <v>0</v>
      </c>
      <c r="AM53" s="54">
        <v>0</v>
      </c>
      <c r="AN53" s="57">
        <v>10.57</v>
      </c>
      <c r="AO53" s="53">
        <v>38</v>
      </c>
      <c r="AP53" s="54">
        <v>10.199999999999999</v>
      </c>
      <c r="AQ53" s="54">
        <v>160</v>
      </c>
      <c r="AR53" s="54">
        <v>0</v>
      </c>
      <c r="AS53" s="54">
        <v>14.42</v>
      </c>
      <c r="AT53" s="56">
        <v>0</v>
      </c>
      <c r="AU53" s="57">
        <v>0</v>
      </c>
      <c r="AV53" s="56">
        <v>94.246414184570298</v>
      </c>
      <c r="AW53" s="57">
        <v>285.66526846658286</v>
      </c>
      <c r="AX53" s="8"/>
      <c r="AZ53" s="1">
        <v>90</v>
      </c>
      <c r="BB53" s="82">
        <f t="shared" si="1"/>
        <v>34.577659999999995</v>
      </c>
    </row>
    <row r="54" spans="3:54" ht="15" customHeight="1" x14ac:dyDescent="0.25">
      <c r="C54" s="42"/>
      <c r="D54" s="43">
        <f>D52</f>
        <v>45720</v>
      </c>
      <c r="E54" s="44">
        <f t="shared" ref="E54:E63" si="6">E53+2/24</f>
        <v>3.4166666666666683</v>
      </c>
      <c r="F54" s="45">
        <f t="shared" si="3"/>
        <v>45720.416666666759</v>
      </c>
      <c r="G54" s="52">
        <v>0</v>
      </c>
      <c r="H54" s="53">
        <v>40</v>
      </c>
      <c r="I54" s="54">
        <v>9.6</v>
      </c>
      <c r="J54" s="54">
        <v>200</v>
      </c>
      <c r="K54" s="55">
        <v>0</v>
      </c>
      <c r="L54" s="56">
        <v>40</v>
      </c>
      <c r="M54" s="54">
        <v>10</v>
      </c>
      <c r="N54" s="54">
        <v>150</v>
      </c>
      <c r="O54" s="57">
        <v>0</v>
      </c>
      <c r="P54" s="53">
        <v>40</v>
      </c>
      <c r="Q54" s="54">
        <v>10.199999999999999</v>
      </c>
      <c r="R54" s="55">
        <v>0</v>
      </c>
      <c r="S54" s="55">
        <v>0</v>
      </c>
      <c r="T54" s="57">
        <v>15.96</v>
      </c>
      <c r="U54" s="56">
        <v>39</v>
      </c>
      <c r="V54" s="54">
        <v>10.3</v>
      </c>
      <c r="W54" s="55">
        <v>0</v>
      </c>
      <c r="X54" s="55">
        <v>0</v>
      </c>
      <c r="Y54" s="57">
        <v>15.57</v>
      </c>
      <c r="Z54" s="53">
        <v>39</v>
      </c>
      <c r="AA54" s="54">
        <v>10.3</v>
      </c>
      <c r="AB54" s="55">
        <v>0</v>
      </c>
      <c r="AC54" s="55">
        <v>0</v>
      </c>
      <c r="AD54" s="57">
        <v>16.149999999999999</v>
      </c>
      <c r="AE54" s="56">
        <v>39</v>
      </c>
      <c r="AF54" s="54">
        <v>10.3</v>
      </c>
      <c r="AG54" s="55">
        <v>0</v>
      </c>
      <c r="AH54" s="55">
        <v>0</v>
      </c>
      <c r="AI54" s="57">
        <v>5.76</v>
      </c>
      <c r="AJ54" s="56">
        <v>39</v>
      </c>
      <c r="AK54" s="54">
        <v>10.199999999999999</v>
      </c>
      <c r="AL54" s="54">
        <v>0</v>
      </c>
      <c r="AM54" s="54">
        <v>0</v>
      </c>
      <c r="AN54" s="57">
        <v>10.19</v>
      </c>
      <c r="AO54" s="53">
        <v>38</v>
      </c>
      <c r="AP54" s="54">
        <v>10.199999999999999</v>
      </c>
      <c r="AQ54" s="54">
        <v>160</v>
      </c>
      <c r="AR54" s="54">
        <v>0</v>
      </c>
      <c r="AS54" s="54">
        <v>14.61</v>
      </c>
      <c r="AT54" s="56">
        <v>0</v>
      </c>
      <c r="AU54" s="57">
        <v>0</v>
      </c>
      <c r="AV54" s="56">
        <v>94.771316528320298</v>
      </c>
      <c r="AW54" s="57">
        <v>284.63553718989715</v>
      </c>
      <c r="AX54" s="8"/>
      <c r="AZ54" s="1">
        <v>90</v>
      </c>
      <c r="BB54" s="82">
        <f t="shared" si="1"/>
        <v>34.582080000000005</v>
      </c>
    </row>
    <row r="55" spans="3:54" ht="15" customHeight="1" x14ac:dyDescent="0.25">
      <c r="C55" s="42"/>
      <c r="D55" s="43">
        <f>D52</f>
        <v>45720</v>
      </c>
      <c r="E55" s="44">
        <f t="shared" si="6"/>
        <v>3.5000000000000018</v>
      </c>
      <c r="F55" s="45">
        <f t="shared" si="3"/>
        <v>45720.500000000095</v>
      </c>
      <c r="G55" s="52">
        <v>0</v>
      </c>
      <c r="H55" s="53">
        <v>40</v>
      </c>
      <c r="I55" s="54">
        <v>9.8000000000000007</v>
      </c>
      <c r="J55" s="54">
        <v>200</v>
      </c>
      <c r="K55" s="55">
        <v>0</v>
      </c>
      <c r="L55" s="56">
        <v>40</v>
      </c>
      <c r="M55" s="54">
        <v>10</v>
      </c>
      <c r="N55" s="54">
        <v>200</v>
      </c>
      <c r="O55" s="57">
        <v>0</v>
      </c>
      <c r="P55" s="53">
        <v>40</v>
      </c>
      <c r="Q55" s="54">
        <v>10.199999999999999</v>
      </c>
      <c r="R55" s="55">
        <v>0</v>
      </c>
      <c r="S55" s="55">
        <v>0</v>
      </c>
      <c r="T55" s="57">
        <v>16.149999999999999</v>
      </c>
      <c r="U55" s="56">
        <v>39</v>
      </c>
      <c r="V55" s="54">
        <v>10.199999999999999</v>
      </c>
      <c r="W55" s="55">
        <v>0</v>
      </c>
      <c r="X55" s="55">
        <v>0</v>
      </c>
      <c r="Y55" s="57">
        <v>15.57</v>
      </c>
      <c r="Z55" s="53">
        <v>38</v>
      </c>
      <c r="AA55" s="54">
        <v>10.199999999999999</v>
      </c>
      <c r="AB55" s="55">
        <v>0</v>
      </c>
      <c r="AC55" s="55">
        <v>0</v>
      </c>
      <c r="AD55" s="57">
        <v>16.53</v>
      </c>
      <c r="AE55" s="56">
        <v>38</v>
      </c>
      <c r="AF55" s="54">
        <v>10.1</v>
      </c>
      <c r="AG55" s="55">
        <v>0</v>
      </c>
      <c r="AH55" s="55">
        <v>0</v>
      </c>
      <c r="AI55" s="57">
        <v>6.15</v>
      </c>
      <c r="AJ55" s="56">
        <v>37</v>
      </c>
      <c r="AK55" s="54">
        <v>10.1</v>
      </c>
      <c r="AL55" s="54">
        <v>0</v>
      </c>
      <c r="AM55" s="54">
        <v>0</v>
      </c>
      <c r="AN55" s="57">
        <v>7.69</v>
      </c>
      <c r="AO55" s="53">
        <v>37</v>
      </c>
      <c r="AP55" s="54">
        <v>10.1</v>
      </c>
      <c r="AQ55" s="54">
        <v>150</v>
      </c>
      <c r="AR55" s="54">
        <v>0</v>
      </c>
      <c r="AS55" s="54">
        <v>15.19</v>
      </c>
      <c r="AT55" s="56">
        <v>0</v>
      </c>
      <c r="AU55" s="57">
        <v>0</v>
      </c>
      <c r="AV55" s="56">
        <v>0</v>
      </c>
      <c r="AW55" s="57">
        <v>284.29349941561617</v>
      </c>
      <c r="AX55" s="8"/>
      <c r="AZ55" s="1">
        <v>90</v>
      </c>
      <c r="BB55" s="82">
        <f t="shared" si="1"/>
        <v>34.157759999999996</v>
      </c>
    </row>
    <row r="56" spans="3:54" ht="15" customHeight="1" x14ac:dyDescent="0.25">
      <c r="C56" s="42"/>
      <c r="D56" s="43">
        <f>D52</f>
        <v>45720</v>
      </c>
      <c r="E56" s="44">
        <f t="shared" si="6"/>
        <v>3.5833333333333353</v>
      </c>
      <c r="F56" s="45">
        <f t="shared" si="3"/>
        <v>45720.58333333343</v>
      </c>
      <c r="G56" s="52">
        <v>40</v>
      </c>
      <c r="H56" s="53">
        <v>40</v>
      </c>
      <c r="I56" s="54">
        <v>10.1</v>
      </c>
      <c r="J56" s="54">
        <v>250</v>
      </c>
      <c r="K56" s="55">
        <v>0</v>
      </c>
      <c r="L56" s="56">
        <v>40</v>
      </c>
      <c r="M56" s="54">
        <v>10.199999999999999</v>
      </c>
      <c r="N56" s="54">
        <v>250</v>
      </c>
      <c r="O56" s="57">
        <v>0</v>
      </c>
      <c r="P56" s="53">
        <v>40</v>
      </c>
      <c r="Q56" s="54">
        <v>10</v>
      </c>
      <c r="R56" s="55">
        <v>0</v>
      </c>
      <c r="S56" s="55">
        <v>0</v>
      </c>
      <c r="T56" s="57">
        <v>16.53</v>
      </c>
      <c r="U56" s="56">
        <v>39</v>
      </c>
      <c r="V56" s="54">
        <v>10.3</v>
      </c>
      <c r="W56" s="55">
        <v>0</v>
      </c>
      <c r="X56" s="55">
        <v>0</v>
      </c>
      <c r="Y56" s="57">
        <v>15.76</v>
      </c>
      <c r="Z56" s="53">
        <v>38</v>
      </c>
      <c r="AA56" s="54">
        <v>10</v>
      </c>
      <c r="AB56" s="55">
        <v>0</v>
      </c>
      <c r="AC56" s="55">
        <v>0</v>
      </c>
      <c r="AD56" s="57">
        <v>16.149999999999999</v>
      </c>
      <c r="AE56" s="56">
        <v>37</v>
      </c>
      <c r="AF56" s="54">
        <v>10.199999999999999</v>
      </c>
      <c r="AG56" s="55">
        <v>0</v>
      </c>
      <c r="AH56" s="55">
        <v>0</v>
      </c>
      <c r="AI56" s="57">
        <v>8.4600000000000009</v>
      </c>
      <c r="AJ56" s="56">
        <v>36</v>
      </c>
      <c r="AK56" s="54">
        <v>10.1</v>
      </c>
      <c r="AL56" s="54">
        <v>0</v>
      </c>
      <c r="AM56" s="54">
        <v>0</v>
      </c>
      <c r="AN56" s="57">
        <v>4.8</v>
      </c>
      <c r="AO56" s="53">
        <v>37</v>
      </c>
      <c r="AP56" s="54">
        <v>10</v>
      </c>
      <c r="AQ56" s="54">
        <v>170</v>
      </c>
      <c r="AR56" s="54">
        <v>0</v>
      </c>
      <c r="AS56" s="54">
        <v>15.38</v>
      </c>
      <c r="AT56" s="56">
        <v>29</v>
      </c>
      <c r="AU56" s="57">
        <v>90</v>
      </c>
      <c r="AV56" s="56">
        <v>94.482421875</v>
      </c>
      <c r="AW56" s="57">
        <v>8.623046811421716</v>
      </c>
      <c r="AX56" s="8"/>
      <c r="AZ56" s="1">
        <v>90</v>
      </c>
      <c r="BB56" s="82">
        <f t="shared" si="1"/>
        <v>34.069360000000003</v>
      </c>
    </row>
    <row r="57" spans="3:54" ht="15" customHeight="1" x14ac:dyDescent="0.25">
      <c r="C57" s="42"/>
      <c r="D57" s="43">
        <f>D52</f>
        <v>45720</v>
      </c>
      <c r="E57" s="44">
        <f t="shared" si="6"/>
        <v>3.6666666666666687</v>
      </c>
      <c r="F57" s="45">
        <f t="shared" si="3"/>
        <v>45720.666666666766</v>
      </c>
      <c r="G57" s="52">
        <v>43</v>
      </c>
      <c r="H57" s="53">
        <v>39</v>
      </c>
      <c r="I57" s="54">
        <v>9.8000000000000007</v>
      </c>
      <c r="J57" s="54">
        <v>250</v>
      </c>
      <c r="K57" s="55">
        <v>0</v>
      </c>
      <c r="L57" s="56">
        <v>40</v>
      </c>
      <c r="M57" s="54">
        <v>9.9</v>
      </c>
      <c r="N57" s="54">
        <v>250</v>
      </c>
      <c r="O57" s="57">
        <v>0</v>
      </c>
      <c r="P57" s="53">
        <v>40</v>
      </c>
      <c r="Q57" s="54">
        <v>9.9</v>
      </c>
      <c r="R57" s="55">
        <v>0</v>
      </c>
      <c r="S57" s="55">
        <v>0</v>
      </c>
      <c r="T57" s="57">
        <v>16.34</v>
      </c>
      <c r="U57" s="56">
        <v>40</v>
      </c>
      <c r="V57" s="54">
        <v>10</v>
      </c>
      <c r="W57" s="55">
        <v>0</v>
      </c>
      <c r="X57" s="55">
        <v>0</v>
      </c>
      <c r="Y57" s="57">
        <v>15.38</v>
      </c>
      <c r="Z57" s="53">
        <v>39</v>
      </c>
      <c r="AA57" s="54">
        <v>10</v>
      </c>
      <c r="AB57" s="55">
        <v>0</v>
      </c>
      <c r="AC57" s="55">
        <v>0</v>
      </c>
      <c r="AD57" s="57">
        <v>16.34</v>
      </c>
      <c r="AE57" s="56">
        <v>39</v>
      </c>
      <c r="AF57" s="54">
        <v>10.1</v>
      </c>
      <c r="AG57" s="55">
        <v>0</v>
      </c>
      <c r="AH57" s="55">
        <v>0</v>
      </c>
      <c r="AI57" s="57">
        <v>8.65</v>
      </c>
      <c r="AJ57" s="56">
        <v>38</v>
      </c>
      <c r="AK57" s="54">
        <v>10.1</v>
      </c>
      <c r="AL57" s="54">
        <v>0</v>
      </c>
      <c r="AM57" s="54">
        <v>0</v>
      </c>
      <c r="AN57" s="57">
        <v>9.61</v>
      </c>
      <c r="AO57" s="53">
        <v>38</v>
      </c>
      <c r="AP57" s="54">
        <v>10.1</v>
      </c>
      <c r="AQ57" s="54">
        <v>170</v>
      </c>
      <c r="AR57" s="54">
        <v>0</v>
      </c>
      <c r="AS57" s="54">
        <v>6.73</v>
      </c>
      <c r="AT57" s="56">
        <v>34</v>
      </c>
      <c r="AU57" s="57">
        <v>110</v>
      </c>
      <c r="AV57" s="56">
        <v>94.486488342285199</v>
      </c>
      <c r="AW57" s="57">
        <v>247.22788837365806</v>
      </c>
      <c r="AX57" s="8"/>
      <c r="AZ57" s="1">
        <v>90</v>
      </c>
      <c r="BB57" s="82">
        <f t="shared" si="1"/>
        <v>32.2881</v>
      </c>
    </row>
    <row r="58" spans="3:54" ht="15" customHeight="1" x14ac:dyDescent="0.25">
      <c r="C58" s="42"/>
      <c r="D58" s="43">
        <f>D52</f>
        <v>45720</v>
      </c>
      <c r="E58" s="44">
        <f t="shared" si="6"/>
        <v>3.7500000000000022</v>
      </c>
      <c r="F58" s="45">
        <f t="shared" si="3"/>
        <v>45720.750000000102</v>
      </c>
      <c r="G58" s="52">
        <v>39</v>
      </c>
      <c r="H58" s="53">
        <v>39</v>
      </c>
      <c r="I58" s="54">
        <v>9.9</v>
      </c>
      <c r="J58" s="54">
        <v>300</v>
      </c>
      <c r="K58" s="55">
        <v>0</v>
      </c>
      <c r="L58" s="56">
        <v>39</v>
      </c>
      <c r="M58" s="54">
        <v>9.8000000000000007</v>
      </c>
      <c r="N58" s="54">
        <v>300</v>
      </c>
      <c r="O58" s="57">
        <v>0</v>
      </c>
      <c r="P58" s="53">
        <v>38</v>
      </c>
      <c r="Q58" s="54">
        <v>9.9</v>
      </c>
      <c r="R58" s="55">
        <v>0</v>
      </c>
      <c r="S58" s="55">
        <v>0</v>
      </c>
      <c r="T58" s="57">
        <v>16.73</v>
      </c>
      <c r="U58" s="56">
        <v>38</v>
      </c>
      <c r="V58" s="54">
        <v>10.1</v>
      </c>
      <c r="W58" s="55">
        <v>0</v>
      </c>
      <c r="X58" s="55">
        <v>0</v>
      </c>
      <c r="Y58" s="57">
        <v>15.19</v>
      </c>
      <c r="Z58" s="53">
        <v>38</v>
      </c>
      <c r="AA58" s="54">
        <v>10.1</v>
      </c>
      <c r="AB58" s="55">
        <v>0</v>
      </c>
      <c r="AC58" s="55">
        <v>0</v>
      </c>
      <c r="AD58" s="57">
        <v>16.149999999999999</v>
      </c>
      <c r="AE58" s="56">
        <v>37</v>
      </c>
      <c r="AF58" s="54">
        <v>10.1</v>
      </c>
      <c r="AG58" s="55">
        <v>0</v>
      </c>
      <c r="AH58" s="55">
        <v>0</v>
      </c>
      <c r="AI58" s="57">
        <v>16.149999999999999</v>
      </c>
      <c r="AJ58" s="56">
        <v>37</v>
      </c>
      <c r="AK58" s="54">
        <v>10.1</v>
      </c>
      <c r="AL58" s="54">
        <v>0</v>
      </c>
      <c r="AM58" s="54">
        <v>0</v>
      </c>
      <c r="AN58" s="57">
        <v>13.46</v>
      </c>
      <c r="AO58" s="53">
        <v>37</v>
      </c>
      <c r="AP58" s="54">
        <v>10.199999999999999</v>
      </c>
      <c r="AQ58" s="54">
        <v>160</v>
      </c>
      <c r="AR58" s="54">
        <v>0</v>
      </c>
      <c r="AS58" s="54">
        <v>11.53</v>
      </c>
      <c r="AT58" s="56">
        <v>32</v>
      </c>
      <c r="AU58" s="57">
        <v>100</v>
      </c>
      <c r="AV58" s="56">
        <v>94.059242248535199</v>
      </c>
      <c r="AW58" s="57">
        <v>283.02975504957141</v>
      </c>
      <c r="AX58" s="8"/>
      <c r="AZ58" s="1">
        <v>90</v>
      </c>
      <c r="BB58" s="82">
        <f t="shared" si="1"/>
        <v>39.430819999999997</v>
      </c>
    </row>
    <row r="59" spans="3:54" ht="15" customHeight="1" x14ac:dyDescent="0.25">
      <c r="C59" s="42"/>
      <c r="D59" s="43">
        <f>D52</f>
        <v>45720</v>
      </c>
      <c r="E59" s="44">
        <f t="shared" si="6"/>
        <v>3.8333333333333357</v>
      </c>
      <c r="F59" s="45">
        <f t="shared" si="3"/>
        <v>45720.833333333438</v>
      </c>
      <c r="G59" s="52">
        <v>40</v>
      </c>
      <c r="H59" s="53">
        <v>42</v>
      </c>
      <c r="I59" s="54">
        <v>9.6</v>
      </c>
      <c r="J59" s="54">
        <v>300</v>
      </c>
      <c r="K59" s="55">
        <v>0</v>
      </c>
      <c r="L59" s="56">
        <v>41</v>
      </c>
      <c r="M59" s="54">
        <v>9.6999999999999993</v>
      </c>
      <c r="N59" s="54">
        <v>250</v>
      </c>
      <c r="O59" s="57">
        <v>0</v>
      </c>
      <c r="P59" s="53">
        <v>41</v>
      </c>
      <c r="Q59" s="54">
        <v>9.8000000000000007</v>
      </c>
      <c r="R59" s="55">
        <v>0</v>
      </c>
      <c r="S59" s="55">
        <v>0</v>
      </c>
      <c r="T59" s="57">
        <v>16.34</v>
      </c>
      <c r="U59" s="56">
        <v>38</v>
      </c>
      <c r="V59" s="54">
        <v>10</v>
      </c>
      <c r="W59" s="55">
        <v>0</v>
      </c>
      <c r="X59" s="55">
        <v>0</v>
      </c>
      <c r="Y59" s="57">
        <v>15.38</v>
      </c>
      <c r="Z59" s="53">
        <v>39</v>
      </c>
      <c r="AA59" s="54">
        <v>10</v>
      </c>
      <c r="AB59" s="55">
        <v>0</v>
      </c>
      <c r="AC59" s="55">
        <v>0</v>
      </c>
      <c r="AD59" s="57">
        <v>15.38</v>
      </c>
      <c r="AE59" s="56">
        <v>39</v>
      </c>
      <c r="AF59" s="54">
        <v>10</v>
      </c>
      <c r="AG59" s="55">
        <v>0</v>
      </c>
      <c r="AH59" s="55">
        <v>0</v>
      </c>
      <c r="AI59" s="57">
        <v>13.46</v>
      </c>
      <c r="AJ59" s="56">
        <v>39</v>
      </c>
      <c r="AK59" s="54">
        <v>10</v>
      </c>
      <c r="AL59" s="54">
        <v>0</v>
      </c>
      <c r="AM59" s="54">
        <v>0</v>
      </c>
      <c r="AN59" s="57">
        <v>7.3</v>
      </c>
      <c r="AO59" s="53">
        <v>37</v>
      </c>
      <c r="AP59" s="54">
        <v>10</v>
      </c>
      <c r="AQ59" s="54">
        <v>150</v>
      </c>
      <c r="AR59" s="54">
        <v>0</v>
      </c>
      <c r="AS59" s="54">
        <v>12.5</v>
      </c>
      <c r="AT59" s="56">
        <v>34</v>
      </c>
      <c r="AU59" s="57">
        <v>120</v>
      </c>
      <c r="AV59" s="56">
        <v>94.807937622070298</v>
      </c>
      <c r="AW59" s="57">
        <v>281.60493983804867</v>
      </c>
      <c r="AX59" s="8"/>
      <c r="AZ59" s="1">
        <v>90</v>
      </c>
      <c r="BB59" s="82">
        <f t="shared" si="1"/>
        <v>35.519119999999994</v>
      </c>
    </row>
    <row r="60" spans="3:54" ht="15" customHeight="1" x14ac:dyDescent="0.25">
      <c r="C60" s="42"/>
      <c r="D60" s="43">
        <f>D52</f>
        <v>45720</v>
      </c>
      <c r="E60" s="44">
        <f t="shared" si="6"/>
        <v>3.9166666666666692</v>
      </c>
      <c r="F60" s="45">
        <f t="shared" si="3"/>
        <v>45720.916666666773</v>
      </c>
      <c r="G60" s="52">
        <v>40</v>
      </c>
      <c r="H60" s="53">
        <v>42</v>
      </c>
      <c r="I60" s="54">
        <v>9.5</v>
      </c>
      <c r="J60" s="54">
        <v>250</v>
      </c>
      <c r="K60" s="55">
        <v>0</v>
      </c>
      <c r="L60" s="56">
        <v>42</v>
      </c>
      <c r="M60" s="54">
        <v>9.6999999999999993</v>
      </c>
      <c r="N60" s="54">
        <v>250</v>
      </c>
      <c r="O60" s="57">
        <v>0</v>
      </c>
      <c r="P60" s="53">
        <v>40</v>
      </c>
      <c r="Q60" s="54">
        <v>9.8000000000000007</v>
      </c>
      <c r="R60" s="55">
        <v>0</v>
      </c>
      <c r="S60" s="55">
        <v>0</v>
      </c>
      <c r="T60" s="57">
        <v>17.3</v>
      </c>
      <c r="U60" s="56">
        <v>39</v>
      </c>
      <c r="V60" s="54">
        <v>10</v>
      </c>
      <c r="W60" s="55">
        <v>0</v>
      </c>
      <c r="X60" s="55">
        <v>0</v>
      </c>
      <c r="Y60" s="57">
        <v>15.19</v>
      </c>
      <c r="Z60" s="53">
        <v>38</v>
      </c>
      <c r="AA60" s="54">
        <v>10</v>
      </c>
      <c r="AB60" s="55">
        <v>0</v>
      </c>
      <c r="AC60" s="55">
        <v>0</v>
      </c>
      <c r="AD60" s="57">
        <v>15.38</v>
      </c>
      <c r="AE60" s="56">
        <v>36</v>
      </c>
      <c r="AF60" s="54">
        <v>10</v>
      </c>
      <c r="AG60" s="55">
        <v>0</v>
      </c>
      <c r="AH60" s="55">
        <v>0</v>
      </c>
      <c r="AI60" s="57">
        <v>14.42</v>
      </c>
      <c r="AJ60" s="56">
        <v>38</v>
      </c>
      <c r="AK60" s="54">
        <v>10.1</v>
      </c>
      <c r="AL60" s="54">
        <v>0</v>
      </c>
      <c r="AM60" s="54">
        <v>0</v>
      </c>
      <c r="AN60" s="57">
        <v>5.76</v>
      </c>
      <c r="AO60" s="53">
        <v>38</v>
      </c>
      <c r="AP60" s="54">
        <v>10</v>
      </c>
      <c r="AQ60" s="54">
        <v>150</v>
      </c>
      <c r="AR60" s="54">
        <v>0</v>
      </c>
      <c r="AS60" s="54">
        <v>12.5</v>
      </c>
      <c r="AT60" s="56">
        <v>33</v>
      </c>
      <c r="AU60" s="57">
        <v>110</v>
      </c>
      <c r="AV60" s="56">
        <v>93.623855590820298</v>
      </c>
      <c r="AW60" s="57">
        <v>282.17954250757271</v>
      </c>
      <c r="AX60" s="8"/>
      <c r="AZ60" s="1">
        <v>90</v>
      </c>
      <c r="BB60" s="82">
        <f t="shared" si="1"/>
        <v>35.603099999999998</v>
      </c>
    </row>
    <row r="61" spans="3:54" ht="15" customHeight="1" x14ac:dyDescent="0.25">
      <c r="C61" s="42"/>
      <c r="D61" s="43">
        <f>D52</f>
        <v>45720</v>
      </c>
      <c r="E61" s="44">
        <f t="shared" si="6"/>
        <v>4.0000000000000027</v>
      </c>
      <c r="F61" s="45">
        <f t="shared" si="3"/>
        <v>45721.000000000109</v>
      </c>
      <c r="G61" s="52">
        <v>41</v>
      </c>
      <c r="H61" s="53">
        <v>41</v>
      </c>
      <c r="I61" s="54">
        <v>9.6</v>
      </c>
      <c r="J61" s="54">
        <v>200</v>
      </c>
      <c r="K61" s="55">
        <v>0</v>
      </c>
      <c r="L61" s="56">
        <v>41</v>
      </c>
      <c r="M61" s="54">
        <v>9.5</v>
      </c>
      <c r="N61" s="54">
        <v>200</v>
      </c>
      <c r="O61" s="57">
        <v>0</v>
      </c>
      <c r="P61" s="53">
        <v>40</v>
      </c>
      <c r="Q61" s="54">
        <v>9.6999999999999993</v>
      </c>
      <c r="R61" s="55">
        <v>0</v>
      </c>
      <c r="S61" s="55">
        <v>0</v>
      </c>
      <c r="T61" s="57">
        <v>17.11</v>
      </c>
      <c r="U61" s="56">
        <v>39</v>
      </c>
      <c r="V61" s="54">
        <v>10</v>
      </c>
      <c r="W61" s="55">
        <v>0</v>
      </c>
      <c r="X61" s="55">
        <v>0</v>
      </c>
      <c r="Y61" s="57">
        <v>15</v>
      </c>
      <c r="Z61" s="53">
        <v>39</v>
      </c>
      <c r="AA61" s="54">
        <v>10</v>
      </c>
      <c r="AB61" s="55">
        <v>0</v>
      </c>
      <c r="AC61" s="55">
        <v>0</v>
      </c>
      <c r="AD61" s="57">
        <v>15.38</v>
      </c>
      <c r="AE61" s="56">
        <v>40</v>
      </c>
      <c r="AF61" s="54">
        <v>10</v>
      </c>
      <c r="AG61" s="55">
        <v>0</v>
      </c>
      <c r="AH61" s="55">
        <v>0</v>
      </c>
      <c r="AI61" s="57">
        <v>15.38</v>
      </c>
      <c r="AJ61" s="56">
        <v>38</v>
      </c>
      <c r="AK61" s="54">
        <v>10</v>
      </c>
      <c r="AL61" s="54">
        <v>0</v>
      </c>
      <c r="AM61" s="54">
        <v>0</v>
      </c>
      <c r="AN61" s="57">
        <v>11.53</v>
      </c>
      <c r="AO61" s="53">
        <v>38</v>
      </c>
      <c r="AP61" s="54">
        <v>10</v>
      </c>
      <c r="AQ61" s="54">
        <v>140</v>
      </c>
      <c r="AR61" s="54">
        <v>0</v>
      </c>
      <c r="AS61" s="54">
        <v>6.73</v>
      </c>
      <c r="AT61" s="56">
        <v>32</v>
      </c>
      <c r="AU61" s="57">
        <v>100</v>
      </c>
      <c r="AV61" s="56">
        <v>94.169105529785199</v>
      </c>
      <c r="AW61" s="57">
        <v>283.43762043492558</v>
      </c>
      <c r="AX61" s="8"/>
      <c r="AZ61" s="1">
        <v>90</v>
      </c>
      <c r="BB61" s="82">
        <f t="shared" si="1"/>
        <v>35.859459999999999</v>
      </c>
    </row>
    <row r="62" spans="3:54" ht="15" customHeight="1" x14ac:dyDescent="0.25">
      <c r="C62" s="42"/>
      <c r="D62" s="43">
        <f>D52</f>
        <v>45720</v>
      </c>
      <c r="E62" s="44">
        <f t="shared" si="6"/>
        <v>4.0833333333333357</v>
      </c>
      <c r="F62" s="45">
        <f t="shared" si="3"/>
        <v>45721.083333333445</v>
      </c>
      <c r="G62" s="52">
        <v>40</v>
      </c>
      <c r="H62" s="53">
        <v>40</v>
      </c>
      <c r="I62" s="54">
        <v>9.5</v>
      </c>
      <c r="J62" s="54">
        <v>200</v>
      </c>
      <c r="K62" s="55">
        <v>0</v>
      </c>
      <c r="L62" s="56">
        <v>41</v>
      </c>
      <c r="M62" s="54">
        <v>9.4</v>
      </c>
      <c r="N62" s="54">
        <v>200</v>
      </c>
      <c r="O62" s="57">
        <v>0</v>
      </c>
      <c r="P62" s="53">
        <v>41</v>
      </c>
      <c r="Q62" s="54">
        <v>9.6</v>
      </c>
      <c r="R62" s="55">
        <v>0</v>
      </c>
      <c r="S62" s="55">
        <v>0</v>
      </c>
      <c r="T62" s="57">
        <v>17.11</v>
      </c>
      <c r="U62" s="56">
        <v>38</v>
      </c>
      <c r="V62" s="54">
        <v>10</v>
      </c>
      <c r="W62" s="55">
        <v>0</v>
      </c>
      <c r="X62" s="55">
        <v>0</v>
      </c>
      <c r="Y62" s="57">
        <v>15.19</v>
      </c>
      <c r="Z62" s="53">
        <v>38</v>
      </c>
      <c r="AA62" s="54">
        <v>10</v>
      </c>
      <c r="AB62" s="55">
        <v>0</v>
      </c>
      <c r="AC62" s="55">
        <v>0</v>
      </c>
      <c r="AD62" s="57">
        <v>15.38</v>
      </c>
      <c r="AE62" s="56">
        <v>39</v>
      </c>
      <c r="AF62" s="54">
        <v>10</v>
      </c>
      <c r="AG62" s="55">
        <v>0</v>
      </c>
      <c r="AH62" s="55">
        <v>0</v>
      </c>
      <c r="AI62" s="57">
        <v>15.38</v>
      </c>
      <c r="AJ62" s="56">
        <v>38</v>
      </c>
      <c r="AK62" s="54">
        <v>10</v>
      </c>
      <c r="AL62" s="54">
        <v>0</v>
      </c>
      <c r="AM62" s="54">
        <v>0</v>
      </c>
      <c r="AN62" s="57">
        <v>11.53</v>
      </c>
      <c r="AO62" s="53">
        <v>38</v>
      </c>
      <c r="AP62" s="54">
        <v>10.1</v>
      </c>
      <c r="AQ62" s="54">
        <v>130</v>
      </c>
      <c r="AR62" s="54">
        <v>0</v>
      </c>
      <c r="AS62" s="54">
        <v>10.57</v>
      </c>
      <c r="AT62" s="56">
        <v>32</v>
      </c>
      <c r="AU62" s="57">
        <v>100</v>
      </c>
      <c r="AV62" s="56">
        <v>94.6533203125</v>
      </c>
      <c r="AW62" s="57">
        <v>282.53472320414926</v>
      </c>
      <c r="AX62" s="8"/>
      <c r="AZ62" s="1">
        <v>90</v>
      </c>
      <c r="BB62" s="82">
        <f t="shared" si="1"/>
        <v>37.640720000000002</v>
      </c>
    </row>
    <row r="63" spans="3:54" ht="15" customHeight="1" x14ac:dyDescent="0.25">
      <c r="C63" s="42"/>
      <c r="D63" s="69">
        <f>D52</f>
        <v>45720</v>
      </c>
      <c r="E63" s="70">
        <f t="shared" si="6"/>
        <v>4.1666666666666687</v>
      </c>
      <c r="F63" s="71">
        <f t="shared" si="3"/>
        <v>45721.166666666781</v>
      </c>
      <c r="G63" s="60">
        <v>40</v>
      </c>
      <c r="H63" s="61">
        <v>39</v>
      </c>
      <c r="I63" s="62">
        <v>9.5</v>
      </c>
      <c r="J63" s="62">
        <v>200</v>
      </c>
      <c r="K63" s="63">
        <v>0</v>
      </c>
      <c r="L63" s="64">
        <v>40</v>
      </c>
      <c r="M63" s="62">
        <v>9.5</v>
      </c>
      <c r="N63" s="62">
        <v>200</v>
      </c>
      <c r="O63" s="65">
        <v>0</v>
      </c>
      <c r="P63" s="61">
        <v>40</v>
      </c>
      <c r="Q63" s="62">
        <v>9.5</v>
      </c>
      <c r="R63" s="63">
        <v>0</v>
      </c>
      <c r="S63" s="63">
        <v>0</v>
      </c>
      <c r="T63" s="65">
        <v>16.34</v>
      </c>
      <c r="U63" s="64">
        <v>38</v>
      </c>
      <c r="V63" s="62">
        <v>10</v>
      </c>
      <c r="W63" s="63">
        <v>0</v>
      </c>
      <c r="X63" s="63">
        <v>0</v>
      </c>
      <c r="Y63" s="65">
        <v>15.38</v>
      </c>
      <c r="Z63" s="61">
        <v>40</v>
      </c>
      <c r="AA63" s="62">
        <v>10</v>
      </c>
      <c r="AB63" s="63">
        <v>0</v>
      </c>
      <c r="AC63" s="63">
        <v>0</v>
      </c>
      <c r="AD63" s="65">
        <v>15.38</v>
      </c>
      <c r="AE63" s="64">
        <v>39</v>
      </c>
      <c r="AF63" s="62">
        <v>10.1</v>
      </c>
      <c r="AG63" s="63">
        <v>0</v>
      </c>
      <c r="AH63" s="63">
        <v>0</v>
      </c>
      <c r="AI63" s="65">
        <v>15</v>
      </c>
      <c r="AJ63" s="64">
        <v>37</v>
      </c>
      <c r="AK63" s="62">
        <v>10.1</v>
      </c>
      <c r="AL63" s="62">
        <v>0</v>
      </c>
      <c r="AM63" s="62">
        <v>0</v>
      </c>
      <c r="AN63" s="65">
        <v>11.34</v>
      </c>
      <c r="AO63" s="61">
        <v>37</v>
      </c>
      <c r="AP63" s="62">
        <v>10.1</v>
      </c>
      <c r="AQ63" s="62">
        <v>130</v>
      </c>
      <c r="AR63" s="62">
        <v>0</v>
      </c>
      <c r="AS63" s="62">
        <v>10.38</v>
      </c>
      <c r="AT63" s="64">
        <v>32</v>
      </c>
      <c r="AU63" s="65">
        <v>90</v>
      </c>
      <c r="AV63" s="64">
        <v>93.5546875</v>
      </c>
      <c r="AW63" s="65">
        <v>283.02806743690746</v>
      </c>
      <c r="AX63" s="8"/>
      <c r="AZ63" s="1">
        <v>90</v>
      </c>
      <c r="BB63" s="82">
        <f t="shared" si="1"/>
        <v>37.048439999999999</v>
      </c>
    </row>
    <row r="64" spans="3:54" ht="15" customHeight="1" x14ac:dyDescent="0.25">
      <c r="C64" s="42">
        <f>C52+1</f>
        <v>5</v>
      </c>
      <c r="D64" s="66">
        <f>DATE([3]Dash!$F$3,VLOOKUP([3]Dash!$E$3,[3]Abb!$C$3:$D$14,2,FALSE),C64)</f>
        <v>45721</v>
      </c>
      <c r="E64" s="67">
        <f>E63+2/24</f>
        <v>4.2500000000000018</v>
      </c>
      <c r="F64" s="68">
        <f t="shared" si="3"/>
        <v>45721.250000000116</v>
      </c>
      <c r="G64" s="46">
        <v>42</v>
      </c>
      <c r="H64" s="47">
        <v>41</v>
      </c>
      <c r="I64" s="48">
        <v>9.5</v>
      </c>
      <c r="J64" s="48">
        <v>200</v>
      </c>
      <c r="K64" s="49">
        <v>0</v>
      </c>
      <c r="L64" s="50">
        <v>40</v>
      </c>
      <c r="M64" s="48">
        <v>9.5</v>
      </c>
      <c r="N64" s="48">
        <v>200</v>
      </c>
      <c r="O64" s="51">
        <v>0</v>
      </c>
      <c r="P64" s="47">
        <v>40</v>
      </c>
      <c r="Q64" s="48">
        <v>9.5</v>
      </c>
      <c r="R64" s="49">
        <v>0</v>
      </c>
      <c r="S64" s="49">
        <v>0</v>
      </c>
      <c r="T64" s="51">
        <v>16.34</v>
      </c>
      <c r="U64" s="50">
        <v>40</v>
      </c>
      <c r="V64" s="48">
        <v>9.5</v>
      </c>
      <c r="W64" s="49">
        <v>0</v>
      </c>
      <c r="X64" s="49">
        <v>0</v>
      </c>
      <c r="Y64" s="51">
        <v>15.19</v>
      </c>
      <c r="Z64" s="47">
        <v>39</v>
      </c>
      <c r="AA64" s="48">
        <v>10.1</v>
      </c>
      <c r="AB64" s="49">
        <v>0</v>
      </c>
      <c r="AC64" s="49">
        <v>0</v>
      </c>
      <c r="AD64" s="51">
        <v>15.19</v>
      </c>
      <c r="AE64" s="50">
        <v>39</v>
      </c>
      <c r="AF64" s="48">
        <v>10.1</v>
      </c>
      <c r="AG64" s="49">
        <v>0</v>
      </c>
      <c r="AH64" s="49">
        <v>0</v>
      </c>
      <c r="AI64" s="51">
        <v>15</v>
      </c>
      <c r="AJ64" s="50">
        <v>38</v>
      </c>
      <c r="AK64" s="48">
        <v>10.1</v>
      </c>
      <c r="AL64" s="48">
        <v>0</v>
      </c>
      <c r="AM64" s="48">
        <v>0</v>
      </c>
      <c r="AN64" s="51">
        <v>11.53</v>
      </c>
      <c r="AO64" s="47">
        <v>38</v>
      </c>
      <c r="AP64" s="48">
        <v>10.1</v>
      </c>
      <c r="AQ64" s="48">
        <v>140</v>
      </c>
      <c r="AR64" s="48">
        <v>0</v>
      </c>
      <c r="AS64" s="48">
        <v>10.38</v>
      </c>
      <c r="AT64" s="50">
        <v>34</v>
      </c>
      <c r="AU64" s="51">
        <v>100</v>
      </c>
      <c r="AV64" s="50">
        <v>94.698074340820298</v>
      </c>
      <c r="AW64" s="51">
        <v>282.47106489785949</v>
      </c>
      <c r="AX64" s="8"/>
      <c r="AZ64" s="1">
        <v>90</v>
      </c>
      <c r="BB64" s="82">
        <f t="shared" si="1"/>
        <v>36.964460000000003</v>
      </c>
    </row>
    <row r="65" spans="3:54" ht="15" customHeight="1" x14ac:dyDescent="0.25">
      <c r="C65" s="42"/>
      <c r="D65" s="43">
        <f>D64</f>
        <v>45721</v>
      </c>
      <c r="E65" s="44">
        <f>E64+2/24</f>
        <v>4.3333333333333348</v>
      </c>
      <c r="F65" s="45">
        <f t="shared" si="3"/>
        <v>45721.333333333452</v>
      </c>
      <c r="G65" s="52">
        <v>41</v>
      </c>
      <c r="H65" s="53">
        <v>41</v>
      </c>
      <c r="I65" s="54">
        <v>9.3000000000000007</v>
      </c>
      <c r="J65" s="54">
        <v>100</v>
      </c>
      <c r="K65" s="55">
        <v>0</v>
      </c>
      <c r="L65" s="56">
        <v>41</v>
      </c>
      <c r="M65" s="54">
        <v>9.1999999999999993</v>
      </c>
      <c r="N65" s="54">
        <v>200</v>
      </c>
      <c r="O65" s="57">
        <v>0</v>
      </c>
      <c r="P65" s="53">
        <v>40</v>
      </c>
      <c r="Q65" s="54">
        <v>9.1999999999999993</v>
      </c>
      <c r="R65" s="55">
        <v>0</v>
      </c>
      <c r="S65" s="55">
        <v>0</v>
      </c>
      <c r="T65" s="57">
        <v>15.96</v>
      </c>
      <c r="U65" s="56">
        <v>40</v>
      </c>
      <c r="V65" s="54">
        <v>9.5</v>
      </c>
      <c r="W65" s="55">
        <v>0</v>
      </c>
      <c r="X65" s="55">
        <v>0</v>
      </c>
      <c r="Y65" s="57">
        <v>16.36</v>
      </c>
      <c r="Z65" s="53">
        <v>40</v>
      </c>
      <c r="AA65" s="54">
        <v>9.6</v>
      </c>
      <c r="AB65" s="55">
        <v>0</v>
      </c>
      <c r="AC65" s="55">
        <v>0</v>
      </c>
      <c r="AD65" s="57">
        <v>16.73</v>
      </c>
      <c r="AE65" s="56">
        <v>41</v>
      </c>
      <c r="AF65" s="54">
        <v>9.9</v>
      </c>
      <c r="AG65" s="55">
        <v>0</v>
      </c>
      <c r="AH65" s="55">
        <v>0</v>
      </c>
      <c r="AI65" s="57">
        <v>15.38</v>
      </c>
      <c r="AJ65" s="56">
        <v>39</v>
      </c>
      <c r="AK65" s="54">
        <v>9.9</v>
      </c>
      <c r="AL65" s="54">
        <v>0</v>
      </c>
      <c r="AM65" s="54">
        <v>0</v>
      </c>
      <c r="AN65" s="57">
        <v>15.38</v>
      </c>
      <c r="AO65" s="53">
        <v>37</v>
      </c>
      <c r="AP65" s="54">
        <v>9.9</v>
      </c>
      <c r="AQ65" s="54">
        <v>130</v>
      </c>
      <c r="AR65" s="54">
        <v>0</v>
      </c>
      <c r="AS65" s="54">
        <v>11.92</v>
      </c>
      <c r="AT65" s="56">
        <v>34</v>
      </c>
      <c r="AU65" s="57">
        <v>110</v>
      </c>
      <c r="AV65" s="56">
        <v>94.76318359375</v>
      </c>
      <c r="AW65" s="57">
        <v>282.54135298679273</v>
      </c>
      <c r="AX65" s="8"/>
      <c r="AZ65" s="1">
        <v>90</v>
      </c>
      <c r="BB65" s="82">
        <f t="shared" si="1"/>
        <v>40.544659999999993</v>
      </c>
    </row>
    <row r="66" spans="3:54" ht="15" customHeight="1" x14ac:dyDescent="0.25">
      <c r="C66" s="42"/>
      <c r="D66" s="43">
        <f>D64</f>
        <v>45721</v>
      </c>
      <c r="E66" s="44">
        <f t="shared" ref="E66:E75" si="7">E65+2/24</f>
        <v>4.4166666666666679</v>
      </c>
      <c r="F66" s="45">
        <f t="shared" si="3"/>
        <v>45721.416666666788</v>
      </c>
      <c r="G66" s="52">
        <v>42</v>
      </c>
      <c r="H66" s="53">
        <v>41</v>
      </c>
      <c r="I66" s="54">
        <v>9.5</v>
      </c>
      <c r="J66" s="54">
        <v>150</v>
      </c>
      <c r="K66" s="55">
        <v>0</v>
      </c>
      <c r="L66" s="56">
        <v>40</v>
      </c>
      <c r="M66" s="54">
        <v>9.4</v>
      </c>
      <c r="N66" s="54">
        <v>150</v>
      </c>
      <c r="O66" s="57">
        <v>0</v>
      </c>
      <c r="P66" s="53">
        <v>40</v>
      </c>
      <c r="Q66" s="54">
        <v>9.8000000000000007</v>
      </c>
      <c r="R66" s="55">
        <v>0</v>
      </c>
      <c r="S66" s="55">
        <v>0</v>
      </c>
      <c r="T66" s="57">
        <v>16.149999999999999</v>
      </c>
      <c r="U66" s="56">
        <v>39</v>
      </c>
      <c r="V66" s="54">
        <v>9.6</v>
      </c>
      <c r="W66" s="55">
        <v>0</v>
      </c>
      <c r="X66" s="55">
        <v>0</v>
      </c>
      <c r="Y66" s="57">
        <v>15.96</v>
      </c>
      <c r="Z66" s="53">
        <v>40</v>
      </c>
      <c r="AA66" s="54">
        <v>10</v>
      </c>
      <c r="AB66" s="55">
        <v>0</v>
      </c>
      <c r="AC66" s="55">
        <v>0</v>
      </c>
      <c r="AD66" s="57">
        <v>16.53</v>
      </c>
      <c r="AE66" s="56">
        <v>40</v>
      </c>
      <c r="AF66" s="54">
        <v>10.1</v>
      </c>
      <c r="AG66" s="55">
        <v>0</v>
      </c>
      <c r="AH66" s="55">
        <v>0</v>
      </c>
      <c r="AI66" s="57">
        <v>15.19</v>
      </c>
      <c r="AJ66" s="56">
        <v>39</v>
      </c>
      <c r="AK66" s="54">
        <v>10.1</v>
      </c>
      <c r="AL66" s="54">
        <v>0</v>
      </c>
      <c r="AM66" s="54">
        <v>0</v>
      </c>
      <c r="AN66" s="57">
        <v>15.19</v>
      </c>
      <c r="AO66" s="53">
        <v>38</v>
      </c>
      <c r="AP66" s="54">
        <v>10.1</v>
      </c>
      <c r="AQ66" s="54">
        <v>130</v>
      </c>
      <c r="AR66" s="54">
        <v>0</v>
      </c>
      <c r="AS66" s="54">
        <v>11.73</v>
      </c>
      <c r="AT66" s="56">
        <v>34</v>
      </c>
      <c r="AU66" s="57">
        <v>100</v>
      </c>
      <c r="AV66" s="56">
        <v>94.392898559570298</v>
      </c>
      <c r="AW66" s="57">
        <v>280.8216390567211</v>
      </c>
      <c r="AX66" s="8"/>
      <c r="AZ66" s="1">
        <v>90</v>
      </c>
      <c r="BB66" s="82">
        <f t="shared" si="1"/>
        <v>40.111499999999999</v>
      </c>
    </row>
    <row r="67" spans="3:54" ht="15" customHeight="1" x14ac:dyDescent="0.25">
      <c r="C67" s="42"/>
      <c r="D67" s="43">
        <f>D64</f>
        <v>45721</v>
      </c>
      <c r="E67" s="44">
        <f t="shared" si="7"/>
        <v>4.5000000000000009</v>
      </c>
      <c r="F67" s="45">
        <f t="shared" si="3"/>
        <v>45721.500000000124</v>
      </c>
      <c r="G67" s="52">
        <v>41</v>
      </c>
      <c r="H67" s="53">
        <v>41</v>
      </c>
      <c r="I67" s="54">
        <v>9.5</v>
      </c>
      <c r="J67" s="54">
        <v>200</v>
      </c>
      <c r="K67" s="55">
        <v>0</v>
      </c>
      <c r="L67" s="56">
        <v>41</v>
      </c>
      <c r="M67" s="54">
        <v>9.3000000000000007</v>
      </c>
      <c r="N67" s="54">
        <v>150</v>
      </c>
      <c r="O67" s="57">
        <v>0</v>
      </c>
      <c r="P67" s="53">
        <v>39</v>
      </c>
      <c r="Q67" s="54">
        <v>9.3000000000000007</v>
      </c>
      <c r="R67" s="55">
        <v>0</v>
      </c>
      <c r="S67" s="55">
        <v>0</v>
      </c>
      <c r="T67" s="57">
        <v>16.34</v>
      </c>
      <c r="U67" s="56">
        <v>40</v>
      </c>
      <c r="V67" s="54">
        <v>9.3000000000000007</v>
      </c>
      <c r="W67" s="55">
        <v>0</v>
      </c>
      <c r="X67" s="55">
        <v>0</v>
      </c>
      <c r="Y67" s="57">
        <v>16015</v>
      </c>
      <c r="Z67" s="53">
        <v>41</v>
      </c>
      <c r="AA67" s="54">
        <v>9.6</v>
      </c>
      <c r="AB67" s="55">
        <v>0</v>
      </c>
      <c r="AC67" s="55">
        <v>0</v>
      </c>
      <c r="AD67" s="57">
        <v>16.34</v>
      </c>
      <c r="AE67" s="56">
        <v>40</v>
      </c>
      <c r="AF67" s="54">
        <v>9.6999999999999993</v>
      </c>
      <c r="AG67" s="55">
        <v>0</v>
      </c>
      <c r="AH67" s="55">
        <v>0</v>
      </c>
      <c r="AI67" s="57">
        <v>15.57</v>
      </c>
      <c r="AJ67" s="56">
        <v>38</v>
      </c>
      <c r="AK67" s="54">
        <v>9.6999999999999993</v>
      </c>
      <c r="AL67" s="54">
        <v>0</v>
      </c>
      <c r="AM67" s="54">
        <v>0</v>
      </c>
      <c r="AN67" s="57">
        <v>15.57</v>
      </c>
      <c r="AO67" s="53">
        <v>39</v>
      </c>
      <c r="AP67" s="54">
        <v>9.9</v>
      </c>
      <c r="AQ67" s="54">
        <v>120</v>
      </c>
      <c r="AR67" s="54">
        <v>0</v>
      </c>
      <c r="AS67" s="54">
        <v>12.11</v>
      </c>
      <c r="AT67" s="56">
        <v>34</v>
      </c>
      <c r="AU67" s="57">
        <v>100</v>
      </c>
      <c r="AV67" s="56">
        <v>94.86083984375</v>
      </c>
      <c r="AW67" s="57">
        <v>282.86385992250092</v>
      </c>
      <c r="AX67" s="8"/>
      <c r="AZ67" s="1">
        <v>90</v>
      </c>
      <c r="BB67" s="82">
        <f t="shared" si="1"/>
        <v>7112.191060000001</v>
      </c>
    </row>
    <row r="68" spans="3:54" ht="15" customHeight="1" x14ac:dyDescent="0.25">
      <c r="C68" s="42"/>
      <c r="D68" s="43">
        <f>D64</f>
        <v>45721</v>
      </c>
      <c r="E68" s="44">
        <f t="shared" si="7"/>
        <v>4.5833333333333339</v>
      </c>
      <c r="F68" s="45">
        <f t="shared" si="3"/>
        <v>45721.583333333459</v>
      </c>
      <c r="G68" s="52">
        <v>43</v>
      </c>
      <c r="H68" s="53">
        <v>42</v>
      </c>
      <c r="I68" s="54">
        <v>9.6</v>
      </c>
      <c r="J68" s="54">
        <v>200</v>
      </c>
      <c r="K68" s="55">
        <v>0</v>
      </c>
      <c r="L68" s="56">
        <v>40</v>
      </c>
      <c r="M68" s="54">
        <v>9.3000000000000007</v>
      </c>
      <c r="N68" s="54">
        <v>200</v>
      </c>
      <c r="O68" s="57">
        <v>0</v>
      </c>
      <c r="P68" s="53">
        <v>41</v>
      </c>
      <c r="Q68" s="54">
        <v>9.3000000000000007</v>
      </c>
      <c r="R68" s="55">
        <v>0</v>
      </c>
      <c r="S68" s="55">
        <v>0</v>
      </c>
      <c r="T68" s="57">
        <v>16.149999999999999</v>
      </c>
      <c r="U68" s="56">
        <v>39</v>
      </c>
      <c r="V68" s="54">
        <v>9.3000000000000007</v>
      </c>
      <c r="W68" s="55">
        <v>0</v>
      </c>
      <c r="X68" s="55">
        <v>0</v>
      </c>
      <c r="Y68" s="57">
        <v>15.96</v>
      </c>
      <c r="Z68" s="53">
        <v>40</v>
      </c>
      <c r="AA68" s="54">
        <v>9.5</v>
      </c>
      <c r="AB68" s="55">
        <v>0</v>
      </c>
      <c r="AC68" s="55">
        <v>0</v>
      </c>
      <c r="AD68" s="57">
        <v>16.149999999999999</v>
      </c>
      <c r="AE68" s="56">
        <v>39</v>
      </c>
      <c r="AF68" s="54">
        <v>9.5</v>
      </c>
      <c r="AG68" s="55">
        <v>0</v>
      </c>
      <c r="AH68" s="55">
        <v>0</v>
      </c>
      <c r="AI68" s="57">
        <v>15.38</v>
      </c>
      <c r="AJ68" s="56">
        <v>38</v>
      </c>
      <c r="AK68" s="54">
        <v>9.5</v>
      </c>
      <c r="AL68" s="54">
        <v>0</v>
      </c>
      <c r="AM68" s="54">
        <v>0</v>
      </c>
      <c r="AN68" s="57">
        <v>15.38</v>
      </c>
      <c r="AO68" s="53">
        <v>39</v>
      </c>
      <c r="AP68" s="54">
        <v>9.9</v>
      </c>
      <c r="AQ68" s="54">
        <v>120</v>
      </c>
      <c r="AR68" s="54">
        <v>0</v>
      </c>
      <c r="AS68" s="54">
        <v>11.73</v>
      </c>
      <c r="AT68" s="56">
        <v>35</v>
      </c>
      <c r="AU68" s="57">
        <v>90</v>
      </c>
      <c r="AV68" s="56">
        <v>94.344070434570298</v>
      </c>
      <c r="AW68" s="57">
        <v>281.88380036121237</v>
      </c>
      <c r="AX68" s="8"/>
      <c r="AZ68" s="1">
        <v>90</v>
      </c>
      <c r="BB68" s="82">
        <f t="shared" si="1"/>
        <v>40.111499999999999</v>
      </c>
    </row>
    <row r="69" spans="3:54" ht="15" customHeight="1" x14ac:dyDescent="0.25">
      <c r="C69" s="42"/>
      <c r="D69" s="43">
        <f>D64</f>
        <v>45721</v>
      </c>
      <c r="E69" s="44">
        <f t="shared" si="7"/>
        <v>4.666666666666667</v>
      </c>
      <c r="F69" s="45">
        <f t="shared" si="3"/>
        <v>45721.666666666795</v>
      </c>
      <c r="G69" s="52">
        <v>41</v>
      </c>
      <c r="H69" s="53">
        <v>42</v>
      </c>
      <c r="I69" s="54">
        <v>9.4</v>
      </c>
      <c r="J69" s="54">
        <v>200</v>
      </c>
      <c r="K69" s="55">
        <v>0</v>
      </c>
      <c r="L69" s="56">
        <v>40</v>
      </c>
      <c r="M69" s="54">
        <v>9.3000000000000007</v>
      </c>
      <c r="N69" s="54">
        <v>200</v>
      </c>
      <c r="O69" s="57">
        <v>0</v>
      </c>
      <c r="P69" s="53">
        <v>40</v>
      </c>
      <c r="Q69" s="54">
        <v>9.1999999999999993</v>
      </c>
      <c r="R69" s="55">
        <v>0</v>
      </c>
      <c r="S69" s="55">
        <v>0</v>
      </c>
      <c r="T69" s="57">
        <v>16.34</v>
      </c>
      <c r="U69" s="56">
        <v>39</v>
      </c>
      <c r="V69" s="54">
        <v>9.4</v>
      </c>
      <c r="W69" s="55">
        <v>0</v>
      </c>
      <c r="X69" s="55">
        <v>0</v>
      </c>
      <c r="Y69" s="57">
        <v>16.34</v>
      </c>
      <c r="Z69" s="53">
        <v>39</v>
      </c>
      <c r="AA69" s="54">
        <v>9.1999999999999993</v>
      </c>
      <c r="AB69" s="55">
        <v>0</v>
      </c>
      <c r="AC69" s="55">
        <v>0</v>
      </c>
      <c r="AD69" s="57">
        <v>15.34</v>
      </c>
      <c r="AE69" s="56">
        <v>40</v>
      </c>
      <c r="AF69" s="54">
        <v>9.4</v>
      </c>
      <c r="AG69" s="55">
        <v>0</v>
      </c>
      <c r="AH69" s="55">
        <v>0</v>
      </c>
      <c r="AI69" s="57">
        <v>14.42</v>
      </c>
      <c r="AJ69" s="56">
        <v>40</v>
      </c>
      <c r="AK69" s="54">
        <v>9.4</v>
      </c>
      <c r="AL69" s="54">
        <v>0</v>
      </c>
      <c r="AM69" s="54">
        <v>0</v>
      </c>
      <c r="AN69" s="57">
        <v>14.42</v>
      </c>
      <c r="AO69" s="53">
        <v>40</v>
      </c>
      <c r="AP69" s="54">
        <v>9.6</v>
      </c>
      <c r="AQ69" s="54">
        <v>120</v>
      </c>
      <c r="AR69" s="54">
        <v>0</v>
      </c>
      <c r="AS69" s="54">
        <v>12.5</v>
      </c>
      <c r="AT69" s="56">
        <v>35</v>
      </c>
      <c r="AU69" s="57">
        <v>90</v>
      </c>
      <c r="AV69" s="56">
        <v>94.3603515625</v>
      </c>
      <c r="AW69" s="57">
        <v>284.68436507061125</v>
      </c>
      <c r="AX69" s="8"/>
      <c r="AZ69" s="1">
        <v>90</v>
      </c>
      <c r="BB69" s="82">
        <f t="shared" si="1"/>
        <v>39.497120000000002</v>
      </c>
    </row>
    <row r="70" spans="3:54" ht="15" customHeight="1" x14ac:dyDescent="0.25">
      <c r="C70" s="42"/>
      <c r="D70" s="43">
        <f>D64</f>
        <v>45721</v>
      </c>
      <c r="E70" s="44">
        <f t="shared" si="7"/>
        <v>4.75</v>
      </c>
      <c r="F70" s="45">
        <f t="shared" si="3"/>
        <v>45721.750000000131</v>
      </c>
      <c r="G70" s="52">
        <v>40</v>
      </c>
      <c r="H70" s="53">
        <v>41</v>
      </c>
      <c r="I70" s="54">
        <v>9.5</v>
      </c>
      <c r="J70" s="54">
        <v>200</v>
      </c>
      <c r="K70" s="55">
        <v>0</v>
      </c>
      <c r="L70" s="56">
        <v>41</v>
      </c>
      <c r="M70" s="54">
        <v>9.4</v>
      </c>
      <c r="N70" s="54">
        <v>200</v>
      </c>
      <c r="O70" s="57">
        <v>0</v>
      </c>
      <c r="P70" s="53">
        <v>40</v>
      </c>
      <c r="Q70" s="54">
        <v>9.3000000000000007</v>
      </c>
      <c r="R70" s="55">
        <v>0</v>
      </c>
      <c r="S70" s="55">
        <v>0</v>
      </c>
      <c r="T70" s="57">
        <v>16.34</v>
      </c>
      <c r="U70" s="56">
        <v>39</v>
      </c>
      <c r="V70" s="54">
        <v>9.4</v>
      </c>
      <c r="W70" s="55">
        <v>0</v>
      </c>
      <c r="X70" s="55">
        <v>0</v>
      </c>
      <c r="Y70" s="57">
        <v>16.34</v>
      </c>
      <c r="Z70" s="53">
        <v>40</v>
      </c>
      <c r="AA70" s="54">
        <v>9.3000000000000007</v>
      </c>
      <c r="AB70" s="55">
        <v>0</v>
      </c>
      <c r="AC70" s="55">
        <v>0</v>
      </c>
      <c r="AD70" s="57">
        <v>16.149999999999999</v>
      </c>
      <c r="AE70" s="56">
        <v>40</v>
      </c>
      <c r="AF70" s="54">
        <v>9.4</v>
      </c>
      <c r="AG70" s="55">
        <v>0</v>
      </c>
      <c r="AH70" s="55">
        <v>0</v>
      </c>
      <c r="AI70" s="57">
        <v>15.19</v>
      </c>
      <c r="AJ70" s="56">
        <v>39</v>
      </c>
      <c r="AK70" s="54">
        <v>9.4</v>
      </c>
      <c r="AL70" s="54">
        <v>0</v>
      </c>
      <c r="AM70" s="54">
        <v>0</v>
      </c>
      <c r="AN70" s="57">
        <v>12.5</v>
      </c>
      <c r="AO70" s="53">
        <v>39</v>
      </c>
      <c r="AP70" s="54">
        <v>9.6</v>
      </c>
      <c r="AQ70" s="54">
        <v>130</v>
      </c>
      <c r="AR70" s="54">
        <v>0</v>
      </c>
      <c r="AS70" s="54">
        <v>12.5</v>
      </c>
      <c r="AT70" s="56">
        <v>34</v>
      </c>
      <c r="AU70" s="57">
        <v>100</v>
      </c>
      <c r="AV70" s="56">
        <v>94.7998046875</v>
      </c>
      <c r="AW70" s="57">
        <v>285.43378650148708</v>
      </c>
      <c r="AX70" s="8"/>
      <c r="AZ70" s="1">
        <v>90</v>
      </c>
      <c r="BB70" s="82">
        <f t="shared" si="1"/>
        <v>39.346839999999993</v>
      </c>
    </row>
    <row r="71" spans="3:54" ht="15" customHeight="1" x14ac:dyDescent="0.25">
      <c r="C71" s="42"/>
      <c r="D71" s="43">
        <f>D64</f>
        <v>45721</v>
      </c>
      <c r="E71" s="44">
        <f t="shared" si="7"/>
        <v>4.833333333333333</v>
      </c>
      <c r="F71" s="45">
        <f t="shared" si="3"/>
        <v>45721.833333333467</v>
      </c>
      <c r="G71" s="52">
        <v>39</v>
      </c>
      <c r="H71" s="53">
        <v>39</v>
      </c>
      <c r="I71" s="54">
        <v>9.3000000000000007</v>
      </c>
      <c r="J71" s="54">
        <v>300</v>
      </c>
      <c r="K71" s="55">
        <v>0</v>
      </c>
      <c r="L71" s="56">
        <v>40</v>
      </c>
      <c r="M71" s="54">
        <v>9.1999999999999993</v>
      </c>
      <c r="N71" s="54">
        <v>250</v>
      </c>
      <c r="O71" s="57">
        <v>0</v>
      </c>
      <c r="P71" s="53">
        <v>39</v>
      </c>
      <c r="Q71" s="54">
        <v>9.1999999999999993</v>
      </c>
      <c r="R71" s="55">
        <v>0</v>
      </c>
      <c r="S71" s="55">
        <v>0</v>
      </c>
      <c r="T71" s="57">
        <v>15.76</v>
      </c>
      <c r="U71" s="56">
        <v>38</v>
      </c>
      <c r="V71" s="54">
        <v>9.1999999999999993</v>
      </c>
      <c r="W71" s="55">
        <v>0</v>
      </c>
      <c r="X71" s="55">
        <v>0</v>
      </c>
      <c r="Y71" s="57">
        <v>15.38</v>
      </c>
      <c r="Z71" s="53">
        <v>38</v>
      </c>
      <c r="AA71" s="54">
        <v>9.1999999999999993</v>
      </c>
      <c r="AB71" s="55">
        <v>0</v>
      </c>
      <c r="AC71" s="55">
        <v>0</v>
      </c>
      <c r="AD71" s="57">
        <v>16.34</v>
      </c>
      <c r="AE71" s="56">
        <v>39</v>
      </c>
      <c r="AF71" s="54">
        <v>9.1999999999999993</v>
      </c>
      <c r="AG71" s="55">
        <v>0</v>
      </c>
      <c r="AH71" s="55">
        <v>0</v>
      </c>
      <c r="AI71" s="57">
        <v>14.42</v>
      </c>
      <c r="AJ71" s="56">
        <v>39</v>
      </c>
      <c r="AK71" s="54">
        <v>9.4</v>
      </c>
      <c r="AL71" s="54">
        <v>0</v>
      </c>
      <c r="AM71" s="54">
        <v>0</v>
      </c>
      <c r="AN71" s="57">
        <v>12.5</v>
      </c>
      <c r="AO71" s="53">
        <v>37</v>
      </c>
      <c r="AP71" s="54">
        <v>9.5</v>
      </c>
      <c r="AQ71" s="54">
        <v>120</v>
      </c>
      <c r="AR71" s="54">
        <v>0</v>
      </c>
      <c r="AS71" s="54">
        <v>10.57</v>
      </c>
      <c r="AT71" s="56">
        <v>33</v>
      </c>
      <c r="AU71" s="57">
        <v>100</v>
      </c>
      <c r="AV71" s="56">
        <v>94.6533203125</v>
      </c>
      <c r="AW71" s="57">
        <v>286.62700104480615</v>
      </c>
      <c r="AX71" s="8"/>
      <c r="AZ71" s="1">
        <v>90</v>
      </c>
      <c r="BB71" s="82">
        <f t="shared" si="1"/>
        <v>37.556740000000005</v>
      </c>
    </row>
    <row r="72" spans="3:54" ht="15" customHeight="1" x14ac:dyDescent="0.25">
      <c r="C72" s="42"/>
      <c r="D72" s="43">
        <f>D64</f>
        <v>45721</v>
      </c>
      <c r="E72" s="44">
        <f t="shared" si="7"/>
        <v>4.9166666666666661</v>
      </c>
      <c r="F72" s="45">
        <f t="shared" si="3"/>
        <v>45721.916666666802</v>
      </c>
      <c r="G72" s="52">
        <v>40</v>
      </c>
      <c r="H72" s="53">
        <v>40</v>
      </c>
      <c r="I72" s="54">
        <v>9.5</v>
      </c>
      <c r="J72" s="54">
        <v>300</v>
      </c>
      <c r="K72" s="55">
        <v>0</v>
      </c>
      <c r="L72" s="56">
        <v>40</v>
      </c>
      <c r="M72" s="54">
        <v>9.5</v>
      </c>
      <c r="N72" s="54">
        <v>250</v>
      </c>
      <c r="O72" s="57">
        <v>0</v>
      </c>
      <c r="P72" s="53">
        <v>39</v>
      </c>
      <c r="Q72" s="54">
        <v>9.3000000000000007</v>
      </c>
      <c r="R72" s="55">
        <v>0</v>
      </c>
      <c r="S72" s="55">
        <v>0</v>
      </c>
      <c r="T72" s="57">
        <v>15.96</v>
      </c>
      <c r="U72" s="56">
        <v>38</v>
      </c>
      <c r="V72" s="54">
        <v>9.3000000000000007</v>
      </c>
      <c r="W72" s="55">
        <v>0</v>
      </c>
      <c r="X72" s="55">
        <v>0</v>
      </c>
      <c r="Y72" s="57">
        <v>15</v>
      </c>
      <c r="Z72" s="53">
        <v>38</v>
      </c>
      <c r="AA72" s="54">
        <v>9.3000000000000007</v>
      </c>
      <c r="AB72" s="55">
        <v>0</v>
      </c>
      <c r="AC72" s="55">
        <v>0</v>
      </c>
      <c r="AD72" s="57">
        <v>15.76</v>
      </c>
      <c r="AE72" s="56">
        <v>38</v>
      </c>
      <c r="AF72" s="54">
        <v>9.1999999999999993</v>
      </c>
      <c r="AG72" s="55">
        <v>0</v>
      </c>
      <c r="AH72" s="55">
        <v>0</v>
      </c>
      <c r="AI72" s="57">
        <v>14.8</v>
      </c>
      <c r="AJ72" s="56">
        <v>38</v>
      </c>
      <c r="AK72" s="54">
        <v>9.4</v>
      </c>
      <c r="AL72" s="54">
        <v>0</v>
      </c>
      <c r="AM72" s="54">
        <v>0</v>
      </c>
      <c r="AN72" s="57">
        <v>12.88</v>
      </c>
      <c r="AO72" s="53">
        <v>37</v>
      </c>
      <c r="AP72" s="54">
        <v>9.5</v>
      </c>
      <c r="AQ72" s="54">
        <v>120</v>
      </c>
      <c r="AR72" s="54">
        <v>0</v>
      </c>
      <c r="AS72" s="54">
        <v>10.57</v>
      </c>
      <c r="AT72" s="56">
        <v>30</v>
      </c>
      <c r="AU72" s="57">
        <v>110</v>
      </c>
      <c r="AV72" s="56">
        <v>94.576004028320298</v>
      </c>
      <c r="AW72" s="57">
        <v>288.13030450021228</v>
      </c>
      <c r="AX72" s="8"/>
      <c r="AZ72" s="1">
        <v>90</v>
      </c>
      <c r="BB72" s="82">
        <f t="shared" si="1"/>
        <v>37.556739999999998</v>
      </c>
    </row>
    <row r="73" spans="3:54" ht="15" customHeight="1" x14ac:dyDescent="0.25">
      <c r="C73" s="42"/>
      <c r="D73" s="43">
        <f>D64</f>
        <v>45721</v>
      </c>
      <c r="E73" s="44">
        <f t="shared" si="7"/>
        <v>4.9999999999999991</v>
      </c>
      <c r="F73" s="45">
        <f t="shared" si="3"/>
        <v>45722.000000000138</v>
      </c>
      <c r="G73" s="52">
        <v>41</v>
      </c>
      <c r="H73" s="53">
        <v>40</v>
      </c>
      <c r="I73" s="54">
        <v>10.5</v>
      </c>
      <c r="J73" s="54">
        <v>300</v>
      </c>
      <c r="K73" s="55">
        <v>0</v>
      </c>
      <c r="L73" s="56">
        <v>41</v>
      </c>
      <c r="M73" s="54">
        <v>9.4</v>
      </c>
      <c r="N73" s="54">
        <v>250</v>
      </c>
      <c r="O73" s="57">
        <v>0</v>
      </c>
      <c r="P73" s="53">
        <v>40</v>
      </c>
      <c r="Q73" s="54">
        <v>9.5</v>
      </c>
      <c r="R73" s="55">
        <v>0</v>
      </c>
      <c r="S73" s="55">
        <v>0</v>
      </c>
      <c r="T73" s="57">
        <v>16.34</v>
      </c>
      <c r="U73" s="56">
        <v>39</v>
      </c>
      <c r="V73" s="54">
        <v>9.3000000000000007</v>
      </c>
      <c r="W73" s="55">
        <v>0</v>
      </c>
      <c r="X73" s="55">
        <v>0</v>
      </c>
      <c r="Y73" s="57">
        <v>14.42</v>
      </c>
      <c r="Z73" s="53">
        <v>39</v>
      </c>
      <c r="AA73" s="54">
        <v>9.1999999999999993</v>
      </c>
      <c r="AB73" s="55">
        <v>0</v>
      </c>
      <c r="AC73" s="55">
        <v>0</v>
      </c>
      <c r="AD73" s="57">
        <v>16.36</v>
      </c>
      <c r="AE73" s="56">
        <v>38</v>
      </c>
      <c r="AF73" s="54">
        <v>9.1999999999999993</v>
      </c>
      <c r="AG73" s="55">
        <v>0</v>
      </c>
      <c r="AH73" s="55">
        <v>0</v>
      </c>
      <c r="AI73" s="57">
        <v>15.7</v>
      </c>
      <c r="AJ73" s="56">
        <v>38</v>
      </c>
      <c r="AK73" s="54">
        <v>9.5</v>
      </c>
      <c r="AL73" s="54">
        <v>0</v>
      </c>
      <c r="AM73" s="54">
        <v>0</v>
      </c>
      <c r="AN73" s="57">
        <v>12.5</v>
      </c>
      <c r="AO73" s="53">
        <v>36</v>
      </c>
      <c r="AP73" s="54">
        <v>9.4</v>
      </c>
      <c r="AQ73" s="54">
        <v>110</v>
      </c>
      <c r="AR73" s="54">
        <v>0</v>
      </c>
      <c r="AS73" s="54">
        <v>10.96</v>
      </c>
      <c r="AT73" s="56">
        <v>31</v>
      </c>
      <c r="AU73" s="57">
        <v>80</v>
      </c>
      <c r="AV73" s="56">
        <v>94.742835998535199</v>
      </c>
      <c r="AW73" s="57">
        <v>288.00226661190396</v>
      </c>
      <c r="AX73" s="8"/>
      <c r="AZ73" s="1">
        <v>90</v>
      </c>
      <c r="BB73" s="82">
        <f t="shared" si="1"/>
        <v>38.135760000000005</v>
      </c>
    </row>
    <row r="74" spans="3:54" ht="15" customHeight="1" x14ac:dyDescent="0.25">
      <c r="C74" s="42"/>
      <c r="D74" s="43">
        <f>D64</f>
        <v>45721</v>
      </c>
      <c r="E74" s="44">
        <f t="shared" si="7"/>
        <v>5.0833333333333321</v>
      </c>
      <c r="F74" s="45">
        <f t="shared" si="3"/>
        <v>45722.083333333474</v>
      </c>
      <c r="G74" s="52">
        <v>40</v>
      </c>
      <c r="H74" s="53">
        <v>41</v>
      </c>
      <c r="I74" s="54">
        <v>11.2</v>
      </c>
      <c r="J74" s="54">
        <v>300</v>
      </c>
      <c r="K74" s="55">
        <v>0</v>
      </c>
      <c r="L74" s="56">
        <v>41</v>
      </c>
      <c r="M74" s="54">
        <v>9.9</v>
      </c>
      <c r="N74" s="54">
        <v>250</v>
      </c>
      <c r="O74" s="57">
        <v>0</v>
      </c>
      <c r="P74" s="53">
        <v>40</v>
      </c>
      <c r="Q74" s="54">
        <v>9.5</v>
      </c>
      <c r="R74" s="55">
        <v>0</v>
      </c>
      <c r="S74" s="55">
        <v>0</v>
      </c>
      <c r="T74" s="57">
        <v>15.96</v>
      </c>
      <c r="U74" s="56">
        <v>39</v>
      </c>
      <c r="V74" s="54">
        <v>9.5</v>
      </c>
      <c r="W74" s="55">
        <v>0</v>
      </c>
      <c r="X74" s="55">
        <v>0</v>
      </c>
      <c r="Y74" s="57">
        <v>15</v>
      </c>
      <c r="Z74" s="53">
        <v>39</v>
      </c>
      <c r="AA74" s="54">
        <v>9.3000000000000007</v>
      </c>
      <c r="AB74" s="55">
        <v>0</v>
      </c>
      <c r="AC74" s="55">
        <v>0</v>
      </c>
      <c r="AD74" s="57">
        <v>15.76</v>
      </c>
      <c r="AE74" s="56">
        <v>38</v>
      </c>
      <c r="AF74" s="54">
        <v>9.3000000000000007</v>
      </c>
      <c r="AG74" s="55">
        <v>0</v>
      </c>
      <c r="AH74" s="55">
        <v>0</v>
      </c>
      <c r="AI74" s="57">
        <v>15.76</v>
      </c>
      <c r="AJ74" s="56">
        <v>39</v>
      </c>
      <c r="AK74" s="54">
        <v>9.5</v>
      </c>
      <c r="AL74" s="54">
        <v>0</v>
      </c>
      <c r="AM74" s="54">
        <v>0</v>
      </c>
      <c r="AN74" s="57">
        <v>12.88</v>
      </c>
      <c r="AO74" s="53">
        <v>39</v>
      </c>
      <c r="AP74" s="54">
        <v>9.3000000000000007</v>
      </c>
      <c r="AQ74" s="54">
        <v>110</v>
      </c>
      <c r="AR74" s="54">
        <v>0</v>
      </c>
      <c r="AS74" s="54">
        <v>10.19</v>
      </c>
      <c r="AT74" s="56">
        <v>32</v>
      </c>
      <c r="AU74" s="57">
        <v>90</v>
      </c>
      <c r="AV74" s="56">
        <v>94.889320373535199</v>
      </c>
      <c r="AW74" s="57">
        <v>288.00793300559747</v>
      </c>
      <c r="AX74" s="8"/>
      <c r="AZ74" s="1">
        <v>90</v>
      </c>
      <c r="BB74" s="82">
        <f t="shared" si="1"/>
        <v>37.813099999999991</v>
      </c>
    </row>
    <row r="75" spans="3:54" ht="15" customHeight="1" x14ac:dyDescent="0.25">
      <c r="C75" s="42"/>
      <c r="D75" s="69">
        <f>D64</f>
        <v>45721</v>
      </c>
      <c r="E75" s="70">
        <f t="shared" si="7"/>
        <v>5.1666666666666652</v>
      </c>
      <c r="F75" s="71">
        <f t="shared" si="3"/>
        <v>45722.16666666681</v>
      </c>
      <c r="G75" s="60">
        <v>41</v>
      </c>
      <c r="H75" s="61">
        <v>39</v>
      </c>
      <c r="I75" s="62">
        <v>10.8</v>
      </c>
      <c r="J75" s="62">
        <v>300</v>
      </c>
      <c r="K75" s="63">
        <v>0</v>
      </c>
      <c r="L75" s="64">
        <v>40</v>
      </c>
      <c r="M75" s="62">
        <v>10.1</v>
      </c>
      <c r="N75" s="62">
        <v>250</v>
      </c>
      <c r="O75" s="65">
        <v>0</v>
      </c>
      <c r="P75" s="61">
        <v>40</v>
      </c>
      <c r="Q75" s="62">
        <v>9.8000000000000007</v>
      </c>
      <c r="R75" s="63">
        <v>0</v>
      </c>
      <c r="S75" s="63">
        <v>0</v>
      </c>
      <c r="T75" s="65">
        <v>16.34</v>
      </c>
      <c r="U75" s="64">
        <v>38</v>
      </c>
      <c r="V75" s="62">
        <v>9.5</v>
      </c>
      <c r="W75" s="63">
        <v>0</v>
      </c>
      <c r="X75" s="63">
        <v>0</v>
      </c>
      <c r="Y75" s="65">
        <v>15.38</v>
      </c>
      <c r="Z75" s="61">
        <v>38</v>
      </c>
      <c r="AA75" s="62">
        <v>9.3000000000000007</v>
      </c>
      <c r="AB75" s="63">
        <v>0</v>
      </c>
      <c r="AC75" s="63">
        <v>0</v>
      </c>
      <c r="AD75" s="65">
        <v>16.34</v>
      </c>
      <c r="AE75" s="64">
        <v>38</v>
      </c>
      <c r="AF75" s="62">
        <v>9.1999999999999993</v>
      </c>
      <c r="AG75" s="63">
        <v>0</v>
      </c>
      <c r="AH75" s="63">
        <v>0</v>
      </c>
      <c r="AI75" s="65">
        <v>15.38</v>
      </c>
      <c r="AJ75" s="64">
        <v>38</v>
      </c>
      <c r="AK75" s="62">
        <v>9.5</v>
      </c>
      <c r="AL75" s="62">
        <v>0</v>
      </c>
      <c r="AM75" s="62">
        <v>0</v>
      </c>
      <c r="AN75" s="65">
        <v>12.5</v>
      </c>
      <c r="AO75" s="61">
        <v>38</v>
      </c>
      <c r="AP75" s="62">
        <v>9.3000000000000007</v>
      </c>
      <c r="AQ75" s="62">
        <v>110</v>
      </c>
      <c r="AR75" s="62">
        <v>0</v>
      </c>
      <c r="AS75" s="62">
        <v>10.57</v>
      </c>
      <c r="AT75" s="64">
        <v>32</v>
      </c>
      <c r="AU75" s="65">
        <v>90</v>
      </c>
      <c r="AV75" s="64">
        <v>93.790687561035199</v>
      </c>
      <c r="AW75" s="65">
        <v>288.11704312671594</v>
      </c>
      <c r="AX75" s="8"/>
      <c r="AZ75" s="1">
        <v>90</v>
      </c>
      <c r="BB75" s="82">
        <f t="shared" si="1"/>
        <v>38.23742</v>
      </c>
    </row>
    <row r="76" spans="3:54" ht="15" customHeight="1" x14ac:dyDescent="0.25">
      <c r="C76" s="42">
        <f>C64+1</f>
        <v>6</v>
      </c>
      <c r="D76" s="66">
        <f>DATE([3]Dash!$F$3,VLOOKUP([3]Dash!$E$3,[3]Abb!$C$3:$D$14,2,FALSE),C76)</f>
        <v>45722</v>
      </c>
      <c r="E76" s="67">
        <f>E75+2/24</f>
        <v>5.2499999999999982</v>
      </c>
      <c r="F76" s="68">
        <f t="shared" si="3"/>
        <v>45722.250000000146</v>
      </c>
      <c r="G76" s="46">
        <v>40</v>
      </c>
      <c r="H76" s="47">
        <v>40</v>
      </c>
      <c r="I76" s="48">
        <v>10</v>
      </c>
      <c r="J76" s="48">
        <v>250</v>
      </c>
      <c r="K76" s="49">
        <v>0</v>
      </c>
      <c r="L76" s="50">
        <v>40</v>
      </c>
      <c r="M76" s="48">
        <v>10.1</v>
      </c>
      <c r="N76" s="48">
        <v>250</v>
      </c>
      <c r="O76" s="51">
        <v>0</v>
      </c>
      <c r="P76" s="47">
        <v>39</v>
      </c>
      <c r="Q76" s="48">
        <v>9.8000000000000007</v>
      </c>
      <c r="R76" s="48">
        <v>0</v>
      </c>
      <c r="S76" s="49">
        <v>0</v>
      </c>
      <c r="T76" s="51">
        <v>17.190000000000001</v>
      </c>
      <c r="U76" s="50">
        <v>37</v>
      </c>
      <c r="V76" s="48">
        <v>9.5</v>
      </c>
      <c r="W76" s="49">
        <v>0</v>
      </c>
      <c r="X76" s="49">
        <v>0</v>
      </c>
      <c r="Y76" s="51">
        <v>15.38</v>
      </c>
      <c r="Z76" s="47">
        <v>38</v>
      </c>
      <c r="AA76" s="48">
        <v>9.5</v>
      </c>
      <c r="AB76" s="49">
        <v>0</v>
      </c>
      <c r="AC76" s="49">
        <v>0</v>
      </c>
      <c r="AD76" s="51">
        <v>15.78</v>
      </c>
      <c r="AE76" s="50">
        <v>39</v>
      </c>
      <c r="AF76" s="48">
        <v>9.1999999999999993</v>
      </c>
      <c r="AG76" s="49">
        <v>0</v>
      </c>
      <c r="AH76" s="49">
        <v>0</v>
      </c>
      <c r="AI76" s="51">
        <v>15.76</v>
      </c>
      <c r="AJ76" s="50">
        <v>38</v>
      </c>
      <c r="AK76" s="48">
        <v>9.5</v>
      </c>
      <c r="AL76" s="48">
        <v>0</v>
      </c>
      <c r="AM76" s="48">
        <v>0</v>
      </c>
      <c r="AN76" s="51">
        <v>12.5</v>
      </c>
      <c r="AO76" s="47">
        <v>38</v>
      </c>
      <c r="AP76" s="48">
        <v>9.5</v>
      </c>
      <c r="AQ76" s="48">
        <v>100</v>
      </c>
      <c r="AR76" s="48">
        <v>0</v>
      </c>
      <c r="AS76" s="48">
        <v>10.57</v>
      </c>
      <c r="AT76" s="50">
        <v>32</v>
      </c>
      <c r="AU76" s="51">
        <v>80</v>
      </c>
      <c r="AV76" s="50">
        <v>94.39697265625</v>
      </c>
      <c r="AW76" s="51">
        <v>287.38245066949167</v>
      </c>
      <c r="AX76" s="8"/>
      <c r="AZ76" s="1">
        <v>90</v>
      </c>
      <c r="BB76" s="82">
        <f t="shared" si="1"/>
        <v>38.533560000000008</v>
      </c>
    </row>
    <row r="77" spans="3:54" ht="15" customHeight="1" x14ac:dyDescent="0.25">
      <c r="C77" s="42"/>
      <c r="D77" s="43">
        <f>D76</f>
        <v>45722</v>
      </c>
      <c r="E77" s="44">
        <f>E76+2/24</f>
        <v>5.3333333333333313</v>
      </c>
      <c r="F77" s="45">
        <f t="shared" si="3"/>
        <v>45722.333333333481</v>
      </c>
      <c r="G77" s="52">
        <v>40</v>
      </c>
      <c r="H77" s="53">
        <v>39</v>
      </c>
      <c r="I77" s="54">
        <v>10.5</v>
      </c>
      <c r="J77" s="54">
        <v>250</v>
      </c>
      <c r="K77" s="55">
        <v>0</v>
      </c>
      <c r="L77" s="56">
        <v>37</v>
      </c>
      <c r="M77" s="54">
        <v>10.1</v>
      </c>
      <c r="N77" s="54">
        <v>250</v>
      </c>
      <c r="O77" s="57">
        <v>0</v>
      </c>
      <c r="P77" s="53">
        <v>40</v>
      </c>
      <c r="Q77" s="54">
        <v>10</v>
      </c>
      <c r="R77" s="54">
        <v>0</v>
      </c>
      <c r="S77" s="55">
        <v>0</v>
      </c>
      <c r="T77" s="57">
        <v>15.38</v>
      </c>
      <c r="U77" s="56">
        <v>38</v>
      </c>
      <c r="V77" s="54">
        <v>9.6999999999999993</v>
      </c>
      <c r="W77" s="55">
        <v>0</v>
      </c>
      <c r="X77" s="55">
        <v>0</v>
      </c>
      <c r="Y77" s="57">
        <v>17.3</v>
      </c>
      <c r="Z77" s="53">
        <v>39</v>
      </c>
      <c r="AA77" s="54">
        <v>9.5</v>
      </c>
      <c r="AB77" s="55">
        <v>0</v>
      </c>
      <c r="AC77" s="55">
        <v>0</v>
      </c>
      <c r="AD77" s="57">
        <v>15.38</v>
      </c>
      <c r="AE77" s="56">
        <v>40</v>
      </c>
      <c r="AF77" s="54">
        <v>9.3000000000000007</v>
      </c>
      <c r="AG77" s="55">
        <v>0</v>
      </c>
      <c r="AH77" s="55">
        <v>0</v>
      </c>
      <c r="AI77" s="57">
        <v>16.34</v>
      </c>
      <c r="AJ77" s="56">
        <v>38</v>
      </c>
      <c r="AK77" s="54">
        <v>9.3000000000000007</v>
      </c>
      <c r="AL77" s="54">
        <v>0</v>
      </c>
      <c r="AM77" s="54">
        <v>0</v>
      </c>
      <c r="AN77" s="57">
        <v>12.5</v>
      </c>
      <c r="AO77" s="53">
        <v>38</v>
      </c>
      <c r="AP77" s="54">
        <v>9.3000000000000007</v>
      </c>
      <c r="AQ77" s="54">
        <v>90</v>
      </c>
      <c r="AR77" s="54">
        <v>0</v>
      </c>
      <c r="AS77" s="54">
        <v>10.57</v>
      </c>
      <c r="AT77" s="56">
        <v>33</v>
      </c>
      <c r="AU77" s="57">
        <v>80</v>
      </c>
      <c r="AV77" s="56">
        <v>94.742835998535199</v>
      </c>
      <c r="AW77" s="57">
        <v>287.45105171280449</v>
      </c>
      <c r="AX77" s="8"/>
      <c r="AZ77" s="1">
        <v>90</v>
      </c>
      <c r="BB77" s="82">
        <f t="shared" si="1"/>
        <v>38.661740000000002</v>
      </c>
    </row>
    <row r="78" spans="3:54" ht="15" customHeight="1" x14ac:dyDescent="0.25">
      <c r="C78" s="42"/>
      <c r="D78" s="43">
        <f>D76</f>
        <v>45722</v>
      </c>
      <c r="E78" s="44">
        <f t="shared" ref="E78:E87" si="8">E77+2/24</f>
        <v>5.4166666666666643</v>
      </c>
      <c r="F78" s="45">
        <f t="shared" si="3"/>
        <v>45722.416666666817</v>
      </c>
      <c r="G78" s="52">
        <v>42</v>
      </c>
      <c r="H78" s="53">
        <v>42</v>
      </c>
      <c r="I78" s="54">
        <v>11.2</v>
      </c>
      <c r="J78" s="54">
        <v>200</v>
      </c>
      <c r="K78" s="55">
        <v>0</v>
      </c>
      <c r="L78" s="56">
        <v>38</v>
      </c>
      <c r="M78" s="54">
        <v>9.3000000000000007</v>
      </c>
      <c r="N78" s="54">
        <v>250</v>
      </c>
      <c r="O78" s="57">
        <v>0</v>
      </c>
      <c r="P78" s="53">
        <v>39</v>
      </c>
      <c r="Q78" s="54">
        <v>9.4</v>
      </c>
      <c r="R78" s="54">
        <v>0</v>
      </c>
      <c r="S78" s="55">
        <v>0</v>
      </c>
      <c r="T78" s="57">
        <v>15.57</v>
      </c>
      <c r="U78" s="56">
        <v>38</v>
      </c>
      <c r="V78" s="54">
        <v>9.6999999999999993</v>
      </c>
      <c r="W78" s="55">
        <v>0</v>
      </c>
      <c r="X78" s="55">
        <v>0</v>
      </c>
      <c r="Y78" s="57">
        <v>16.920000000000002</v>
      </c>
      <c r="Z78" s="53">
        <v>39</v>
      </c>
      <c r="AA78" s="54">
        <v>9.5</v>
      </c>
      <c r="AB78" s="55">
        <v>0</v>
      </c>
      <c r="AC78" s="55">
        <v>0</v>
      </c>
      <c r="AD78" s="57">
        <v>15.76</v>
      </c>
      <c r="AE78" s="56">
        <v>40</v>
      </c>
      <c r="AF78" s="54">
        <v>9.3000000000000007</v>
      </c>
      <c r="AG78" s="55">
        <v>0</v>
      </c>
      <c r="AH78" s="55">
        <v>0</v>
      </c>
      <c r="AI78" s="57">
        <v>16.53</v>
      </c>
      <c r="AJ78" s="56">
        <v>0</v>
      </c>
      <c r="AK78" s="54">
        <v>0</v>
      </c>
      <c r="AL78" s="54">
        <v>0</v>
      </c>
      <c r="AM78" s="54">
        <v>0</v>
      </c>
      <c r="AN78" s="57">
        <v>0</v>
      </c>
      <c r="AO78" s="53">
        <v>40</v>
      </c>
      <c r="AP78" s="54">
        <v>9.1</v>
      </c>
      <c r="AQ78" s="54">
        <v>100</v>
      </c>
      <c r="AR78" s="54">
        <v>0</v>
      </c>
      <c r="AS78" s="54">
        <v>11.53</v>
      </c>
      <c r="AT78" s="56">
        <v>32</v>
      </c>
      <c r="AU78" s="57">
        <v>90</v>
      </c>
      <c r="AV78" s="56">
        <v>93.78662109375</v>
      </c>
      <c r="AW78" s="57">
        <v>285.5051600367762</v>
      </c>
      <c r="AX78" s="8"/>
      <c r="AZ78" s="1">
        <v>90</v>
      </c>
      <c r="BB78" s="82">
        <f t="shared" si="1"/>
        <v>33.729020000000006</v>
      </c>
    </row>
    <row r="79" spans="3:54" ht="15" customHeight="1" x14ac:dyDescent="0.25">
      <c r="C79" s="42"/>
      <c r="D79" s="43">
        <f>D76</f>
        <v>45722</v>
      </c>
      <c r="E79" s="44">
        <f t="shared" si="8"/>
        <v>5.4999999999999973</v>
      </c>
      <c r="F79" s="45">
        <f t="shared" si="3"/>
        <v>45722.500000000153</v>
      </c>
      <c r="G79" s="52">
        <v>40</v>
      </c>
      <c r="H79" s="53">
        <v>39</v>
      </c>
      <c r="I79" s="54">
        <v>11.1</v>
      </c>
      <c r="J79" s="54">
        <v>350</v>
      </c>
      <c r="K79" s="55">
        <v>0</v>
      </c>
      <c r="L79" s="56">
        <v>37</v>
      </c>
      <c r="M79" s="54">
        <v>10.5</v>
      </c>
      <c r="N79" s="54">
        <v>500</v>
      </c>
      <c r="O79" s="57">
        <v>0</v>
      </c>
      <c r="P79" s="53">
        <v>38</v>
      </c>
      <c r="Q79" s="54">
        <v>9.5</v>
      </c>
      <c r="R79" s="54">
        <v>0</v>
      </c>
      <c r="S79" s="55">
        <v>0</v>
      </c>
      <c r="T79" s="57">
        <v>15.38</v>
      </c>
      <c r="U79" s="56">
        <v>41</v>
      </c>
      <c r="V79" s="54">
        <v>10</v>
      </c>
      <c r="W79" s="55">
        <v>0</v>
      </c>
      <c r="X79" s="55">
        <v>0</v>
      </c>
      <c r="Y79" s="57">
        <v>17.3</v>
      </c>
      <c r="Z79" s="53">
        <v>40</v>
      </c>
      <c r="AA79" s="54">
        <v>9.6</v>
      </c>
      <c r="AB79" s="55">
        <v>0</v>
      </c>
      <c r="AC79" s="55">
        <v>0</v>
      </c>
      <c r="AD79" s="57">
        <v>15.38</v>
      </c>
      <c r="AE79" s="56">
        <v>40</v>
      </c>
      <c r="AF79" s="54">
        <v>9.4</v>
      </c>
      <c r="AG79" s="55">
        <v>0</v>
      </c>
      <c r="AH79" s="55">
        <v>0</v>
      </c>
      <c r="AI79" s="57">
        <v>16.34</v>
      </c>
      <c r="AJ79" s="56">
        <v>0</v>
      </c>
      <c r="AK79" s="54">
        <v>0</v>
      </c>
      <c r="AL79" s="54">
        <v>0</v>
      </c>
      <c r="AM79" s="54">
        <v>0</v>
      </c>
      <c r="AN79" s="57">
        <v>0</v>
      </c>
      <c r="AO79" s="53">
        <v>38</v>
      </c>
      <c r="AP79" s="54">
        <v>9.8000000000000007</v>
      </c>
      <c r="AQ79" s="54">
        <v>120</v>
      </c>
      <c r="AR79" s="54">
        <v>0</v>
      </c>
      <c r="AS79" s="54">
        <v>11.57</v>
      </c>
      <c r="AT79" s="56">
        <v>33</v>
      </c>
      <c r="AU79" s="57">
        <v>100</v>
      </c>
      <c r="AV79" s="56">
        <v>94.559730529785199</v>
      </c>
      <c r="AW79" s="57">
        <v>283.78785714075588</v>
      </c>
      <c r="AX79" s="8"/>
      <c r="AZ79" s="1">
        <v>90</v>
      </c>
      <c r="BB79" s="82">
        <f t="shared" si="1"/>
        <v>33.578739999999996</v>
      </c>
    </row>
    <row r="80" spans="3:54" ht="15" customHeight="1" x14ac:dyDescent="0.25">
      <c r="C80" s="42"/>
      <c r="D80" s="43">
        <f>D76</f>
        <v>45722</v>
      </c>
      <c r="E80" s="44">
        <f t="shared" si="8"/>
        <v>5.5833333333333304</v>
      </c>
      <c r="F80" s="45">
        <f t="shared" si="3"/>
        <v>45722.583333333489</v>
      </c>
      <c r="G80" s="52">
        <v>42</v>
      </c>
      <c r="H80" s="53">
        <v>40</v>
      </c>
      <c r="I80" s="54">
        <v>10.8</v>
      </c>
      <c r="J80" s="54">
        <v>300</v>
      </c>
      <c r="K80" s="55">
        <v>0</v>
      </c>
      <c r="L80" s="56">
        <v>39</v>
      </c>
      <c r="M80" s="54">
        <v>10.6</v>
      </c>
      <c r="N80" s="54">
        <v>400</v>
      </c>
      <c r="O80" s="57">
        <v>0</v>
      </c>
      <c r="P80" s="53">
        <v>38</v>
      </c>
      <c r="Q80" s="54">
        <v>9.6</v>
      </c>
      <c r="R80" s="54">
        <v>0</v>
      </c>
      <c r="S80" s="55">
        <v>0</v>
      </c>
      <c r="T80" s="57">
        <v>15.38</v>
      </c>
      <c r="U80" s="56">
        <v>39</v>
      </c>
      <c r="V80" s="54">
        <v>10.1</v>
      </c>
      <c r="W80" s="55">
        <v>0</v>
      </c>
      <c r="X80" s="55">
        <v>0</v>
      </c>
      <c r="Y80" s="57">
        <v>17.5</v>
      </c>
      <c r="Z80" s="53">
        <v>39</v>
      </c>
      <c r="AA80" s="54">
        <v>9.6</v>
      </c>
      <c r="AB80" s="55">
        <v>0</v>
      </c>
      <c r="AC80" s="55">
        <v>0</v>
      </c>
      <c r="AD80" s="57">
        <v>15</v>
      </c>
      <c r="AE80" s="56">
        <v>39</v>
      </c>
      <c r="AF80" s="54">
        <v>9.5</v>
      </c>
      <c r="AG80" s="55">
        <v>0</v>
      </c>
      <c r="AH80" s="55">
        <v>0</v>
      </c>
      <c r="AI80" s="57">
        <v>16.53</v>
      </c>
      <c r="AJ80" s="56">
        <v>0</v>
      </c>
      <c r="AK80" s="54">
        <v>0</v>
      </c>
      <c r="AL80" s="54">
        <v>0</v>
      </c>
      <c r="AM80" s="54">
        <v>0</v>
      </c>
      <c r="AN80" s="57">
        <v>0</v>
      </c>
      <c r="AO80" s="53">
        <v>38</v>
      </c>
      <c r="AP80" s="54">
        <v>9.8000000000000007</v>
      </c>
      <c r="AQ80" s="54">
        <v>120</v>
      </c>
      <c r="AR80" s="54">
        <v>0</v>
      </c>
      <c r="AS80" s="54">
        <v>11.15</v>
      </c>
      <c r="AT80" s="56">
        <v>33</v>
      </c>
      <c r="AU80" s="57">
        <v>90</v>
      </c>
      <c r="AV80" s="56">
        <v>94.466140747070298</v>
      </c>
      <c r="AW80" s="57">
        <v>282.73871498163788</v>
      </c>
      <c r="AX80" s="8"/>
      <c r="AZ80" s="1">
        <v>90</v>
      </c>
      <c r="BB80" s="82">
        <f t="shared" si="1"/>
        <v>33.397520000000007</v>
      </c>
    </row>
    <row r="81" spans="3:54" ht="15" customHeight="1" x14ac:dyDescent="0.25">
      <c r="C81" s="42"/>
      <c r="D81" s="43">
        <f>D76</f>
        <v>45722</v>
      </c>
      <c r="E81" s="44">
        <f t="shared" si="8"/>
        <v>5.6666666666666634</v>
      </c>
      <c r="F81" s="45">
        <f t="shared" si="3"/>
        <v>45722.666666666824</v>
      </c>
      <c r="G81" s="52">
        <v>0</v>
      </c>
      <c r="H81" s="53">
        <v>0</v>
      </c>
      <c r="I81" s="54">
        <v>0</v>
      </c>
      <c r="J81" s="54">
        <v>0</v>
      </c>
      <c r="K81" s="55">
        <v>0</v>
      </c>
      <c r="L81" s="56">
        <v>0</v>
      </c>
      <c r="M81" s="54">
        <v>0</v>
      </c>
      <c r="N81" s="54">
        <v>0</v>
      </c>
      <c r="O81" s="57">
        <v>0</v>
      </c>
      <c r="P81" s="53">
        <v>0</v>
      </c>
      <c r="Q81" s="54">
        <v>0</v>
      </c>
      <c r="R81" s="54">
        <v>0</v>
      </c>
      <c r="S81" s="55">
        <v>0</v>
      </c>
      <c r="T81" s="57">
        <v>0</v>
      </c>
      <c r="U81" s="56">
        <v>0</v>
      </c>
      <c r="V81" s="54">
        <v>0</v>
      </c>
      <c r="W81" s="55">
        <v>0</v>
      </c>
      <c r="X81" s="55">
        <v>0</v>
      </c>
      <c r="Y81" s="57">
        <v>0</v>
      </c>
      <c r="Z81" s="53">
        <v>0</v>
      </c>
      <c r="AA81" s="54">
        <v>0</v>
      </c>
      <c r="AB81" s="55">
        <v>0</v>
      </c>
      <c r="AC81" s="55">
        <v>0</v>
      </c>
      <c r="AD81" s="57">
        <v>0</v>
      </c>
      <c r="AE81" s="56">
        <v>0</v>
      </c>
      <c r="AF81" s="54">
        <v>0</v>
      </c>
      <c r="AG81" s="55">
        <v>0</v>
      </c>
      <c r="AH81" s="55">
        <v>0</v>
      </c>
      <c r="AI81" s="57">
        <v>0</v>
      </c>
      <c r="AJ81" s="56">
        <v>0</v>
      </c>
      <c r="AK81" s="54">
        <v>0</v>
      </c>
      <c r="AL81" s="54">
        <v>0</v>
      </c>
      <c r="AM81" s="54">
        <v>0</v>
      </c>
      <c r="AN81" s="57">
        <v>0</v>
      </c>
      <c r="AO81" s="53">
        <v>0</v>
      </c>
      <c r="AP81" s="54">
        <v>0</v>
      </c>
      <c r="AQ81" s="54">
        <v>0</v>
      </c>
      <c r="AR81" s="54">
        <v>0</v>
      </c>
      <c r="AS81" s="54">
        <v>0</v>
      </c>
      <c r="AT81" s="56">
        <v>0</v>
      </c>
      <c r="AU81" s="57">
        <v>0</v>
      </c>
      <c r="AV81" s="56">
        <v>94.588211059570298</v>
      </c>
      <c r="AW81" s="57">
        <v>282.6727667113766</v>
      </c>
      <c r="AX81" s="8"/>
      <c r="AZ81" s="1">
        <v>90</v>
      </c>
      <c r="BB81" s="82">
        <f t="shared" ref="BB81:BB144" si="9">((T81*442)+(Y81*442)+(AD81*442)+(AI81*442)+(AN81*442)+(AS81*442))/1000</f>
        <v>0</v>
      </c>
    </row>
    <row r="82" spans="3:54" ht="15" customHeight="1" x14ac:dyDescent="0.25">
      <c r="C82" s="42"/>
      <c r="D82" s="43">
        <f>D76</f>
        <v>45722</v>
      </c>
      <c r="E82" s="44">
        <f t="shared" si="8"/>
        <v>5.7499999999999964</v>
      </c>
      <c r="F82" s="45">
        <f t="shared" ref="F82:F145" si="10">F81+(E82-E81)</f>
        <v>45722.75000000016</v>
      </c>
      <c r="G82" s="52">
        <v>44</v>
      </c>
      <c r="H82" s="53">
        <v>42</v>
      </c>
      <c r="I82" s="54">
        <v>10.4</v>
      </c>
      <c r="J82" s="54">
        <v>300</v>
      </c>
      <c r="K82" s="55">
        <v>0</v>
      </c>
      <c r="L82" s="56">
        <v>41</v>
      </c>
      <c r="M82" s="54">
        <v>10.4</v>
      </c>
      <c r="N82" s="54">
        <v>400</v>
      </c>
      <c r="O82" s="57">
        <v>0</v>
      </c>
      <c r="P82" s="53">
        <v>40</v>
      </c>
      <c r="Q82" s="54">
        <v>10.1</v>
      </c>
      <c r="R82" s="54">
        <v>0</v>
      </c>
      <c r="S82" s="55">
        <v>0</v>
      </c>
      <c r="T82" s="57">
        <v>15.76</v>
      </c>
      <c r="U82" s="56">
        <v>41</v>
      </c>
      <c r="V82" s="54">
        <v>9.9</v>
      </c>
      <c r="W82" s="55">
        <v>0</v>
      </c>
      <c r="X82" s="55">
        <v>0</v>
      </c>
      <c r="Y82" s="57">
        <v>16.149999999999999</v>
      </c>
      <c r="Z82" s="53">
        <v>41</v>
      </c>
      <c r="AA82" s="54">
        <v>9.1999999999999993</v>
      </c>
      <c r="AB82" s="55">
        <v>0</v>
      </c>
      <c r="AC82" s="55">
        <v>0</v>
      </c>
      <c r="AD82" s="57">
        <v>14.42</v>
      </c>
      <c r="AE82" s="56">
        <v>35</v>
      </c>
      <c r="AF82" s="54">
        <v>9.5</v>
      </c>
      <c r="AG82" s="55">
        <v>0</v>
      </c>
      <c r="AH82" s="55">
        <v>0</v>
      </c>
      <c r="AI82" s="57">
        <v>15.38</v>
      </c>
      <c r="AJ82" s="56">
        <v>0</v>
      </c>
      <c r="AK82" s="54">
        <v>0</v>
      </c>
      <c r="AL82" s="54">
        <v>0</v>
      </c>
      <c r="AM82" s="54">
        <v>0</v>
      </c>
      <c r="AN82" s="57">
        <v>0</v>
      </c>
      <c r="AO82" s="53">
        <v>37</v>
      </c>
      <c r="AP82" s="54">
        <v>9.8000000000000007</v>
      </c>
      <c r="AQ82" s="54">
        <v>110</v>
      </c>
      <c r="AR82" s="54">
        <v>0</v>
      </c>
      <c r="AS82" s="54">
        <v>10</v>
      </c>
      <c r="AT82" s="56">
        <v>34</v>
      </c>
      <c r="AU82" s="57">
        <v>80</v>
      </c>
      <c r="AV82" s="56">
        <v>94.7265625</v>
      </c>
      <c r="AW82" s="57">
        <v>239.42418942617422</v>
      </c>
      <c r="AX82" s="8"/>
      <c r="AZ82" s="1">
        <v>90</v>
      </c>
      <c r="BB82" s="82">
        <f t="shared" si="9"/>
        <v>31.695820000000001</v>
      </c>
    </row>
    <row r="83" spans="3:54" ht="15" customHeight="1" x14ac:dyDescent="0.25">
      <c r="C83" s="42"/>
      <c r="D83" s="43">
        <f>D76</f>
        <v>45722</v>
      </c>
      <c r="E83" s="44">
        <f t="shared" si="8"/>
        <v>5.8333333333333295</v>
      </c>
      <c r="F83" s="45">
        <f t="shared" si="10"/>
        <v>45722.833333333496</v>
      </c>
      <c r="G83" s="52">
        <v>40</v>
      </c>
      <c r="H83" s="53">
        <v>39</v>
      </c>
      <c r="I83" s="54">
        <v>10.199999999999999</v>
      </c>
      <c r="J83" s="54">
        <v>250</v>
      </c>
      <c r="K83" s="55">
        <v>0</v>
      </c>
      <c r="L83" s="56">
        <v>38</v>
      </c>
      <c r="M83" s="54">
        <v>10.3</v>
      </c>
      <c r="N83" s="54">
        <v>300</v>
      </c>
      <c r="O83" s="57">
        <v>0</v>
      </c>
      <c r="P83" s="53">
        <v>38</v>
      </c>
      <c r="Q83" s="54">
        <v>10.1</v>
      </c>
      <c r="R83" s="54">
        <v>0</v>
      </c>
      <c r="S83" s="55">
        <v>0</v>
      </c>
      <c r="T83" s="57">
        <v>15.38</v>
      </c>
      <c r="U83" s="56">
        <v>37</v>
      </c>
      <c r="V83" s="54">
        <v>10.1</v>
      </c>
      <c r="W83" s="55">
        <v>0</v>
      </c>
      <c r="X83" s="55">
        <v>0</v>
      </c>
      <c r="Y83" s="57">
        <v>15.96</v>
      </c>
      <c r="Z83" s="53">
        <v>38</v>
      </c>
      <c r="AA83" s="54">
        <v>9.8000000000000007</v>
      </c>
      <c r="AB83" s="55">
        <v>0</v>
      </c>
      <c r="AC83" s="55">
        <v>0</v>
      </c>
      <c r="AD83" s="57">
        <v>16.34</v>
      </c>
      <c r="AE83" s="56">
        <v>37</v>
      </c>
      <c r="AF83" s="54">
        <v>9.6</v>
      </c>
      <c r="AG83" s="55">
        <v>0</v>
      </c>
      <c r="AH83" s="55">
        <v>0</v>
      </c>
      <c r="AI83" s="57">
        <v>15.38</v>
      </c>
      <c r="AJ83" s="56">
        <v>37</v>
      </c>
      <c r="AK83" s="54">
        <v>9.5</v>
      </c>
      <c r="AL83" s="54">
        <v>0</v>
      </c>
      <c r="AM83" s="54">
        <v>0</v>
      </c>
      <c r="AN83" s="57">
        <v>11.53</v>
      </c>
      <c r="AO83" s="53">
        <v>33</v>
      </c>
      <c r="AP83" s="54">
        <v>9.4</v>
      </c>
      <c r="AQ83" s="54">
        <v>120</v>
      </c>
      <c r="AR83" s="54">
        <v>0</v>
      </c>
      <c r="AS83" s="54">
        <v>10.96</v>
      </c>
      <c r="AT83" s="56">
        <v>29</v>
      </c>
      <c r="AU83" s="57">
        <v>100</v>
      </c>
      <c r="AV83" s="56">
        <v>94.482421875</v>
      </c>
      <c r="AW83" s="57">
        <v>285.62897864601888</v>
      </c>
      <c r="AX83" s="8"/>
      <c r="AZ83" s="1">
        <v>90</v>
      </c>
      <c r="BB83" s="82">
        <f t="shared" si="9"/>
        <v>37.813099999999999</v>
      </c>
    </row>
    <row r="84" spans="3:54" ht="15" customHeight="1" x14ac:dyDescent="0.25">
      <c r="C84" s="42"/>
      <c r="D84" s="43">
        <f>D76</f>
        <v>45722</v>
      </c>
      <c r="E84" s="44">
        <f t="shared" si="8"/>
        <v>5.9166666666666625</v>
      </c>
      <c r="F84" s="45">
        <f t="shared" si="10"/>
        <v>45722.916666666832</v>
      </c>
      <c r="G84" s="52">
        <v>40</v>
      </c>
      <c r="H84" s="53">
        <v>41</v>
      </c>
      <c r="I84" s="54">
        <v>10.9</v>
      </c>
      <c r="J84" s="54">
        <v>200</v>
      </c>
      <c r="K84" s="55">
        <v>0</v>
      </c>
      <c r="L84" s="56">
        <v>41</v>
      </c>
      <c r="M84" s="54">
        <v>10.4</v>
      </c>
      <c r="N84" s="54">
        <v>250</v>
      </c>
      <c r="O84" s="57">
        <v>0</v>
      </c>
      <c r="P84" s="53">
        <v>38</v>
      </c>
      <c r="Q84" s="54">
        <v>10.199999999999999</v>
      </c>
      <c r="R84" s="54">
        <v>0</v>
      </c>
      <c r="S84" s="55">
        <v>0</v>
      </c>
      <c r="T84" s="57">
        <v>16.34</v>
      </c>
      <c r="U84" s="56">
        <v>38</v>
      </c>
      <c r="V84" s="54">
        <v>10.199999999999999</v>
      </c>
      <c r="W84" s="55">
        <v>0</v>
      </c>
      <c r="X84" s="55">
        <v>0</v>
      </c>
      <c r="Y84" s="57">
        <v>15.38</v>
      </c>
      <c r="Z84" s="53">
        <v>38</v>
      </c>
      <c r="AA84" s="54">
        <v>10.1</v>
      </c>
      <c r="AB84" s="55">
        <v>0</v>
      </c>
      <c r="AC84" s="55">
        <v>0</v>
      </c>
      <c r="AD84" s="57">
        <v>15.38</v>
      </c>
      <c r="AE84" s="56">
        <v>36</v>
      </c>
      <c r="AF84" s="54">
        <v>9.6</v>
      </c>
      <c r="AG84" s="55">
        <v>0</v>
      </c>
      <c r="AH84" s="55">
        <v>0</v>
      </c>
      <c r="AI84" s="57">
        <v>15.19</v>
      </c>
      <c r="AJ84" s="56">
        <v>37</v>
      </c>
      <c r="AK84" s="54">
        <v>9.5</v>
      </c>
      <c r="AL84" s="54">
        <v>0</v>
      </c>
      <c r="AM84" s="54">
        <v>0</v>
      </c>
      <c r="AN84" s="57">
        <v>11.53</v>
      </c>
      <c r="AO84" s="53">
        <v>37</v>
      </c>
      <c r="AP84" s="54">
        <v>9.5</v>
      </c>
      <c r="AQ84" s="54">
        <v>150</v>
      </c>
      <c r="AR84" s="54">
        <v>0</v>
      </c>
      <c r="AS84" s="54">
        <v>10.96</v>
      </c>
      <c r="AT84" s="56">
        <v>29</v>
      </c>
      <c r="AU84" s="57">
        <v>110</v>
      </c>
      <c r="AV84" s="56">
        <v>94.37255859375</v>
      </c>
      <c r="AW84" s="57">
        <v>286.59107321690146</v>
      </c>
      <c r="AX84" s="8"/>
      <c r="AZ84" s="1">
        <v>90</v>
      </c>
      <c r="BB84" s="82">
        <f t="shared" si="9"/>
        <v>37.472760000000001</v>
      </c>
    </row>
    <row r="85" spans="3:54" ht="15" customHeight="1" x14ac:dyDescent="0.25">
      <c r="C85" s="42"/>
      <c r="D85" s="43">
        <f>D76</f>
        <v>45722</v>
      </c>
      <c r="E85" s="44">
        <f t="shared" si="8"/>
        <v>5.9999999999999956</v>
      </c>
      <c r="F85" s="45">
        <f t="shared" si="10"/>
        <v>45723.000000000167</v>
      </c>
      <c r="G85" s="52" t="s">
        <v>38</v>
      </c>
      <c r="H85" s="53">
        <v>41</v>
      </c>
      <c r="I85" s="54">
        <v>10.5</v>
      </c>
      <c r="J85" s="54">
        <v>200</v>
      </c>
      <c r="K85" s="55">
        <v>0</v>
      </c>
      <c r="L85" s="56">
        <v>41</v>
      </c>
      <c r="M85" s="54">
        <v>10.4</v>
      </c>
      <c r="N85" s="54">
        <v>250</v>
      </c>
      <c r="O85" s="57">
        <v>0</v>
      </c>
      <c r="P85" s="53">
        <v>39</v>
      </c>
      <c r="Q85" s="54">
        <v>10.199999999999999</v>
      </c>
      <c r="R85" s="54">
        <v>0</v>
      </c>
      <c r="S85" s="55">
        <v>0</v>
      </c>
      <c r="T85" s="57">
        <v>16.73</v>
      </c>
      <c r="U85" s="56">
        <v>38</v>
      </c>
      <c r="V85" s="54">
        <v>10.199999999999999</v>
      </c>
      <c r="W85" s="55">
        <v>0</v>
      </c>
      <c r="X85" s="55">
        <v>0</v>
      </c>
      <c r="Y85" s="57">
        <v>15.9</v>
      </c>
      <c r="Z85" s="53">
        <v>37</v>
      </c>
      <c r="AA85" s="54">
        <v>10.1</v>
      </c>
      <c r="AB85" s="55">
        <v>0</v>
      </c>
      <c r="AC85" s="55">
        <v>0</v>
      </c>
      <c r="AD85" s="57">
        <v>15.38</v>
      </c>
      <c r="AE85" s="56">
        <v>37</v>
      </c>
      <c r="AF85" s="54">
        <v>9.5</v>
      </c>
      <c r="AG85" s="55">
        <v>0</v>
      </c>
      <c r="AH85" s="55">
        <v>0</v>
      </c>
      <c r="AI85" s="57">
        <v>15.19</v>
      </c>
      <c r="AJ85" s="56">
        <v>37</v>
      </c>
      <c r="AK85" s="54">
        <v>9.5</v>
      </c>
      <c r="AL85" s="54">
        <v>0</v>
      </c>
      <c r="AM85" s="54">
        <v>0</v>
      </c>
      <c r="AN85" s="57">
        <v>11.92</v>
      </c>
      <c r="AO85" s="53">
        <v>36</v>
      </c>
      <c r="AP85" s="54">
        <v>9.6999999999999993</v>
      </c>
      <c r="AQ85" s="54">
        <v>150</v>
      </c>
      <c r="AR85" s="54">
        <v>0</v>
      </c>
      <c r="AS85" s="54">
        <v>10.57</v>
      </c>
      <c r="AT85" s="56">
        <v>30</v>
      </c>
      <c r="AU85" s="57">
        <v>110</v>
      </c>
      <c r="AV85" s="56">
        <v>94.681800842285199</v>
      </c>
      <c r="AW85" s="57">
        <v>282.98460150059799</v>
      </c>
      <c r="AX85" s="8"/>
      <c r="AZ85" s="1">
        <v>90</v>
      </c>
      <c r="BB85" s="82">
        <f t="shared" si="9"/>
        <v>37.874980000000001</v>
      </c>
    </row>
    <row r="86" spans="3:54" ht="15" customHeight="1" x14ac:dyDescent="0.25">
      <c r="C86" s="42"/>
      <c r="D86" s="43">
        <f>D76</f>
        <v>45722</v>
      </c>
      <c r="E86" s="44">
        <f t="shared" si="8"/>
        <v>6.0833333333333286</v>
      </c>
      <c r="F86" s="45">
        <f t="shared" si="10"/>
        <v>45723.083333333503</v>
      </c>
      <c r="G86" s="52" t="s">
        <v>38</v>
      </c>
      <c r="H86" s="53">
        <v>40</v>
      </c>
      <c r="I86" s="54">
        <v>10.3</v>
      </c>
      <c r="J86" s="54">
        <v>200</v>
      </c>
      <c r="K86" s="55">
        <v>0</v>
      </c>
      <c r="L86" s="56">
        <v>39</v>
      </c>
      <c r="M86" s="54">
        <v>10.3</v>
      </c>
      <c r="N86" s="54">
        <v>250</v>
      </c>
      <c r="O86" s="57">
        <v>0</v>
      </c>
      <c r="P86" s="53">
        <v>38</v>
      </c>
      <c r="Q86" s="54">
        <v>10.199999999999999</v>
      </c>
      <c r="R86" s="54">
        <v>0</v>
      </c>
      <c r="S86" s="55">
        <v>0</v>
      </c>
      <c r="T86" s="57">
        <v>16.73</v>
      </c>
      <c r="U86" s="56">
        <v>37</v>
      </c>
      <c r="V86" s="54">
        <v>10.199999999999999</v>
      </c>
      <c r="W86" s="55">
        <v>0</v>
      </c>
      <c r="X86" s="55">
        <v>0</v>
      </c>
      <c r="Y86" s="57">
        <v>15.9</v>
      </c>
      <c r="Z86" s="53">
        <v>37</v>
      </c>
      <c r="AA86" s="54">
        <v>10</v>
      </c>
      <c r="AB86" s="55">
        <v>0</v>
      </c>
      <c r="AC86" s="55">
        <v>0</v>
      </c>
      <c r="AD86" s="57">
        <v>15.19</v>
      </c>
      <c r="AE86" s="56">
        <v>38</v>
      </c>
      <c r="AF86" s="54">
        <v>9.5</v>
      </c>
      <c r="AG86" s="55">
        <v>0</v>
      </c>
      <c r="AH86" s="55">
        <v>0</v>
      </c>
      <c r="AI86" s="57">
        <v>15</v>
      </c>
      <c r="AJ86" s="56">
        <v>36</v>
      </c>
      <c r="AK86" s="54">
        <v>9.5</v>
      </c>
      <c r="AL86" s="54">
        <v>0</v>
      </c>
      <c r="AM86" s="54">
        <v>0</v>
      </c>
      <c r="AN86" s="57">
        <v>11.34</v>
      </c>
      <c r="AO86" s="53">
        <v>36</v>
      </c>
      <c r="AP86" s="54">
        <v>9.6</v>
      </c>
      <c r="AQ86" s="54">
        <v>130</v>
      </c>
      <c r="AR86" s="54">
        <v>0</v>
      </c>
      <c r="AS86" s="54">
        <v>10.57</v>
      </c>
      <c r="AT86" s="56" t="s">
        <v>38</v>
      </c>
      <c r="AU86" s="57" t="s">
        <v>38</v>
      </c>
      <c r="AV86" s="56">
        <v>94.718421936035199</v>
      </c>
      <c r="AW86" s="57">
        <v>264.513716376307</v>
      </c>
      <c r="AX86" s="8"/>
      <c r="AZ86" s="1">
        <v>90</v>
      </c>
      <c r="BB86" s="82">
        <f t="shared" si="9"/>
        <v>37.450660000000006</v>
      </c>
    </row>
    <row r="87" spans="3:54" ht="15" customHeight="1" x14ac:dyDescent="0.25">
      <c r="C87" s="42"/>
      <c r="D87" s="69">
        <f>D76</f>
        <v>45722</v>
      </c>
      <c r="E87" s="70">
        <f t="shared" si="8"/>
        <v>6.1666666666666616</v>
      </c>
      <c r="F87" s="71">
        <f t="shared" si="10"/>
        <v>45723.166666666839</v>
      </c>
      <c r="G87" s="60" t="s">
        <v>38</v>
      </c>
      <c r="H87" s="61">
        <v>40</v>
      </c>
      <c r="I87" s="62">
        <v>10.3</v>
      </c>
      <c r="J87" s="62">
        <v>200</v>
      </c>
      <c r="K87" s="63">
        <v>0</v>
      </c>
      <c r="L87" s="64">
        <v>39</v>
      </c>
      <c r="M87" s="62">
        <v>10.3</v>
      </c>
      <c r="N87" s="62">
        <v>250</v>
      </c>
      <c r="O87" s="65">
        <v>0</v>
      </c>
      <c r="P87" s="61">
        <v>38</v>
      </c>
      <c r="Q87" s="54">
        <v>10.199999999999999</v>
      </c>
      <c r="R87" s="62">
        <v>0</v>
      </c>
      <c r="S87" s="63">
        <v>0</v>
      </c>
      <c r="T87" s="57">
        <v>15.96</v>
      </c>
      <c r="U87" s="64">
        <v>39</v>
      </c>
      <c r="V87" s="54">
        <v>10.199999999999999</v>
      </c>
      <c r="W87" s="63">
        <v>0</v>
      </c>
      <c r="X87" s="63">
        <v>0</v>
      </c>
      <c r="Y87" s="65">
        <v>15.38</v>
      </c>
      <c r="Z87" s="61">
        <v>39</v>
      </c>
      <c r="AA87" s="62">
        <v>10</v>
      </c>
      <c r="AB87" s="63">
        <v>0</v>
      </c>
      <c r="AC87" s="63">
        <v>0</v>
      </c>
      <c r="AD87" s="65">
        <v>15.19</v>
      </c>
      <c r="AE87" s="64">
        <v>38</v>
      </c>
      <c r="AF87" s="62">
        <v>9.5</v>
      </c>
      <c r="AG87" s="63">
        <v>0</v>
      </c>
      <c r="AH87" s="63">
        <v>0</v>
      </c>
      <c r="AI87" s="65">
        <v>14.8</v>
      </c>
      <c r="AJ87" s="64">
        <v>36</v>
      </c>
      <c r="AK87" s="62">
        <v>9.5</v>
      </c>
      <c r="AL87" s="62">
        <v>0</v>
      </c>
      <c r="AM87" s="62">
        <v>0</v>
      </c>
      <c r="AN87" s="65">
        <v>11.34</v>
      </c>
      <c r="AO87" s="61">
        <v>35</v>
      </c>
      <c r="AP87" s="62">
        <v>9.6</v>
      </c>
      <c r="AQ87" s="62">
        <v>130</v>
      </c>
      <c r="AR87" s="62">
        <v>0</v>
      </c>
      <c r="AS87" s="62">
        <v>10.19</v>
      </c>
      <c r="AT87" s="64" t="s">
        <v>38</v>
      </c>
      <c r="AU87" s="65" t="s">
        <v>38</v>
      </c>
      <c r="AV87" s="64">
        <v>94.718421936035199</v>
      </c>
      <c r="AW87" s="65">
        <v>264.513716376307</v>
      </c>
      <c r="AX87" s="8"/>
      <c r="AZ87" s="1">
        <v>90</v>
      </c>
      <c r="BB87" s="82">
        <f t="shared" si="9"/>
        <v>36.624119999999998</v>
      </c>
    </row>
    <row r="88" spans="3:54" ht="15" customHeight="1" x14ac:dyDescent="0.25">
      <c r="C88" s="42">
        <f>C76+1</f>
        <v>7</v>
      </c>
      <c r="D88" s="66">
        <f>DATE([3]Dash!$F$3,VLOOKUP([3]Dash!$E$3,[3]Abb!$C$3:$D$14,2,FALSE),C88)</f>
        <v>45723</v>
      </c>
      <c r="E88" s="67">
        <f>E87+2/24</f>
        <v>6.2499999999999947</v>
      </c>
      <c r="F88" s="68">
        <f t="shared" si="10"/>
        <v>45723.250000000175</v>
      </c>
      <c r="G88" s="46" t="s">
        <v>38</v>
      </c>
      <c r="H88" s="47">
        <v>40</v>
      </c>
      <c r="I88" s="48">
        <v>10.3</v>
      </c>
      <c r="J88" s="48">
        <v>200</v>
      </c>
      <c r="K88" s="49">
        <v>0</v>
      </c>
      <c r="L88" s="50">
        <v>40</v>
      </c>
      <c r="M88" s="48">
        <v>10.3</v>
      </c>
      <c r="N88" s="48">
        <v>250</v>
      </c>
      <c r="O88" s="51">
        <v>0</v>
      </c>
      <c r="P88" s="47">
        <v>38</v>
      </c>
      <c r="Q88" s="48">
        <v>10.199999999999999</v>
      </c>
      <c r="R88" s="49">
        <v>0</v>
      </c>
      <c r="S88" s="49">
        <v>0</v>
      </c>
      <c r="T88" s="51">
        <v>16.34</v>
      </c>
      <c r="U88" s="50">
        <v>38</v>
      </c>
      <c r="V88" s="48">
        <v>10.199999999999999</v>
      </c>
      <c r="W88" s="49">
        <v>0</v>
      </c>
      <c r="X88" s="49">
        <v>0</v>
      </c>
      <c r="Y88" s="51">
        <v>15.38</v>
      </c>
      <c r="Z88" s="47">
        <v>38</v>
      </c>
      <c r="AA88" s="48">
        <v>10</v>
      </c>
      <c r="AB88" s="49">
        <v>0</v>
      </c>
      <c r="AC88" s="49">
        <v>0</v>
      </c>
      <c r="AD88" s="51">
        <v>15.19</v>
      </c>
      <c r="AE88" s="50">
        <v>38</v>
      </c>
      <c r="AF88" s="48">
        <v>9.5</v>
      </c>
      <c r="AG88" s="49">
        <v>0</v>
      </c>
      <c r="AH88" s="49">
        <v>0</v>
      </c>
      <c r="AI88" s="51">
        <v>15</v>
      </c>
      <c r="AJ88" s="50">
        <v>37</v>
      </c>
      <c r="AK88" s="48">
        <v>9.5</v>
      </c>
      <c r="AL88" s="48">
        <v>0</v>
      </c>
      <c r="AM88" s="48">
        <v>0</v>
      </c>
      <c r="AN88" s="51">
        <v>11.53</v>
      </c>
      <c r="AO88" s="47">
        <v>36</v>
      </c>
      <c r="AP88" s="48">
        <v>9.6</v>
      </c>
      <c r="AQ88" s="48">
        <v>130</v>
      </c>
      <c r="AR88" s="48">
        <v>0</v>
      </c>
      <c r="AS88" s="48">
        <v>10.57</v>
      </c>
      <c r="AT88" s="50" t="s">
        <v>38</v>
      </c>
      <c r="AU88" s="51" t="s">
        <v>38</v>
      </c>
      <c r="AV88" s="50">
        <v>93.806961059570298</v>
      </c>
      <c r="AW88" s="51">
        <v>265.14209758185882</v>
      </c>
      <c r="AX88" s="8"/>
      <c r="AZ88" s="1">
        <v>90</v>
      </c>
      <c r="BB88" s="82">
        <f t="shared" si="9"/>
        <v>37.132419999999996</v>
      </c>
    </row>
    <row r="89" spans="3:54" ht="15" customHeight="1" x14ac:dyDescent="0.25">
      <c r="C89" s="42"/>
      <c r="D89" s="43">
        <f>D88</f>
        <v>45723</v>
      </c>
      <c r="E89" s="44">
        <f>E88+2/24</f>
        <v>6.3333333333333277</v>
      </c>
      <c r="F89" s="45">
        <f t="shared" si="10"/>
        <v>45723.33333333351</v>
      </c>
      <c r="G89" s="52">
        <v>0</v>
      </c>
      <c r="H89" s="53">
        <v>41</v>
      </c>
      <c r="I89" s="54">
        <v>10.199999999999999</v>
      </c>
      <c r="J89" s="54">
        <v>100</v>
      </c>
      <c r="K89" s="55">
        <v>0</v>
      </c>
      <c r="L89" s="56">
        <v>39</v>
      </c>
      <c r="M89" s="54">
        <v>10.3</v>
      </c>
      <c r="N89" s="54">
        <v>250</v>
      </c>
      <c r="O89" s="57">
        <v>0</v>
      </c>
      <c r="P89" s="53">
        <v>40</v>
      </c>
      <c r="Q89" s="54">
        <v>10.199999999999999</v>
      </c>
      <c r="R89" s="55">
        <v>0</v>
      </c>
      <c r="S89" s="55">
        <v>0</v>
      </c>
      <c r="T89" s="57">
        <v>14.42</v>
      </c>
      <c r="U89" s="56">
        <v>39</v>
      </c>
      <c r="V89" s="54">
        <v>10.1</v>
      </c>
      <c r="W89" s="55">
        <v>0</v>
      </c>
      <c r="X89" s="55">
        <v>0</v>
      </c>
      <c r="Y89" s="57">
        <v>15.38</v>
      </c>
      <c r="Z89" s="53">
        <v>40</v>
      </c>
      <c r="AA89" s="54">
        <v>10.199999999999999</v>
      </c>
      <c r="AB89" s="55">
        <v>0</v>
      </c>
      <c r="AC89" s="55">
        <v>0</v>
      </c>
      <c r="AD89" s="57">
        <v>16.34</v>
      </c>
      <c r="AE89" s="56">
        <v>36</v>
      </c>
      <c r="AF89" s="54">
        <v>10.9</v>
      </c>
      <c r="AG89" s="55">
        <v>0</v>
      </c>
      <c r="AH89" s="55">
        <v>0</v>
      </c>
      <c r="AI89" s="57">
        <v>16.34</v>
      </c>
      <c r="AJ89" s="56">
        <v>35</v>
      </c>
      <c r="AK89" s="54">
        <v>10.199999999999999</v>
      </c>
      <c r="AL89" s="54">
        <v>0</v>
      </c>
      <c r="AM89" s="54">
        <v>0</v>
      </c>
      <c r="AN89" s="57">
        <v>6.73</v>
      </c>
      <c r="AO89" s="53">
        <v>37</v>
      </c>
      <c r="AP89" s="54">
        <v>10.6</v>
      </c>
      <c r="AQ89" s="54">
        <v>130</v>
      </c>
      <c r="AR89" s="54">
        <v>0</v>
      </c>
      <c r="AS89" s="54">
        <v>11.53</v>
      </c>
      <c r="AT89" s="56">
        <v>0</v>
      </c>
      <c r="AU89" s="57">
        <v>0</v>
      </c>
      <c r="AV89" s="56">
        <v>94.144691467285199</v>
      </c>
      <c r="AW89" s="57">
        <v>316.14836488893877</v>
      </c>
      <c r="AX89" s="8"/>
      <c r="AZ89" s="1">
        <v>90</v>
      </c>
      <c r="BB89" s="82">
        <f t="shared" si="9"/>
        <v>35.687080000000002</v>
      </c>
    </row>
    <row r="90" spans="3:54" ht="15" customHeight="1" x14ac:dyDescent="0.25">
      <c r="C90" s="42"/>
      <c r="D90" s="43">
        <f>D88</f>
        <v>45723</v>
      </c>
      <c r="E90" s="44">
        <f t="shared" ref="E90:E99" si="11">E89+2/24</f>
        <v>6.4166666666666607</v>
      </c>
      <c r="F90" s="45">
        <f t="shared" si="10"/>
        <v>45723.416666666846</v>
      </c>
      <c r="G90" s="52">
        <v>0</v>
      </c>
      <c r="H90" s="53">
        <v>41</v>
      </c>
      <c r="I90" s="54">
        <v>10.199999999999999</v>
      </c>
      <c r="J90" s="54">
        <v>100</v>
      </c>
      <c r="K90" s="55">
        <v>0</v>
      </c>
      <c r="L90" s="56">
        <v>40</v>
      </c>
      <c r="M90" s="54">
        <v>10.3</v>
      </c>
      <c r="N90" s="54">
        <v>250</v>
      </c>
      <c r="O90" s="57">
        <v>0</v>
      </c>
      <c r="P90" s="53">
        <v>40</v>
      </c>
      <c r="Q90" s="54">
        <v>10.199999999999999</v>
      </c>
      <c r="R90" s="55">
        <v>0</v>
      </c>
      <c r="S90" s="55">
        <v>0</v>
      </c>
      <c r="T90" s="57">
        <v>14.8</v>
      </c>
      <c r="U90" s="56">
        <v>39</v>
      </c>
      <c r="V90" s="54">
        <v>10</v>
      </c>
      <c r="W90" s="55">
        <v>0</v>
      </c>
      <c r="X90" s="55">
        <v>0</v>
      </c>
      <c r="Y90" s="57">
        <v>15.76</v>
      </c>
      <c r="Z90" s="53">
        <v>39</v>
      </c>
      <c r="AA90" s="54">
        <v>10.199999999999999</v>
      </c>
      <c r="AB90" s="55">
        <v>0</v>
      </c>
      <c r="AC90" s="55">
        <v>0</v>
      </c>
      <c r="AD90" s="57">
        <v>16.149999999999999</v>
      </c>
      <c r="AE90" s="56">
        <v>36</v>
      </c>
      <c r="AF90" s="54">
        <v>10.9</v>
      </c>
      <c r="AG90" s="55">
        <v>0</v>
      </c>
      <c r="AH90" s="55">
        <v>0</v>
      </c>
      <c r="AI90" s="57">
        <v>16.34</v>
      </c>
      <c r="AJ90" s="56">
        <v>36</v>
      </c>
      <c r="AK90" s="54">
        <v>10.199999999999999</v>
      </c>
      <c r="AL90" s="54">
        <v>0</v>
      </c>
      <c r="AM90" s="54">
        <v>0</v>
      </c>
      <c r="AN90" s="57">
        <v>6.92</v>
      </c>
      <c r="AO90" s="53">
        <v>37</v>
      </c>
      <c r="AP90" s="54">
        <v>10.6</v>
      </c>
      <c r="AQ90" s="54">
        <v>130</v>
      </c>
      <c r="AR90" s="54">
        <v>0</v>
      </c>
      <c r="AS90" s="54">
        <v>11.92</v>
      </c>
      <c r="AT90" s="56">
        <v>0</v>
      </c>
      <c r="AU90" s="57">
        <v>0</v>
      </c>
      <c r="AV90" s="56">
        <v>94.649246215820298</v>
      </c>
      <c r="AW90" s="57">
        <v>264.79021140663815</v>
      </c>
      <c r="AX90" s="8"/>
      <c r="AZ90" s="1">
        <v>90</v>
      </c>
      <c r="BB90" s="82">
        <f t="shared" si="9"/>
        <v>36.19538</v>
      </c>
    </row>
    <row r="91" spans="3:54" ht="15" customHeight="1" x14ac:dyDescent="0.25">
      <c r="C91" s="42"/>
      <c r="D91" s="43">
        <f>D88</f>
        <v>45723</v>
      </c>
      <c r="E91" s="44">
        <f t="shared" si="11"/>
        <v>6.4999999999999938</v>
      </c>
      <c r="F91" s="45">
        <f t="shared" si="10"/>
        <v>45723.500000000182</v>
      </c>
      <c r="G91" s="52">
        <v>0</v>
      </c>
      <c r="H91" s="53">
        <v>41</v>
      </c>
      <c r="I91" s="54">
        <v>10.199999999999999</v>
      </c>
      <c r="J91" s="54">
        <v>100</v>
      </c>
      <c r="K91" s="55">
        <v>0</v>
      </c>
      <c r="L91" s="56">
        <v>40</v>
      </c>
      <c r="M91" s="54">
        <v>10.3</v>
      </c>
      <c r="N91" s="54">
        <v>250</v>
      </c>
      <c r="O91" s="57">
        <v>0</v>
      </c>
      <c r="P91" s="53">
        <v>39</v>
      </c>
      <c r="Q91" s="54">
        <v>10.4</v>
      </c>
      <c r="R91" s="55">
        <v>0</v>
      </c>
      <c r="S91" s="55">
        <v>0</v>
      </c>
      <c r="T91" s="57">
        <v>14.42</v>
      </c>
      <c r="U91" s="56">
        <v>40</v>
      </c>
      <c r="V91" s="54">
        <v>10.199999999999999</v>
      </c>
      <c r="W91" s="55">
        <v>0</v>
      </c>
      <c r="X91" s="55">
        <v>0</v>
      </c>
      <c r="Y91" s="57">
        <v>15.19</v>
      </c>
      <c r="Z91" s="53">
        <v>39</v>
      </c>
      <c r="AA91" s="54">
        <v>10.199999999999999</v>
      </c>
      <c r="AB91" s="55">
        <v>0</v>
      </c>
      <c r="AC91" s="55">
        <v>0</v>
      </c>
      <c r="AD91" s="57">
        <v>15.19</v>
      </c>
      <c r="AE91" s="56">
        <v>35</v>
      </c>
      <c r="AF91" s="54">
        <v>10.4</v>
      </c>
      <c r="AG91" s="55">
        <v>0</v>
      </c>
      <c r="AH91" s="55">
        <v>0</v>
      </c>
      <c r="AI91" s="57">
        <v>16.149999999999999</v>
      </c>
      <c r="AJ91" s="56">
        <v>36</v>
      </c>
      <c r="AK91" s="54">
        <v>10.1</v>
      </c>
      <c r="AL91" s="54">
        <v>0</v>
      </c>
      <c r="AM91" s="54">
        <v>0</v>
      </c>
      <c r="AN91" s="57">
        <v>8.65</v>
      </c>
      <c r="AO91" s="53">
        <v>36</v>
      </c>
      <c r="AP91" s="54">
        <v>10.4</v>
      </c>
      <c r="AQ91" s="54">
        <v>130</v>
      </c>
      <c r="AR91" s="54">
        <v>0</v>
      </c>
      <c r="AS91" s="54">
        <v>11.53</v>
      </c>
      <c r="AT91" s="56">
        <v>0</v>
      </c>
      <c r="AU91" s="57">
        <v>0</v>
      </c>
      <c r="AV91" s="56">
        <v>94.681800842285199</v>
      </c>
      <c r="AW91" s="57">
        <v>281.99809512269371</v>
      </c>
      <c r="AX91" s="8"/>
      <c r="AZ91" s="1">
        <v>90</v>
      </c>
      <c r="BB91" s="82">
        <f t="shared" si="9"/>
        <v>35.859459999999999</v>
      </c>
    </row>
    <row r="92" spans="3:54" ht="15" customHeight="1" x14ac:dyDescent="0.25">
      <c r="C92" s="42"/>
      <c r="D92" s="43">
        <f>D88</f>
        <v>45723</v>
      </c>
      <c r="E92" s="44">
        <f t="shared" si="11"/>
        <v>6.5833333333333268</v>
      </c>
      <c r="F92" s="45">
        <f t="shared" si="10"/>
        <v>45723.583333333518</v>
      </c>
      <c r="G92" s="52">
        <v>0</v>
      </c>
      <c r="H92" s="53">
        <v>41</v>
      </c>
      <c r="I92" s="54">
        <v>10.199999999999999</v>
      </c>
      <c r="J92" s="54">
        <v>100</v>
      </c>
      <c r="K92" s="55">
        <v>0</v>
      </c>
      <c r="L92" s="56">
        <v>39</v>
      </c>
      <c r="M92" s="54">
        <v>10.199999999999999</v>
      </c>
      <c r="N92" s="54">
        <v>250</v>
      </c>
      <c r="O92" s="57">
        <v>0</v>
      </c>
      <c r="P92" s="53">
        <v>39</v>
      </c>
      <c r="Q92" s="54">
        <v>10.4</v>
      </c>
      <c r="R92" s="55">
        <v>0</v>
      </c>
      <c r="S92" s="55">
        <v>0</v>
      </c>
      <c r="T92" s="57">
        <v>14.23</v>
      </c>
      <c r="U92" s="56">
        <v>39</v>
      </c>
      <c r="V92" s="54">
        <v>10.3</v>
      </c>
      <c r="W92" s="55">
        <v>0</v>
      </c>
      <c r="X92" s="55">
        <v>0</v>
      </c>
      <c r="Y92" s="57">
        <v>15.38</v>
      </c>
      <c r="Z92" s="53">
        <v>40</v>
      </c>
      <c r="AA92" s="54">
        <v>10.1</v>
      </c>
      <c r="AB92" s="55">
        <v>0</v>
      </c>
      <c r="AC92" s="55">
        <v>0</v>
      </c>
      <c r="AD92" s="57">
        <v>15.57</v>
      </c>
      <c r="AE92" s="56">
        <v>36</v>
      </c>
      <c r="AF92" s="54">
        <v>10.199999999999999</v>
      </c>
      <c r="AG92" s="55">
        <v>0</v>
      </c>
      <c r="AH92" s="55">
        <v>0</v>
      </c>
      <c r="AI92" s="57">
        <v>15.96</v>
      </c>
      <c r="AJ92" s="56">
        <v>38</v>
      </c>
      <c r="AK92" s="54">
        <v>9.6999999999999993</v>
      </c>
      <c r="AL92" s="54">
        <v>0</v>
      </c>
      <c r="AM92" s="54">
        <v>0</v>
      </c>
      <c r="AN92" s="57">
        <v>9.61</v>
      </c>
      <c r="AO92" s="53">
        <v>34</v>
      </c>
      <c r="AP92" s="54">
        <v>10</v>
      </c>
      <c r="AQ92" s="54">
        <v>120</v>
      </c>
      <c r="AR92" s="54">
        <v>0</v>
      </c>
      <c r="AS92" s="54">
        <v>11.73</v>
      </c>
      <c r="AT92" s="56">
        <v>0</v>
      </c>
      <c r="AU92" s="57">
        <v>0</v>
      </c>
      <c r="AV92" s="56">
        <v>94.441726684570298</v>
      </c>
      <c r="AW92" s="57">
        <v>278.14356581208608</v>
      </c>
      <c r="AX92" s="8"/>
      <c r="AZ92" s="1">
        <v>90</v>
      </c>
      <c r="BB92" s="82">
        <f t="shared" si="9"/>
        <v>36.456159999999997</v>
      </c>
    </row>
    <row r="93" spans="3:54" ht="15" customHeight="1" x14ac:dyDescent="0.25">
      <c r="C93" s="42"/>
      <c r="D93" s="43">
        <f>D88</f>
        <v>45723</v>
      </c>
      <c r="E93" s="44">
        <f t="shared" si="11"/>
        <v>6.6666666666666599</v>
      </c>
      <c r="F93" s="45">
        <f t="shared" si="10"/>
        <v>45723.666666666853</v>
      </c>
      <c r="G93" s="52">
        <v>0</v>
      </c>
      <c r="H93" s="53">
        <v>41</v>
      </c>
      <c r="I93" s="54">
        <v>10.3</v>
      </c>
      <c r="J93" s="54">
        <v>100</v>
      </c>
      <c r="K93" s="55">
        <v>0</v>
      </c>
      <c r="L93" s="56">
        <v>39</v>
      </c>
      <c r="M93" s="54">
        <v>10.199999999999999</v>
      </c>
      <c r="N93" s="54">
        <v>250</v>
      </c>
      <c r="O93" s="57">
        <v>0</v>
      </c>
      <c r="P93" s="53">
        <v>38</v>
      </c>
      <c r="Q93" s="54">
        <v>10.6</v>
      </c>
      <c r="R93" s="55">
        <v>0</v>
      </c>
      <c r="S93" s="55">
        <v>0</v>
      </c>
      <c r="T93" s="57">
        <v>13.46</v>
      </c>
      <c r="U93" s="56">
        <v>40</v>
      </c>
      <c r="V93" s="54">
        <v>10.5</v>
      </c>
      <c r="W93" s="55">
        <v>0</v>
      </c>
      <c r="X93" s="55">
        <v>0</v>
      </c>
      <c r="Y93" s="57">
        <v>15.38</v>
      </c>
      <c r="Z93" s="53">
        <v>39</v>
      </c>
      <c r="AA93" s="54">
        <v>10.3</v>
      </c>
      <c r="AB93" s="55">
        <v>0</v>
      </c>
      <c r="AC93" s="55">
        <v>0</v>
      </c>
      <c r="AD93" s="57">
        <v>15.38</v>
      </c>
      <c r="AE93" s="56">
        <v>34</v>
      </c>
      <c r="AF93" s="54">
        <v>9.9</v>
      </c>
      <c r="AG93" s="55">
        <v>0</v>
      </c>
      <c r="AH93" s="55">
        <v>0</v>
      </c>
      <c r="AI93" s="57">
        <v>14.42</v>
      </c>
      <c r="AJ93" s="56">
        <v>39</v>
      </c>
      <c r="AK93" s="54">
        <v>9.3000000000000007</v>
      </c>
      <c r="AL93" s="54">
        <v>0</v>
      </c>
      <c r="AM93" s="54">
        <v>0</v>
      </c>
      <c r="AN93" s="57">
        <v>10.57</v>
      </c>
      <c r="AO93" s="53">
        <v>34</v>
      </c>
      <c r="AP93" s="54">
        <v>9.6999999999999993</v>
      </c>
      <c r="AQ93" s="54">
        <v>110</v>
      </c>
      <c r="AR93" s="54">
        <v>0</v>
      </c>
      <c r="AS93" s="54">
        <v>11.53</v>
      </c>
      <c r="AT93" s="56">
        <v>0</v>
      </c>
      <c r="AU93" s="57">
        <v>0</v>
      </c>
      <c r="AV93" s="56">
        <v>94.661453247070298</v>
      </c>
      <c r="AW93" s="57">
        <v>236.57419426894435</v>
      </c>
      <c r="AX93" s="8"/>
      <c r="AZ93" s="1">
        <v>90</v>
      </c>
      <c r="BB93" s="82">
        <f t="shared" si="9"/>
        <v>35.687080000000002</v>
      </c>
    </row>
    <row r="94" spans="3:54" ht="15" customHeight="1" x14ac:dyDescent="0.25">
      <c r="C94" s="42"/>
      <c r="D94" s="43">
        <f>D88</f>
        <v>45723</v>
      </c>
      <c r="E94" s="44">
        <f t="shared" si="11"/>
        <v>6.7499999999999929</v>
      </c>
      <c r="F94" s="45">
        <f t="shared" si="10"/>
        <v>45723.750000000189</v>
      </c>
      <c r="G94" s="52">
        <v>37</v>
      </c>
      <c r="H94" s="53">
        <v>40</v>
      </c>
      <c r="I94" s="54">
        <v>10.7</v>
      </c>
      <c r="J94" s="54">
        <v>150</v>
      </c>
      <c r="K94" s="55">
        <v>0</v>
      </c>
      <c r="L94" s="56">
        <v>39</v>
      </c>
      <c r="M94" s="54">
        <v>10.199999999999999</v>
      </c>
      <c r="N94" s="54">
        <v>8.65</v>
      </c>
      <c r="O94" s="57">
        <v>0</v>
      </c>
      <c r="P94" s="53">
        <v>39</v>
      </c>
      <c r="Q94" s="54">
        <v>10.4</v>
      </c>
      <c r="R94" s="55">
        <v>0</v>
      </c>
      <c r="S94" s="55">
        <v>0</v>
      </c>
      <c r="T94" s="57">
        <v>8.65</v>
      </c>
      <c r="U94" s="56">
        <v>39</v>
      </c>
      <c r="V94" s="54">
        <v>10.3</v>
      </c>
      <c r="W94" s="55">
        <v>0</v>
      </c>
      <c r="X94" s="55">
        <v>0</v>
      </c>
      <c r="Y94" s="57">
        <v>15.57</v>
      </c>
      <c r="Z94" s="53">
        <v>36</v>
      </c>
      <c r="AA94" s="54">
        <v>10.1</v>
      </c>
      <c r="AB94" s="55">
        <v>0</v>
      </c>
      <c r="AC94" s="55">
        <v>0</v>
      </c>
      <c r="AD94" s="57">
        <v>15.96</v>
      </c>
      <c r="AE94" s="56">
        <v>38</v>
      </c>
      <c r="AF94" s="54">
        <v>9.6999999999999993</v>
      </c>
      <c r="AG94" s="55">
        <v>0</v>
      </c>
      <c r="AH94" s="55">
        <v>0</v>
      </c>
      <c r="AI94" s="57">
        <v>15.38</v>
      </c>
      <c r="AJ94" s="56">
        <v>35</v>
      </c>
      <c r="AK94" s="54">
        <v>10</v>
      </c>
      <c r="AL94" s="54">
        <v>0</v>
      </c>
      <c r="AM94" s="54">
        <v>0</v>
      </c>
      <c r="AN94" s="57">
        <v>10.57</v>
      </c>
      <c r="AO94" s="53">
        <v>35</v>
      </c>
      <c r="AP94" s="54">
        <v>10</v>
      </c>
      <c r="AQ94" s="54">
        <v>110</v>
      </c>
      <c r="AR94" s="54">
        <v>0</v>
      </c>
      <c r="AS94" s="54">
        <v>11.92</v>
      </c>
      <c r="AT94" s="56">
        <v>29</v>
      </c>
      <c r="AU94" s="57">
        <v>80</v>
      </c>
      <c r="AV94" s="56">
        <v>94.677734375</v>
      </c>
      <c r="AW94" s="57">
        <v>260.00241155028345</v>
      </c>
      <c r="AX94" s="8"/>
      <c r="AZ94" s="1">
        <v>90</v>
      </c>
      <c r="BB94" s="82">
        <f t="shared" si="9"/>
        <v>34.498100000000001</v>
      </c>
    </row>
    <row r="95" spans="3:54" ht="15" customHeight="1" x14ac:dyDescent="0.25">
      <c r="C95" s="42"/>
      <c r="D95" s="43">
        <f>D88</f>
        <v>45723</v>
      </c>
      <c r="E95" s="44">
        <f t="shared" si="11"/>
        <v>6.8333333333333259</v>
      </c>
      <c r="F95" s="45">
        <f t="shared" si="10"/>
        <v>45723.833333333525</v>
      </c>
      <c r="G95" s="52">
        <v>38</v>
      </c>
      <c r="H95" s="53">
        <v>39</v>
      </c>
      <c r="I95" s="54">
        <v>11.3</v>
      </c>
      <c r="J95" s="54">
        <v>200</v>
      </c>
      <c r="K95" s="55">
        <v>0</v>
      </c>
      <c r="L95" s="56">
        <v>39</v>
      </c>
      <c r="M95" s="54">
        <v>10.6</v>
      </c>
      <c r="N95" s="54">
        <v>250</v>
      </c>
      <c r="O95" s="57">
        <v>0</v>
      </c>
      <c r="P95" s="53">
        <v>39</v>
      </c>
      <c r="Q95" s="54">
        <v>10.3</v>
      </c>
      <c r="R95" s="55">
        <v>0</v>
      </c>
      <c r="S95" s="55">
        <v>0</v>
      </c>
      <c r="T95" s="57">
        <v>9.23</v>
      </c>
      <c r="U95" s="56">
        <v>39</v>
      </c>
      <c r="V95" s="54">
        <v>10.199999999999999</v>
      </c>
      <c r="W95" s="55">
        <v>0</v>
      </c>
      <c r="X95" s="55">
        <v>0</v>
      </c>
      <c r="Y95" s="57">
        <v>15.38</v>
      </c>
      <c r="Z95" s="53">
        <v>39</v>
      </c>
      <c r="AA95" s="54">
        <v>10</v>
      </c>
      <c r="AB95" s="55">
        <v>0</v>
      </c>
      <c r="AC95" s="55">
        <v>0</v>
      </c>
      <c r="AD95" s="57">
        <v>16.34</v>
      </c>
      <c r="AE95" s="56">
        <v>34</v>
      </c>
      <c r="AF95" s="54">
        <v>9.9</v>
      </c>
      <c r="AG95" s="55">
        <v>0</v>
      </c>
      <c r="AH95" s="55">
        <v>0</v>
      </c>
      <c r="AI95" s="57">
        <v>15.38</v>
      </c>
      <c r="AJ95" s="56">
        <v>36</v>
      </c>
      <c r="AK95" s="54">
        <v>9.6</v>
      </c>
      <c r="AL95" s="54">
        <v>0</v>
      </c>
      <c r="AM95" s="54">
        <v>0</v>
      </c>
      <c r="AN95" s="57">
        <v>12.5</v>
      </c>
      <c r="AO95" s="53">
        <v>34</v>
      </c>
      <c r="AP95" s="54">
        <v>9.5</v>
      </c>
      <c r="AQ95" s="54">
        <v>110</v>
      </c>
      <c r="AR95" s="54">
        <v>0</v>
      </c>
      <c r="AS95" s="54">
        <v>10.57</v>
      </c>
      <c r="AT95" s="56">
        <v>28</v>
      </c>
      <c r="AU95" s="57">
        <v>80</v>
      </c>
      <c r="AV95" s="56">
        <v>94.490554809570298</v>
      </c>
      <c r="AW95" s="57">
        <v>282.10780836197858</v>
      </c>
      <c r="AX95" s="8"/>
      <c r="AZ95" s="1">
        <v>90</v>
      </c>
      <c r="BB95" s="82">
        <f t="shared" si="9"/>
        <v>35.094800000000006</v>
      </c>
    </row>
    <row r="96" spans="3:54" ht="15" customHeight="1" x14ac:dyDescent="0.25">
      <c r="C96" s="42"/>
      <c r="D96" s="43">
        <f>D88</f>
        <v>45723</v>
      </c>
      <c r="E96" s="44">
        <f t="shared" si="11"/>
        <v>6.916666666666659</v>
      </c>
      <c r="F96" s="45">
        <f t="shared" si="10"/>
        <v>45723.916666666861</v>
      </c>
      <c r="G96" s="52">
        <v>35</v>
      </c>
      <c r="H96" s="53">
        <v>39</v>
      </c>
      <c r="I96" s="54">
        <v>11</v>
      </c>
      <c r="J96" s="54">
        <v>200</v>
      </c>
      <c r="K96" s="55">
        <v>0</v>
      </c>
      <c r="L96" s="56">
        <v>39</v>
      </c>
      <c r="M96" s="54">
        <v>10.8</v>
      </c>
      <c r="N96" s="54">
        <v>250</v>
      </c>
      <c r="O96" s="57">
        <v>0</v>
      </c>
      <c r="P96" s="53">
        <v>38</v>
      </c>
      <c r="Q96" s="54">
        <v>10.4</v>
      </c>
      <c r="R96" s="55">
        <v>0</v>
      </c>
      <c r="S96" s="55">
        <v>0</v>
      </c>
      <c r="T96" s="57">
        <v>4.8</v>
      </c>
      <c r="U96" s="56">
        <v>38</v>
      </c>
      <c r="V96" s="54">
        <v>10.3</v>
      </c>
      <c r="W96" s="55">
        <v>0</v>
      </c>
      <c r="X96" s="55">
        <v>0</v>
      </c>
      <c r="Y96" s="57">
        <v>15.76</v>
      </c>
      <c r="Z96" s="53">
        <v>37</v>
      </c>
      <c r="AA96" s="54">
        <v>10.199999999999999</v>
      </c>
      <c r="AB96" s="55">
        <v>0</v>
      </c>
      <c r="AC96" s="55">
        <v>0</v>
      </c>
      <c r="AD96" s="57">
        <v>15.96</v>
      </c>
      <c r="AE96" s="56">
        <v>36</v>
      </c>
      <c r="AF96" s="54">
        <v>10</v>
      </c>
      <c r="AG96" s="55">
        <v>0</v>
      </c>
      <c r="AH96" s="55">
        <v>0</v>
      </c>
      <c r="AI96" s="57">
        <v>15.76</v>
      </c>
      <c r="AJ96" s="56">
        <v>36</v>
      </c>
      <c r="AK96" s="54">
        <v>9.6999999999999993</v>
      </c>
      <c r="AL96" s="54">
        <v>0</v>
      </c>
      <c r="AM96" s="54">
        <v>0</v>
      </c>
      <c r="AN96" s="57">
        <v>12.5</v>
      </c>
      <c r="AO96" s="53">
        <v>37</v>
      </c>
      <c r="AP96" s="54">
        <v>9.6999999999999993</v>
      </c>
      <c r="AQ96" s="54">
        <v>110</v>
      </c>
      <c r="AR96" s="54">
        <v>0</v>
      </c>
      <c r="AS96" s="54">
        <v>10.19</v>
      </c>
      <c r="AT96" s="56">
        <v>29</v>
      </c>
      <c r="AU96" s="57">
        <v>90</v>
      </c>
      <c r="AV96" s="56">
        <v>94.474281311035199</v>
      </c>
      <c r="AW96" s="57">
        <v>283.81522474816688</v>
      </c>
      <c r="AX96" s="8"/>
      <c r="AZ96" s="1">
        <v>90</v>
      </c>
      <c r="BB96" s="82">
        <f t="shared" si="9"/>
        <v>33.136740000000003</v>
      </c>
    </row>
    <row r="97" spans="3:54" ht="15" customHeight="1" x14ac:dyDescent="0.25">
      <c r="C97" s="42"/>
      <c r="D97" s="43">
        <f>D88</f>
        <v>45723</v>
      </c>
      <c r="E97" s="44">
        <f t="shared" si="11"/>
        <v>6.999999999999992</v>
      </c>
      <c r="F97" s="45">
        <f t="shared" si="10"/>
        <v>45724.000000000196</v>
      </c>
      <c r="G97" s="52">
        <v>41</v>
      </c>
      <c r="H97" s="53">
        <v>39</v>
      </c>
      <c r="I97" s="54">
        <v>11</v>
      </c>
      <c r="J97" s="54">
        <v>150</v>
      </c>
      <c r="K97" s="55">
        <v>0</v>
      </c>
      <c r="L97" s="56">
        <v>39</v>
      </c>
      <c r="M97" s="54">
        <v>10.8</v>
      </c>
      <c r="N97" s="54">
        <v>200</v>
      </c>
      <c r="O97" s="57">
        <v>0</v>
      </c>
      <c r="P97" s="53">
        <v>38</v>
      </c>
      <c r="Q97" s="54">
        <v>10.7</v>
      </c>
      <c r="R97" s="55">
        <v>0</v>
      </c>
      <c r="S97" s="55">
        <v>0</v>
      </c>
      <c r="T97" s="57">
        <v>12.88</v>
      </c>
      <c r="U97" s="56">
        <v>38</v>
      </c>
      <c r="V97" s="54">
        <v>10.7</v>
      </c>
      <c r="W97" s="55">
        <v>0</v>
      </c>
      <c r="X97" s="55">
        <v>0</v>
      </c>
      <c r="Y97" s="57">
        <v>15.34</v>
      </c>
      <c r="Z97" s="53">
        <v>38</v>
      </c>
      <c r="AA97" s="54">
        <v>10.4</v>
      </c>
      <c r="AB97" s="55">
        <v>0</v>
      </c>
      <c r="AC97" s="55">
        <v>0</v>
      </c>
      <c r="AD97" s="57">
        <v>14.42</v>
      </c>
      <c r="AE97" s="56">
        <v>34</v>
      </c>
      <c r="AF97" s="54">
        <v>10.1</v>
      </c>
      <c r="AG97" s="55">
        <v>0</v>
      </c>
      <c r="AH97" s="55">
        <v>0</v>
      </c>
      <c r="AI97" s="57">
        <v>14.42</v>
      </c>
      <c r="AJ97" s="56">
        <v>34</v>
      </c>
      <c r="AK97" s="54">
        <v>10</v>
      </c>
      <c r="AL97" s="54">
        <v>0</v>
      </c>
      <c r="AM97" s="54">
        <v>0</v>
      </c>
      <c r="AN97" s="57">
        <v>11.53</v>
      </c>
      <c r="AO97" s="53">
        <v>34</v>
      </c>
      <c r="AP97" s="54">
        <v>9.8000000000000007</v>
      </c>
      <c r="AQ97" s="54">
        <v>120</v>
      </c>
      <c r="AR97" s="54">
        <v>0</v>
      </c>
      <c r="AS97" s="54">
        <v>12.5</v>
      </c>
      <c r="AT97" s="56">
        <v>30</v>
      </c>
      <c r="AU97" s="57">
        <v>100</v>
      </c>
      <c r="AV97" s="56">
        <v>52.579753875732401</v>
      </c>
      <c r="AW97" s="57">
        <v>392.2166758219401</v>
      </c>
      <c r="AX97" s="8"/>
      <c r="AZ97" s="1">
        <v>90</v>
      </c>
      <c r="BB97" s="82">
        <f t="shared" si="9"/>
        <v>35.84178</v>
      </c>
    </row>
    <row r="98" spans="3:54" ht="15" customHeight="1" x14ac:dyDescent="0.25">
      <c r="C98" s="42"/>
      <c r="D98" s="43">
        <f>D88</f>
        <v>45723</v>
      </c>
      <c r="E98" s="44">
        <f t="shared" si="11"/>
        <v>7.083333333333325</v>
      </c>
      <c r="F98" s="45">
        <f t="shared" si="10"/>
        <v>45724.083333333532</v>
      </c>
      <c r="G98" s="52">
        <v>40</v>
      </c>
      <c r="H98" s="53">
        <v>38</v>
      </c>
      <c r="I98" s="54">
        <v>11</v>
      </c>
      <c r="J98" s="54">
        <v>150</v>
      </c>
      <c r="K98" s="55">
        <v>0</v>
      </c>
      <c r="L98" s="56">
        <v>38</v>
      </c>
      <c r="M98" s="54">
        <v>11</v>
      </c>
      <c r="N98" s="54">
        <v>200</v>
      </c>
      <c r="O98" s="57">
        <v>0</v>
      </c>
      <c r="P98" s="53">
        <v>37</v>
      </c>
      <c r="Q98" s="54">
        <v>10.7</v>
      </c>
      <c r="R98" s="55">
        <v>0</v>
      </c>
      <c r="S98" s="55">
        <v>0</v>
      </c>
      <c r="T98" s="57">
        <v>15.38</v>
      </c>
      <c r="U98" s="56">
        <v>37</v>
      </c>
      <c r="V98" s="54">
        <v>10.7</v>
      </c>
      <c r="W98" s="55">
        <v>0</v>
      </c>
      <c r="X98" s="55">
        <v>0</v>
      </c>
      <c r="Y98" s="57">
        <v>10.57</v>
      </c>
      <c r="Z98" s="53">
        <v>37</v>
      </c>
      <c r="AA98" s="54">
        <v>10.3</v>
      </c>
      <c r="AB98" s="55">
        <v>0</v>
      </c>
      <c r="AC98" s="55">
        <v>0</v>
      </c>
      <c r="AD98" s="57">
        <v>10.57</v>
      </c>
      <c r="AE98" s="56">
        <v>35</v>
      </c>
      <c r="AF98" s="54">
        <v>10.1</v>
      </c>
      <c r="AG98" s="55">
        <v>0</v>
      </c>
      <c r="AH98" s="55">
        <v>0</v>
      </c>
      <c r="AI98" s="57">
        <v>13.07</v>
      </c>
      <c r="AJ98" s="56">
        <v>35</v>
      </c>
      <c r="AK98" s="54">
        <v>10</v>
      </c>
      <c r="AL98" s="54">
        <v>0</v>
      </c>
      <c r="AM98" s="54">
        <v>0</v>
      </c>
      <c r="AN98" s="57">
        <v>11.92</v>
      </c>
      <c r="AO98" s="53">
        <v>35</v>
      </c>
      <c r="AP98" s="54">
        <v>9.8000000000000007</v>
      </c>
      <c r="AQ98" s="54">
        <v>120</v>
      </c>
      <c r="AR98" s="54">
        <v>0</v>
      </c>
      <c r="AS98" s="54">
        <v>11.92</v>
      </c>
      <c r="AT98" s="56">
        <v>29</v>
      </c>
      <c r="AU98" s="57">
        <v>100</v>
      </c>
      <c r="AV98" s="56">
        <v>55.757648468017599</v>
      </c>
      <c r="AW98" s="57">
        <v>381.40769627889</v>
      </c>
      <c r="AX98" s="8"/>
      <c r="AZ98" s="1">
        <v>90</v>
      </c>
      <c r="BB98" s="82">
        <f t="shared" si="9"/>
        <v>32.456060000000001</v>
      </c>
    </row>
    <row r="99" spans="3:54" ht="15" customHeight="1" x14ac:dyDescent="0.25">
      <c r="C99" s="42"/>
      <c r="D99" s="69">
        <f>D88</f>
        <v>45723</v>
      </c>
      <c r="E99" s="70">
        <f t="shared" si="11"/>
        <v>7.1666666666666581</v>
      </c>
      <c r="F99" s="71">
        <f t="shared" si="10"/>
        <v>45724.166666666868</v>
      </c>
      <c r="G99" s="60">
        <v>40</v>
      </c>
      <c r="H99" s="61">
        <v>40</v>
      </c>
      <c r="I99" s="62">
        <v>11</v>
      </c>
      <c r="J99" s="62">
        <v>150</v>
      </c>
      <c r="K99" s="63">
        <v>0</v>
      </c>
      <c r="L99" s="64">
        <v>40</v>
      </c>
      <c r="M99" s="62">
        <v>11</v>
      </c>
      <c r="N99" s="62">
        <v>200</v>
      </c>
      <c r="O99" s="65">
        <v>0</v>
      </c>
      <c r="P99" s="61">
        <v>38</v>
      </c>
      <c r="Q99" s="62">
        <v>10.8</v>
      </c>
      <c r="R99" s="63">
        <v>0</v>
      </c>
      <c r="S99" s="63">
        <v>0</v>
      </c>
      <c r="T99" s="65">
        <v>14.42</v>
      </c>
      <c r="U99" s="64">
        <v>38</v>
      </c>
      <c r="V99" s="62">
        <v>10.8</v>
      </c>
      <c r="W99" s="63">
        <v>0</v>
      </c>
      <c r="X99" s="63">
        <v>0</v>
      </c>
      <c r="Y99" s="65">
        <v>12.5</v>
      </c>
      <c r="Z99" s="61">
        <v>38</v>
      </c>
      <c r="AA99" s="62">
        <v>10.6</v>
      </c>
      <c r="AB99" s="63">
        <v>0</v>
      </c>
      <c r="AC99" s="63">
        <v>0</v>
      </c>
      <c r="AD99" s="65">
        <v>12.5</v>
      </c>
      <c r="AE99" s="64">
        <v>34</v>
      </c>
      <c r="AF99" s="62">
        <v>10.4</v>
      </c>
      <c r="AG99" s="63">
        <v>0</v>
      </c>
      <c r="AH99" s="63">
        <v>0</v>
      </c>
      <c r="AI99" s="65">
        <v>9.61</v>
      </c>
      <c r="AJ99" s="64">
        <v>35</v>
      </c>
      <c r="AK99" s="62">
        <v>10.199999999999999</v>
      </c>
      <c r="AL99" s="62">
        <v>0</v>
      </c>
      <c r="AM99" s="62">
        <v>0</v>
      </c>
      <c r="AN99" s="65">
        <v>12.5</v>
      </c>
      <c r="AO99" s="61">
        <v>36</v>
      </c>
      <c r="AP99" s="62">
        <v>10</v>
      </c>
      <c r="AQ99" s="62">
        <v>130</v>
      </c>
      <c r="AR99" s="62">
        <v>0</v>
      </c>
      <c r="AS99" s="62">
        <v>12.5</v>
      </c>
      <c r="AT99" s="64">
        <v>27</v>
      </c>
      <c r="AU99" s="65">
        <v>100</v>
      </c>
      <c r="AV99" s="64">
        <v>58.426921844482401</v>
      </c>
      <c r="AW99" s="65">
        <v>375.61065368652345</v>
      </c>
      <c r="AX99" s="8"/>
      <c r="AZ99" s="1">
        <v>90</v>
      </c>
      <c r="BB99" s="82">
        <f t="shared" si="9"/>
        <v>32.721260000000001</v>
      </c>
    </row>
    <row r="100" spans="3:54" ht="15" customHeight="1" x14ac:dyDescent="0.25">
      <c r="C100" s="42">
        <f>C88+1</f>
        <v>8</v>
      </c>
      <c r="D100" s="66">
        <f>DATE([3]Dash!$F$3,VLOOKUP([3]Dash!$E$3,[3]Abb!$C$3:$D$14,2,FALSE),C100)</f>
        <v>45724</v>
      </c>
      <c r="E100" s="67">
        <f>E99+2/24</f>
        <v>7.2499999999999911</v>
      </c>
      <c r="F100" s="68">
        <f t="shared" si="10"/>
        <v>45724.250000000204</v>
      </c>
      <c r="G100" s="46">
        <v>40</v>
      </c>
      <c r="H100" s="47">
        <v>39</v>
      </c>
      <c r="I100" s="48">
        <v>11</v>
      </c>
      <c r="J100" s="48">
        <v>150</v>
      </c>
      <c r="K100" s="49">
        <v>0</v>
      </c>
      <c r="L100" s="50">
        <v>39</v>
      </c>
      <c r="M100" s="48">
        <v>10.9</v>
      </c>
      <c r="N100" s="48">
        <v>200</v>
      </c>
      <c r="O100" s="51">
        <v>0</v>
      </c>
      <c r="P100" s="47">
        <v>38</v>
      </c>
      <c r="Q100" s="48">
        <v>10.9</v>
      </c>
      <c r="R100" s="49">
        <v>0</v>
      </c>
      <c r="S100" s="49">
        <v>0</v>
      </c>
      <c r="T100" s="51">
        <v>16.34</v>
      </c>
      <c r="U100" s="50">
        <v>38</v>
      </c>
      <c r="V100" s="48">
        <v>10.7</v>
      </c>
      <c r="W100" s="49">
        <v>0</v>
      </c>
      <c r="X100" s="49">
        <v>0</v>
      </c>
      <c r="Y100" s="51">
        <v>12.38</v>
      </c>
      <c r="Z100" s="47">
        <v>37</v>
      </c>
      <c r="AA100" s="48">
        <v>10.7</v>
      </c>
      <c r="AB100" s="49">
        <v>0</v>
      </c>
      <c r="AC100" s="49">
        <v>0</v>
      </c>
      <c r="AD100" s="51">
        <v>14.42</v>
      </c>
      <c r="AE100" s="50">
        <v>35</v>
      </c>
      <c r="AF100" s="48">
        <v>10.5</v>
      </c>
      <c r="AG100" s="49">
        <v>0</v>
      </c>
      <c r="AH100" s="49">
        <v>0</v>
      </c>
      <c r="AI100" s="51">
        <v>10.57</v>
      </c>
      <c r="AJ100" s="50">
        <v>36</v>
      </c>
      <c r="AK100" s="48">
        <v>10.199999999999999</v>
      </c>
      <c r="AL100" s="48">
        <v>0</v>
      </c>
      <c r="AM100" s="48">
        <v>0</v>
      </c>
      <c r="AN100" s="51">
        <v>7.69</v>
      </c>
      <c r="AO100" s="47">
        <v>35</v>
      </c>
      <c r="AP100" s="48">
        <v>10.1</v>
      </c>
      <c r="AQ100" s="48">
        <v>130</v>
      </c>
      <c r="AR100" s="48">
        <v>0</v>
      </c>
      <c r="AS100" s="48">
        <v>12.5</v>
      </c>
      <c r="AT100" s="50">
        <v>26</v>
      </c>
      <c r="AU100" s="51">
        <v>110</v>
      </c>
      <c r="AV100" s="50">
        <v>60.917156219482401</v>
      </c>
      <c r="AW100" s="51">
        <v>368.04265543619789</v>
      </c>
      <c r="AX100" s="8"/>
      <c r="AZ100" s="1">
        <v>90</v>
      </c>
      <c r="BB100" s="82">
        <f t="shared" si="9"/>
        <v>32.663800000000002</v>
      </c>
    </row>
    <row r="101" spans="3:54" ht="15" customHeight="1" x14ac:dyDescent="0.25">
      <c r="C101" s="42"/>
      <c r="D101" s="43">
        <f>D100</f>
        <v>45724</v>
      </c>
      <c r="E101" s="44">
        <f>E100+2/24</f>
        <v>7.3333333333333242</v>
      </c>
      <c r="F101" s="45">
        <f t="shared" si="10"/>
        <v>45724.333333333539</v>
      </c>
      <c r="G101" s="52">
        <v>42</v>
      </c>
      <c r="H101" s="53">
        <v>42</v>
      </c>
      <c r="I101" s="54">
        <v>11.2</v>
      </c>
      <c r="J101" s="54">
        <v>250</v>
      </c>
      <c r="K101" s="55">
        <v>0</v>
      </c>
      <c r="L101" s="56">
        <v>42</v>
      </c>
      <c r="M101" s="54">
        <v>11.3</v>
      </c>
      <c r="N101" s="54">
        <v>250</v>
      </c>
      <c r="O101" s="57">
        <v>0</v>
      </c>
      <c r="P101" s="53">
        <v>40</v>
      </c>
      <c r="Q101" s="54">
        <v>11.3</v>
      </c>
      <c r="R101" s="55">
        <v>0</v>
      </c>
      <c r="S101" s="55">
        <v>0</v>
      </c>
      <c r="T101" s="57">
        <v>14.42</v>
      </c>
      <c r="U101" s="56">
        <v>39</v>
      </c>
      <c r="V101" s="54">
        <v>11.2</v>
      </c>
      <c r="W101" s="55">
        <v>0</v>
      </c>
      <c r="X101" s="55">
        <v>0</v>
      </c>
      <c r="Y101" s="57">
        <v>13.46</v>
      </c>
      <c r="Z101" s="53">
        <v>38</v>
      </c>
      <c r="AA101" s="54">
        <v>11</v>
      </c>
      <c r="AB101" s="55">
        <v>0</v>
      </c>
      <c r="AC101" s="55">
        <v>0</v>
      </c>
      <c r="AD101" s="57">
        <v>16.34</v>
      </c>
      <c r="AE101" s="56">
        <v>37</v>
      </c>
      <c r="AF101" s="54">
        <v>10.8</v>
      </c>
      <c r="AG101" s="55">
        <v>0</v>
      </c>
      <c r="AH101" s="55">
        <v>0</v>
      </c>
      <c r="AI101" s="57">
        <v>12.5</v>
      </c>
      <c r="AJ101" s="56">
        <v>37</v>
      </c>
      <c r="AK101" s="54">
        <v>10.6</v>
      </c>
      <c r="AL101" s="54">
        <v>0</v>
      </c>
      <c r="AM101" s="54">
        <v>0</v>
      </c>
      <c r="AN101" s="57">
        <v>5.76</v>
      </c>
      <c r="AO101" s="53">
        <v>72</v>
      </c>
      <c r="AP101" s="54">
        <v>10.4</v>
      </c>
      <c r="AQ101" s="54">
        <v>150</v>
      </c>
      <c r="AR101" s="54">
        <v>0</v>
      </c>
      <c r="AS101" s="54">
        <v>12.5</v>
      </c>
      <c r="AT101" s="56">
        <v>33</v>
      </c>
      <c r="AU101" s="57">
        <v>150</v>
      </c>
      <c r="AV101" s="56">
        <v>62.410480499267599</v>
      </c>
      <c r="AW101" s="57">
        <v>364.82747433980308</v>
      </c>
      <c r="AX101" s="8"/>
      <c r="AZ101" s="1">
        <v>90</v>
      </c>
      <c r="BB101" s="82">
        <f t="shared" si="9"/>
        <v>33.141160000000006</v>
      </c>
    </row>
    <row r="102" spans="3:54" ht="15" customHeight="1" x14ac:dyDescent="0.25">
      <c r="C102" s="42"/>
      <c r="D102" s="43">
        <f>D100</f>
        <v>45724</v>
      </c>
      <c r="E102" s="44">
        <f t="shared" ref="E102:E111" si="12">E101+2/24</f>
        <v>7.4166666666666572</v>
      </c>
      <c r="F102" s="45">
        <f t="shared" si="10"/>
        <v>45724.416666666875</v>
      </c>
      <c r="G102" s="52">
        <v>0</v>
      </c>
      <c r="H102" s="53">
        <v>42</v>
      </c>
      <c r="I102" s="54">
        <v>11.1</v>
      </c>
      <c r="J102" s="54">
        <v>250</v>
      </c>
      <c r="K102" s="55">
        <v>0</v>
      </c>
      <c r="L102" s="56">
        <v>43</v>
      </c>
      <c r="M102" s="54">
        <v>11.2</v>
      </c>
      <c r="N102" s="54">
        <v>250</v>
      </c>
      <c r="O102" s="57">
        <v>0</v>
      </c>
      <c r="P102" s="53">
        <v>40</v>
      </c>
      <c r="Q102" s="54">
        <v>11.3</v>
      </c>
      <c r="R102" s="55">
        <v>0</v>
      </c>
      <c r="S102" s="55">
        <v>0</v>
      </c>
      <c r="T102" s="57">
        <v>15</v>
      </c>
      <c r="U102" s="56">
        <v>40</v>
      </c>
      <c r="V102" s="54">
        <v>11.2</v>
      </c>
      <c r="W102" s="55">
        <v>0</v>
      </c>
      <c r="X102" s="55">
        <v>0</v>
      </c>
      <c r="Y102" s="57">
        <v>13.84</v>
      </c>
      <c r="Z102" s="53">
        <v>38</v>
      </c>
      <c r="AA102" s="54">
        <v>11</v>
      </c>
      <c r="AB102" s="55">
        <v>0</v>
      </c>
      <c r="AC102" s="55">
        <v>0</v>
      </c>
      <c r="AD102" s="57">
        <v>16.149999999999999</v>
      </c>
      <c r="AE102" s="56">
        <v>37</v>
      </c>
      <c r="AF102" s="54">
        <v>10.8</v>
      </c>
      <c r="AG102" s="55">
        <v>0</v>
      </c>
      <c r="AH102" s="55">
        <v>0</v>
      </c>
      <c r="AI102" s="57">
        <v>12.88</v>
      </c>
      <c r="AJ102" s="56">
        <v>36</v>
      </c>
      <c r="AK102" s="54">
        <v>10.7</v>
      </c>
      <c r="AL102" s="54">
        <v>0</v>
      </c>
      <c r="AM102" s="54">
        <v>0</v>
      </c>
      <c r="AN102" s="57">
        <v>5.97</v>
      </c>
      <c r="AO102" s="53">
        <v>36</v>
      </c>
      <c r="AP102" s="54">
        <v>10.4</v>
      </c>
      <c r="AQ102" s="54">
        <v>150</v>
      </c>
      <c r="AR102" s="54">
        <v>0</v>
      </c>
      <c r="AS102" s="54">
        <v>12.5</v>
      </c>
      <c r="AT102" s="56">
        <v>32</v>
      </c>
      <c r="AU102" s="57">
        <v>130</v>
      </c>
      <c r="AV102" s="56">
        <v>62.654621124267599</v>
      </c>
      <c r="AW102" s="57">
        <v>365.97342821756996</v>
      </c>
      <c r="AX102" s="8"/>
      <c r="AZ102" s="1">
        <v>90</v>
      </c>
      <c r="BB102" s="82">
        <f t="shared" si="9"/>
        <v>33.742280000000001</v>
      </c>
    </row>
    <row r="103" spans="3:54" ht="15" customHeight="1" x14ac:dyDescent="0.25">
      <c r="C103" s="42"/>
      <c r="D103" s="43">
        <f>D100</f>
        <v>45724</v>
      </c>
      <c r="E103" s="44">
        <f t="shared" si="12"/>
        <v>7.4999999999999902</v>
      </c>
      <c r="F103" s="45">
        <f t="shared" si="10"/>
        <v>45724.500000000211</v>
      </c>
      <c r="G103" s="52">
        <v>0</v>
      </c>
      <c r="H103" s="53">
        <v>41</v>
      </c>
      <c r="I103" s="54">
        <v>11</v>
      </c>
      <c r="J103" s="54">
        <v>250</v>
      </c>
      <c r="K103" s="55">
        <v>0</v>
      </c>
      <c r="L103" s="56">
        <v>42</v>
      </c>
      <c r="M103" s="54">
        <v>11.2</v>
      </c>
      <c r="N103" s="54">
        <v>250</v>
      </c>
      <c r="O103" s="57">
        <v>0</v>
      </c>
      <c r="P103" s="53">
        <v>39</v>
      </c>
      <c r="Q103" s="54">
        <v>11.3</v>
      </c>
      <c r="R103" s="55">
        <v>0</v>
      </c>
      <c r="S103" s="55">
        <v>0</v>
      </c>
      <c r="T103" s="57">
        <v>14.61</v>
      </c>
      <c r="U103" s="56">
        <v>39</v>
      </c>
      <c r="V103" s="54">
        <v>11.2</v>
      </c>
      <c r="W103" s="55">
        <v>0</v>
      </c>
      <c r="X103" s="55">
        <v>0</v>
      </c>
      <c r="Y103" s="57">
        <v>13.65</v>
      </c>
      <c r="Z103" s="53">
        <v>37</v>
      </c>
      <c r="AA103" s="54">
        <v>11</v>
      </c>
      <c r="AB103" s="55">
        <v>0</v>
      </c>
      <c r="AC103" s="55">
        <v>0</v>
      </c>
      <c r="AD103" s="57">
        <v>15.96</v>
      </c>
      <c r="AE103" s="56">
        <v>38</v>
      </c>
      <c r="AF103" s="54">
        <v>10.9</v>
      </c>
      <c r="AG103" s="55">
        <v>0</v>
      </c>
      <c r="AH103" s="55">
        <v>0</v>
      </c>
      <c r="AI103" s="57">
        <v>12.3</v>
      </c>
      <c r="AJ103" s="56">
        <v>37</v>
      </c>
      <c r="AK103" s="54">
        <v>10.7</v>
      </c>
      <c r="AL103" s="54">
        <v>0</v>
      </c>
      <c r="AM103" s="54">
        <v>0</v>
      </c>
      <c r="AN103" s="57">
        <v>6.73</v>
      </c>
      <c r="AO103" s="53">
        <v>36</v>
      </c>
      <c r="AP103" s="54">
        <v>10.4</v>
      </c>
      <c r="AQ103" s="54">
        <v>140</v>
      </c>
      <c r="AR103" s="54">
        <v>0</v>
      </c>
      <c r="AS103" s="54">
        <v>12.69</v>
      </c>
      <c r="AT103" s="56">
        <v>30</v>
      </c>
      <c r="AU103" s="57">
        <v>120</v>
      </c>
      <c r="AV103" s="56">
        <v>62.3291015625</v>
      </c>
      <c r="AW103" s="57">
        <v>367.8865256627401</v>
      </c>
      <c r="AX103" s="8"/>
      <c r="AZ103" s="1">
        <v>90</v>
      </c>
      <c r="BB103" s="82">
        <f t="shared" si="9"/>
        <v>33.565480000000001</v>
      </c>
    </row>
    <row r="104" spans="3:54" ht="15" customHeight="1" x14ac:dyDescent="0.25">
      <c r="C104" s="42"/>
      <c r="D104" s="43">
        <f>D100</f>
        <v>45724</v>
      </c>
      <c r="E104" s="44">
        <f t="shared" si="12"/>
        <v>7.5833333333333233</v>
      </c>
      <c r="F104" s="45">
        <f t="shared" si="10"/>
        <v>45724.583333333547</v>
      </c>
      <c r="G104" s="52">
        <v>0</v>
      </c>
      <c r="H104" s="53">
        <v>40</v>
      </c>
      <c r="I104" s="54">
        <v>11</v>
      </c>
      <c r="J104" s="54">
        <v>250</v>
      </c>
      <c r="K104" s="55">
        <v>0</v>
      </c>
      <c r="L104" s="56">
        <v>40</v>
      </c>
      <c r="M104" s="54">
        <v>11</v>
      </c>
      <c r="N104" s="54">
        <v>200</v>
      </c>
      <c r="O104" s="57">
        <v>0</v>
      </c>
      <c r="P104" s="53">
        <v>39</v>
      </c>
      <c r="Q104" s="54">
        <v>11.2</v>
      </c>
      <c r="R104" s="55">
        <v>0</v>
      </c>
      <c r="S104" s="55">
        <v>0</v>
      </c>
      <c r="T104" s="57">
        <v>13.46</v>
      </c>
      <c r="U104" s="56">
        <v>38</v>
      </c>
      <c r="V104" s="54">
        <v>11.2</v>
      </c>
      <c r="W104" s="55">
        <v>0</v>
      </c>
      <c r="X104" s="55">
        <v>0</v>
      </c>
      <c r="Y104" s="57">
        <v>13.26</v>
      </c>
      <c r="Z104" s="53">
        <v>37</v>
      </c>
      <c r="AA104" s="54">
        <v>10.9</v>
      </c>
      <c r="AB104" s="55">
        <v>0</v>
      </c>
      <c r="AC104" s="55">
        <v>0</v>
      </c>
      <c r="AD104" s="57">
        <v>15</v>
      </c>
      <c r="AE104" s="56">
        <v>37</v>
      </c>
      <c r="AF104" s="54">
        <v>10.9</v>
      </c>
      <c r="AG104" s="55">
        <v>0</v>
      </c>
      <c r="AH104" s="55">
        <v>0</v>
      </c>
      <c r="AI104" s="57">
        <v>12.5</v>
      </c>
      <c r="AJ104" s="56">
        <v>37</v>
      </c>
      <c r="AK104" s="54">
        <v>10.6</v>
      </c>
      <c r="AL104" s="54">
        <v>0</v>
      </c>
      <c r="AM104" s="54">
        <v>0</v>
      </c>
      <c r="AN104" s="57">
        <v>5.96</v>
      </c>
      <c r="AO104" s="53">
        <v>36</v>
      </c>
      <c r="AP104" s="54">
        <v>10.4</v>
      </c>
      <c r="AQ104" s="54">
        <v>120</v>
      </c>
      <c r="AR104" s="54">
        <v>0</v>
      </c>
      <c r="AS104" s="54">
        <v>12.5</v>
      </c>
      <c r="AT104" s="56">
        <v>0</v>
      </c>
      <c r="AU104" s="57">
        <v>0</v>
      </c>
      <c r="AV104" s="56">
        <v>61.4990234375</v>
      </c>
      <c r="AW104" s="57">
        <v>370.96293907165528</v>
      </c>
      <c r="AX104" s="8"/>
      <c r="AZ104" s="1">
        <v>90</v>
      </c>
      <c r="BB104" s="82">
        <f t="shared" si="9"/>
        <v>32.124560000000002</v>
      </c>
    </row>
    <row r="105" spans="3:54" ht="15" customHeight="1" x14ac:dyDescent="0.25">
      <c r="C105" s="42"/>
      <c r="D105" s="43">
        <f>D100</f>
        <v>45724</v>
      </c>
      <c r="E105" s="44">
        <f t="shared" si="12"/>
        <v>7.6666666666666563</v>
      </c>
      <c r="F105" s="45">
        <f t="shared" si="10"/>
        <v>45724.666666666883</v>
      </c>
      <c r="G105" s="52">
        <v>0</v>
      </c>
      <c r="H105" s="53">
        <v>38</v>
      </c>
      <c r="I105" s="54">
        <v>10.9</v>
      </c>
      <c r="J105" s="54">
        <v>250</v>
      </c>
      <c r="K105" s="55">
        <v>0</v>
      </c>
      <c r="L105" s="56">
        <v>38</v>
      </c>
      <c r="M105" s="54">
        <v>11</v>
      </c>
      <c r="N105" s="54">
        <v>200</v>
      </c>
      <c r="O105" s="57">
        <v>0</v>
      </c>
      <c r="P105" s="53">
        <v>36</v>
      </c>
      <c r="Q105" s="54">
        <v>11.2</v>
      </c>
      <c r="R105" s="55">
        <v>0</v>
      </c>
      <c r="S105" s="55">
        <v>0</v>
      </c>
      <c r="T105" s="57">
        <v>10.57</v>
      </c>
      <c r="U105" s="56">
        <v>39</v>
      </c>
      <c r="V105" s="54">
        <v>11.2</v>
      </c>
      <c r="W105" s="55">
        <v>0</v>
      </c>
      <c r="X105" s="55">
        <v>0</v>
      </c>
      <c r="Y105" s="57">
        <v>13.46</v>
      </c>
      <c r="Z105" s="53">
        <v>38</v>
      </c>
      <c r="AA105" s="54">
        <v>10.9</v>
      </c>
      <c r="AB105" s="55">
        <v>0</v>
      </c>
      <c r="AC105" s="55">
        <v>0</v>
      </c>
      <c r="AD105" s="57">
        <v>14.42</v>
      </c>
      <c r="AE105" s="56">
        <v>36</v>
      </c>
      <c r="AF105" s="54">
        <v>10.9</v>
      </c>
      <c r="AG105" s="55">
        <v>0</v>
      </c>
      <c r="AH105" s="55">
        <v>0</v>
      </c>
      <c r="AI105" s="57">
        <v>12.5</v>
      </c>
      <c r="AJ105" s="56">
        <v>37</v>
      </c>
      <c r="AK105" s="54">
        <v>10.6</v>
      </c>
      <c r="AL105" s="54">
        <v>0</v>
      </c>
      <c r="AM105" s="54">
        <v>0</v>
      </c>
      <c r="AN105" s="57">
        <v>5.76</v>
      </c>
      <c r="AO105" s="53">
        <v>36</v>
      </c>
      <c r="AP105" s="54">
        <v>10.4</v>
      </c>
      <c r="AQ105" s="54">
        <v>110</v>
      </c>
      <c r="AR105" s="54">
        <v>0</v>
      </c>
      <c r="AS105" s="54">
        <v>12.5</v>
      </c>
      <c r="AT105" s="56">
        <v>0</v>
      </c>
      <c r="AU105" s="57">
        <v>0</v>
      </c>
      <c r="AV105" s="56">
        <v>0</v>
      </c>
      <c r="AW105" s="57">
        <v>387.75366541544594</v>
      </c>
      <c r="AX105" s="8"/>
      <c r="AZ105" s="1">
        <v>90</v>
      </c>
      <c r="BB105" s="82">
        <f t="shared" si="9"/>
        <v>30.590820000000001</v>
      </c>
    </row>
    <row r="106" spans="3:54" ht="15" customHeight="1" x14ac:dyDescent="0.25">
      <c r="C106" s="42"/>
      <c r="D106" s="43">
        <f>D100</f>
        <v>45724</v>
      </c>
      <c r="E106" s="44">
        <f t="shared" si="12"/>
        <v>7.7499999999999893</v>
      </c>
      <c r="F106" s="45">
        <f t="shared" si="10"/>
        <v>45724.750000000218</v>
      </c>
      <c r="G106" s="52">
        <v>42</v>
      </c>
      <c r="H106" s="53">
        <v>40</v>
      </c>
      <c r="I106" s="54">
        <v>10.4</v>
      </c>
      <c r="J106" s="54">
        <v>200</v>
      </c>
      <c r="K106" s="55">
        <v>0</v>
      </c>
      <c r="L106" s="56">
        <v>41</v>
      </c>
      <c r="M106" s="54">
        <v>11.1</v>
      </c>
      <c r="N106" s="54">
        <v>200</v>
      </c>
      <c r="O106" s="57">
        <v>0</v>
      </c>
      <c r="P106" s="53">
        <v>37</v>
      </c>
      <c r="Q106" s="54">
        <v>11.2</v>
      </c>
      <c r="R106" s="55">
        <v>0</v>
      </c>
      <c r="S106" s="55">
        <v>0</v>
      </c>
      <c r="T106" s="57">
        <v>14.42</v>
      </c>
      <c r="U106" s="56">
        <v>39</v>
      </c>
      <c r="V106" s="54">
        <v>11.1</v>
      </c>
      <c r="W106" s="55">
        <v>0</v>
      </c>
      <c r="X106" s="55">
        <v>0</v>
      </c>
      <c r="Y106" s="57">
        <v>13.46</v>
      </c>
      <c r="Z106" s="53">
        <v>39</v>
      </c>
      <c r="AA106" s="54">
        <v>11</v>
      </c>
      <c r="AB106" s="55">
        <v>0</v>
      </c>
      <c r="AC106" s="55">
        <v>0</v>
      </c>
      <c r="AD106" s="57">
        <v>15.38</v>
      </c>
      <c r="AE106" s="56">
        <v>37</v>
      </c>
      <c r="AF106" s="54">
        <v>10.9</v>
      </c>
      <c r="AG106" s="55">
        <v>0</v>
      </c>
      <c r="AH106" s="55">
        <v>0</v>
      </c>
      <c r="AI106" s="57">
        <v>12.5</v>
      </c>
      <c r="AJ106" s="56">
        <v>37</v>
      </c>
      <c r="AK106" s="54">
        <v>10.7</v>
      </c>
      <c r="AL106" s="54">
        <v>0</v>
      </c>
      <c r="AM106" s="54">
        <v>0</v>
      </c>
      <c r="AN106" s="57">
        <v>5.96</v>
      </c>
      <c r="AO106" s="53">
        <v>37</v>
      </c>
      <c r="AP106" s="54">
        <v>10.5</v>
      </c>
      <c r="AQ106" s="54">
        <v>110</v>
      </c>
      <c r="AR106" s="54">
        <v>0</v>
      </c>
      <c r="AS106" s="54">
        <v>12.5</v>
      </c>
      <c r="AT106" s="56">
        <v>25</v>
      </c>
      <c r="AU106" s="57">
        <v>80</v>
      </c>
      <c r="AV106" s="56">
        <v>78.0517578125</v>
      </c>
      <c r="AW106" s="57">
        <v>359.89040797551473</v>
      </c>
      <c r="AX106" s="8"/>
      <c r="AZ106" s="1">
        <v>90</v>
      </c>
      <c r="BB106" s="82">
        <f t="shared" si="9"/>
        <v>32.805240000000005</v>
      </c>
    </row>
    <row r="107" spans="3:54" ht="15" customHeight="1" x14ac:dyDescent="0.25">
      <c r="C107" s="42"/>
      <c r="D107" s="43">
        <f>D100</f>
        <v>45724</v>
      </c>
      <c r="E107" s="44">
        <f t="shared" si="12"/>
        <v>7.8333333333333224</v>
      </c>
      <c r="F107" s="45">
        <f t="shared" si="10"/>
        <v>45724.833333333554</v>
      </c>
      <c r="G107" s="52">
        <v>40</v>
      </c>
      <c r="H107" s="53">
        <v>39</v>
      </c>
      <c r="I107" s="54">
        <v>10.199999999999999</v>
      </c>
      <c r="J107" s="54">
        <v>250</v>
      </c>
      <c r="K107" s="55">
        <v>0</v>
      </c>
      <c r="L107" s="56">
        <v>40</v>
      </c>
      <c r="M107" s="54">
        <v>10.8</v>
      </c>
      <c r="N107" s="54">
        <v>200</v>
      </c>
      <c r="O107" s="57">
        <v>0</v>
      </c>
      <c r="P107" s="53">
        <v>39</v>
      </c>
      <c r="Q107" s="54">
        <v>10.9</v>
      </c>
      <c r="R107" s="55">
        <v>0</v>
      </c>
      <c r="S107" s="55">
        <v>0</v>
      </c>
      <c r="T107" s="57">
        <v>13.46</v>
      </c>
      <c r="U107" s="56">
        <v>38</v>
      </c>
      <c r="V107" s="54">
        <v>10.9</v>
      </c>
      <c r="W107" s="55">
        <v>0</v>
      </c>
      <c r="X107" s="55">
        <v>0</v>
      </c>
      <c r="Y107" s="57">
        <v>13.84</v>
      </c>
      <c r="Z107" s="53">
        <v>37</v>
      </c>
      <c r="AA107" s="54">
        <v>10.9</v>
      </c>
      <c r="AB107" s="55">
        <v>0</v>
      </c>
      <c r="AC107" s="55">
        <v>0</v>
      </c>
      <c r="AD107" s="57">
        <v>15.38</v>
      </c>
      <c r="AE107" s="56">
        <v>35</v>
      </c>
      <c r="AF107" s="54">
        <v>10.8</v>
      </c>
      <c r="AG107" s="55">
        <v>0</v>
      </c>
      <c r="AH107" s="55">
        <v>0</v>
      </c>
      <c r="AI107" s="57">
        <v>12.5</v>
      </c>
      <c r="AJ107" s="56">
        <v>34</v>
      </c>
      <c r="AK107" s="54">
        <v>10.7</v>
      </c>
      <c r="AL107" s="54">
        <v>0</v>
      </c>
      <c r="AM107" s="54">
        <v>0</v>
      </c>
      <c r="AN107" s="57">
        <v>5.76</v>
      </c>
      <c r="AO107" s="53">
        <v>34</v>
      </c>
      <c r="AP107" s="54">
        <v>10.3</v>
      </c>
      <c r="AQ107" s="54">
        <v>150</v>
      </c>
      <c r="AR107" s="54">
        <v>0</v>
      </c>
      <c r="AS107" s="54">
        <v>12.5</v>
      </c>
      <c r="AT107" s="56">
        <v>27</v>
      </c>
      <c r="AU107" s="57">
        <v>110</v>
      </c>
      <c r="AV107" s="56">
        <v>78.202308654785199</v>
      </c>
      <c r="AW107" s="57">
        <v>395.65779240926105</v>
      </c>
      <c r="AX107" s="8"/>
      <c r="AZ107" s="1">
        <v>90</v>
      </c>
      <c r="BB107" s="82">
        <f t="shared" si="9"/>
        <v>32.460480000000004</v>
      </c>
    </row>
    <row r="108" spans="3:54" ht="15" customHeight="1" x14ac:dyDescent="0.25">
      <c r="C108" s="42"/>
      <c r="D108" s="43">
        <f>D100</f>
        <v>45724</v>
      </c>
      <c r="E108" s="44">
        <f t="shared" si="12"/>
        <v>7.9166666666666554</v>
      </c>
      <c r="F108" s="45">
        <f t="shared" si="10"/>
        <v>45724.91666666689</v>
      </c>
      <c r="G108" s="52">
        <v>40</v>
      </c>
      <c r="H108" s="53">
        <v>39</v>
      </c>
      <c r="I108" s="54">
        <v>11</v>
      </c>
      <c r="J108" s="54">
        <v>350</v>
      </c>
      <c r="K108" s="55">
        <v>0</v>
      </c>
      <c r="L108" s="56">
        <v>39</v>
      </c>
      <c r="M108" s="54">
        <v>10.8</v>
      </c>
      <c r="N108" s="54">
        <v>300</v>
      </c>
      <c r="O108" s="57">
        <v>0</v>
      </c>
      <c r="P108" s="53">
        <v>39</v>
      </c>
      <c r="Q108" s="54">
        <v>10.9</v>
      </c>
      <c r="R108" s="55">
        <v>0</v>
      </c>
      <c r="S108" s="55">
        <v>0</v>
      </c>
      <c r="T108" s="57">
        <v>15</v>
      </c>
      <c r="U108" s="56">
        <v>39</v>
      </c>
      <c r="V108" s="54">
        <v>10.8</v>
      </c>
      <c r="W108" s="55">
        <v>0</v>
      </c>
      <c r="X108" s="55">
        <v>0</v>
      </c>
      <c r="Y108" s="57">
        <v>12.5</v>
      </c>
      <c r="Z108" s="53">
        <v>38</v>
      </c>
      <c r="AA108" s="54">
        <v>10.8</v>
      </c>
      <c r="AB108" s="55">
        <v>0</v>
      </c>
      <c r="AC108" s="55">
        <v>0</v>
      </c>
      <c r="AD108" s="57">
        <v>13.46</v>
      </c>
      <c r="AE108" s="56">
        <v>36</v>
      </c>
      <c r="AF108" s="54">
        <v>10.8</v>
      </c>
      <c r="AG108" s="55">
        <v>0</v>
      </c>
      <c r="AH108" s="55">
        <v>0</v>
      </c>
      <c r="AI108" s="57">
        <v>13.07</v>
      </c>
      <c r="AJ108" s="56">
        <v>36</v>
      </c>
      <c r="AK108" s="54">
        <v>10.8</v>
      </c>
      <c r="AL108" s="54">
        <v>0</v>
      </c>
      <c r="AM108" s="54">
        <v>0</v>
      </c>
      <c r="AN108" s="57">
        <v>8.65</v>
      </c>
      <c r="AO108" s="53">
        <v>34</v>
      </c>
      <c r="AP108" s="54">
        <v>10.4</v>
      </c>
      <c r="AQ108" s="54">
        <v>130</v>
      </c>
      <c r="AR108" s="54">
        <v>0</v>
      </c>
      <c r="AS108" s="54">
        <v>7.69</v>
      </c>
      <c r="AT108" s="56">
        <v>28</v>
      </c>
      <c r="AU108" s="57">
        <v>110</v>
      </c>
      <c r="AV108" s="56">
        <v>76.953125</v>
      </c>
      <c r="AW108" s="57">
        <v>395.70469182332357</v>
      </c>
      <c r="AX108" s="8"/>
      <c r="AZ108" s="1">
        <v>90</v>
      </c>
      <c r="BB108" s="82">
        <f t="shared" si="9"/>
        <v>31.103540000000002</v>
      </c>
    </row>
    <row r="109" spans="3:54" ht="15" customHeight="1" x14ac:dyDescent="0.25">
      <c r="C109" s="42"/>
      <c r="D109" s="43">
        <f>D100</f>
        <v>45724</v>
      </c>
      <c r="E109" s="44">
        <f t="shared" si="12"/>
        <v>7.9999999999999885</v>
      </c>
      <c r="F109" s="45">
        <f t="shared" si="10"/>
        <v>45725.000000000226</v>
      </c>
      <c r="G109" s="52">
        <v>44</v>
      </c>
      <c r="H109" s="53">
        <v>40</v>
      </c>
      <c r="I109" s="54">
        <v>10.9</v>
      </c>
      <c r="J109" s="54">
        <v>350</v>
      </c>
      <c r="K109" s="55">
        <v>0</v>
      </c>
      <c r="L109" s="56">
        <v>40</v>
      </c>
      <c r="M109" s="54">
        <v>11</v>
      </c>
      <c r="N109" s="54">
        <v>300</v>
      </c>
      <c r="O109" s="57">
        <v>0</v>
      </c>
      <c r="P109" s="53">
        <v>38</v>
      </c>
      <c r="Q109" s="54">
        <v>10.8</v>
      </c>
      <c r="R109" s="55">
        <v>0</v>
      </c>
      <c r="S109" s="55">
        <v>0</v>
      </c>
      <c r="T109" s="57">
        <v>18.260000000000002</v>
      </c>
      <c r="U109" s="56">
        <v>38</v>
      </c>
      <c r="V109" s="54">
        <v>10.8</v>
      </c>
      <c r="W109" s="55">
        <v>0</v>
      </c>
      <c r="X109" s="55">
        <v>0</v>
      </c>
      <c r="Y109" s="57">
        <v>10.57</v>
      </c>
      <c r="Z109" s="53">
        <v>39</v>
      </c>
      <c r="AA109" s="54">
        <v>10.9</v>
      </c>
      <c r="AB109" s="55">
        <v>0</v>
      </c>
      <c r="AC109" s="55">
        <v>0</v>
      </c>
      <c r="AD109" s="57">
        <v>12.5</v>
      </c>
      <c r="AE109" s="56">
        <v>36</v>
      </c>
      <c r="AF109" s="54">
        <v>10.6</v>
      </c>
      <c r="AG109" s="55">
        <v>0</v>
      </c>
      <c r="AH109" s="55">
        <v>0</v>
      </c>
      <c r="AI109" s="57">
        <v>12.5</v>
      </c>
      <c r="AJ109" s="56">
        <v>34</v>
      </c>
      <c r="AK109" s="54">
        <v>10.8</v>
      </c>
      <c r="AL109" s="54">
        <v>0</v>
      </c>
      <c r="AM109" s="54">
        <v>0</v>
      </c>
      <c r="AN109" s="57">
        <v>10.57</v>
      </c>
      <c r="AO109" s="53">
        <v>33</v>
      </c>
      <c r="AP109" s="54">
        <v>10.7</v>
      </c>
      <c r="AQ109" s="54">
        <v>140</v>
      </c>
      <c r="AR109" s="54">
        <v>0</v>
      </c>
      <c r="AS109" s="54">
        <v>5.76</v>
      </c>
      <c r="AT109" s="56">
        <v>28</v>
      </c>
      <c r="AU109" s="57">
        <v>100</v>
      </c>
      <c r="AV109" s="56">
        <v>77.229820251464801</v>
      </c>
      <c r="AW109" s="57">
        <v>394.91910247802736</v>
      </c>
      <c r="AX109" s="8"/>
      <c r="AZ109" s="1">
        <v>90</v>
      </c>
      <c r="BB109" s="82">
        <f t="shared" si="9"/>
        <v>31.010720000000003</v>
      </c>
    </row>
    <row r="110" spans="3:54" ht="15" customHeight="1" x14ac:dyDescent="0.25">
      <c r="C110" s="42"/>
      <c r="D110" s="43">
        <f>D100</f>
        <v>45724</v>
      </c>
      <c r="E110" s="44">
        <f t="shared" si="12"/>
        <v>8.0833333333333215</v>
      </c>
      <c r="F110" s="45">
        <f t="shared" si="10"/>
        <v>45725.083333333561</v>
      </c>
      <c r="G110" s="52">
        <v>43</v>
      </c>
      <c r="H110" s="53">
        <v>40</v>
      </c>
      <c r="I110" s="54">
        <v>10.9</v>
      </c>
      <c r="J110" s="54">
        <v>350</v>
      </c>
      <c r="K110" s="55">
        <v>0</v>
      </c>
      <c r="L110" s="56">
        <v>40</v>
      </c>
      <c r="M110" s="54">
        <v>10.9</v>
      </c>
      <c r="N110" s="54">
        <v>300</v>
      </c>
      <c r="O110" s="57">
        <v>0</v>
      </c>
      <c r="P110" s="53">
        <v>39</v>
      </c>
      <c r="Q110" s="54">
        <v>10.8</v>
      </c>
      <c r="R110" s="55">
        <v>0</v>
      </c>
      <c r="S110" s="55">
        <v>0</v>
      </c>
      <c r="T110" s="57">
        <v>17.88</v>
      </c>
      <c r="U110" s="56">
        <v>38</v>
      </c>
      <c r="V110" s="54">
        <v>10.8</v>
      </c>
      <c r="W110" s="55">
        <v>0</v>
      </c>
      <c r="X110" s="55">
        <v>0</v>
      </c>
      <c r="Y110" s="57">
        <v>12.88</v>
      </c>
      <c r="Z110" s="53">
        <v>39</v>
      </c>
      <c r="AA110" s="54">
        <v>10.9</v>
      </c>
      <c r="AB110" s="55">
        <v>0</v>
      </c>
      <c r="AC110" s="55">
        <v>0</v>
      </c>
      <c r="AD110" s="57">
        <v>12.5</v>
      </c>
      <c r="AE110" s="56">
        <v>37</v>
      </c>
      <c r="AF110" s="54">
        <v>10.6</v>
      </c>
      <c r="AG110" s="55">
        <v>0</v>
      </c>
      <c r="AH110" s="55">
        <v>0</v>
      </c>
      <c r="AI110" s="57">
        <v>11.92</v>
      </c>
      <c r="AJ110" s="56">
        <v>35</v>
      </c>
      <c r="AK110" s="54">
        <v>10.8</v>
      </c>
      <c r="AL110" s="54">
        <v>0</v>
      </c>
      <c r="AM110" s="54">
        <v>0</v>
      </c>
      <c r="AN110" s="57">
        <v>10.19</v>
      </c>
      <c r="AO110" s="53">
        <v>34</v>
      </c>
      <c r="AP110" s="54">
        <v>10.7</v>
      </c>
      <c r="AQ110" s="54">
        <v>140</v>
      </c>
      <c r="AR110" s="54">
        <v>0</v>
      </c>
      <c r="AS110" s="54">
        <v>7.69</v>
      </c>
      <c r="AT110" s="56">
        <v>28</v>
      </c>
      <c r="AU110" s="57">
        <v>100</v>
      </c>
      <c r="AV110" s="56">
        <v>77.530921936035199</v>
      </c>
      <c r="AW110" s="57">
        <v>394.96793009440103</v>
      </c>
      <c r="AX110" s="8"/>
      <c r="AZ110" s="1">
        <v>90</v>
      </c>
      <c r="BB110" s="82">
        <f t="shared" si="9"/>
        <v>32.292519999999996</v>
      </c>
    </row>
    <row r="111" spans="3:54" ht="15" customHeight="1" x14ac:dyDescent="0.25">
      <c r="C111" s="42"/>
      <c r="D111" s="69">
        <f>D100</f>
        <v>45724</v>
      </c>
      <c r="E111" s="70">
        <f t="shared" si="12"/>
        <v>8.1666666666666554</v>
      </c>
      <c r="F111" s="71">
        <f t="shared" si="10"/>
        <v>45725.166666666897</v>
      </c>
      <c r="G111" s="60">
        <v>42</v>
      </c>
      <c r="H111" s="61">
        <v>40</v>
      </c>
      <c r="I111" s="62">
        <v>10.9</v>
      </c>
      <c r="J111" s="62">
        <v>300</v>
      </c>
      <c r="K111" s="63">
        <v>0</v>
      </c>
      <c r="L111" s="64">
        <v>40</v>
      </c>
      <c r="M111" s="62">
        <v>10.8</v>
      </c>
      <c r="N111" s="62">
        <v>300</v>
      </c>
      <c r="O111" s="65">
        <v>0</v>
      </c>
      <c r="P111" s="61">
        <v>39</v>
      </c>
      <c r="Q111" s="62">
        <v>10.8</v>
      </c>
      <c r="R111" s="63">
        <v>0</v>
      </c>
      <c r="S111" s="63">
        <v>0</v>
      </c>
      <c r="T111" s="65">
        <v>18.260000000000002</v>
      </c>
      <c r="U111" s="64">
        <v>38</v>
      </c>
      <c r="V111" s="62">
        <v>10.8</v>
      </c>
      <c r="W111" s="63">
        <v>0</v>
      </c>
      <c r="X111" s="63">
        <v>0</v>
      </c>
      <c r="Y111" s="65">
        <v>14.42</v>
      </c>
      <c r="Z111" s="61">
        <v>38</v>
      </c>
      <c r="AA111" s="62">
        <v>10.9</v>
      </c>
      <c r="AB111" s="63">
        <v>0</v>
      </c>
      <c r="AC111" s="63">
        <v>0</v>
      </c>
      <c r="AD111" s="65">
        <v>11.53</v>
      </c>
      <c r="AE111" s="64">
        <v>39</v>
      </c>
      <c r="AF111" s="62">
        <v>10.8</v>
      </c>
      <c r="AG111" s="63">
        <v>0</v>
      </c>
      <c r="AH111" s="63">
        <v>0</v>
      </c>
      <c r="AI111" s="65">
        <v>9.61</v>
      </c>
      <c r="AJ111" s="64">
        <v>35</v>
      </c>
      <c r="AK111" s="62">
        <v>10.8</v>
      </c>
      <c r="AL111" s="62">
        <v>0</v>
      </c>
      <c r="AM111" s="62">
        <v>0</v>
      </c>
      <c r="AN111" s="65">
        <v>11.53</v>
      </c>
      <c r="AO111" s="61">
        <v>35</v>
      </c>
      <c r="AP111" s="62">
        <v>10.8</v>
      </c>
      <c r="AQ111" s="62">
        <v>120</v>
      </c>
      <c r="AR111" s="62">
        <v>0</v>
      </c>
      <c r="AS111" s="62">
        <v>11.53</v>
      </c>
      <c r="AT111" s="64">
        <v>29</v>
      </c>
      <c r="AU111" s="65">
        <v>110</v>
      </c>
      <c r="AV111" s="64">
        <v>76.729331970214801</v>
      </c>
      <c r="AW111" s="65">
        <v>394.67001800537111</v>
      </c>
      <c r="AX111" s="8"/>
      <c r="AZ111" s="1">
        <v>90</v>
      </c>
      <c r="BB111" s="82">
        <f t="shared" si="9"/>
        <v>33.980959999999996</v>
      </c>
    </row>
    <row r="112" spans="3:54" ht="15" customHeight="1" x14ac:dyDescent="0.25">
      <c r="C112" s="42">
        <f>C100+1</f>
        <v>9</v>
      </c>
      <c r="D112" s="66">
        <f>DATE([3]Dash!$F$3,VLOOKUP([3]Dash!$E$3,[3]Abb!$C$3:$D$14,2,FALSE),C112)</f>
        <v>45725</v>
      </c>
      <c r="E112" s="67">
        <f>E111+2/24</f>
        <v>8.2499999999999893</v>
      </c>
      <c r="F112" s="68">
        <f t="shared" si="10"/>
        <v>45725.250000000233</v>
      </c>
      <c r="G112" s="46">
        <v>42</v>
      </c>
      <c r="H112" s="47">
        <v>40</v>
      </c>
      <c r="I112" s="48">
        <v>10.9</v>
      </c>
      <c r="J112" s="48">
        <v>300</v>
      </c>
      <c r="K112" s="49">
        <v>0</v>
      </c>
      <c r="L112" s="50">
        <v>40</v>
      </c>
      <c r="M112" s="48">
        <v>10.8</v>
      </c>
      <c r="N112" s="48">
        <v>300</v>
      </c>
      <c r="O112" s="51">
        <v>0</v>
      </c>
      <c r="P112" s="47">
        <v>39</v>
      </c>
      <c r="Q112" s="48">
        <v>10.8</v>
      </c>
      <c r="R112" s="49">
        <v>0</v>
      </c>
      <c r="S112" s="49">
        <v>0</v>
      </c>
      <c r="T112" s="51">
        <v>18.260000000000002</v>
      </c>
      <c r="U112" s="50">
        <v>38</v>
      </c>
      <c r="V112" s="48">
        <v>10.9</v>
      </c>
      <c r="W112" s="49">
        <v>0</v>
      </c>
      <c r="X112" s="49">
        <v>0</v>
      </c>
      <c r="Y112" s="51">
        <v>14.8</v>
      </c>
      <c r="Z112" s="47">
        <v>38</v>
      </c>
      <c r="AA112" s="48">
        <v>10.9</v>
      </c>
      <c r="AB112" s="49">
        <v>0</v>
      </c>
      <c r="AC112" s="49">
        <v>0</v>
      </c>
      <c r="AD112" s="51">
        <v>14.42</v>
      </c>
      <c r="AE112" s="50">
        <v>38</v>
      </c>
      <c r="AF112" s="48">
        <v>10.8</v>
      </c>
      <c r="AG112" s="49">
        <v>0</v>
      </c>
      <c r="AH112" s="49">
        <v>0</v>
      </c>
      <c r="AI112" s="51">
        <v>10.57</v>
      </c>
      <c r="AJ112" s="50">
        <v>35</v>
      </c>
      <c r="AK112" s="48">
        <v>10.8</v>
      </c>
      <c r="AL112" s="48">
        <v>0</v>
      </c>
      <c r="AM112" s="48">
        <v>0</v>
      </c>
      <c r="AN112" s="51">
        <v>8.65</v>
      </c>
      <c r="AO112" s="47">
        <v>35</v>
      </c>
      <c r="AP112" s="48">
        <v>10.8</v>
      </c>
      <c r="AQ112" s="48">
        <v>120</v>
      </c>
      <c r="AR112" s="48">
        <v>0</v>
      </c>
      <c r="AS112" s="51">
        <v>15.38</v>
      </c>
      <c r="AT112" s="50">
        <v>28</v>
      </c>
      <c r="AU112" s="51">
        <v>110</v>
      </c>
      <c r="AV112" s="50">
        <v>76.534019470214801</v>
      </c>
      <c r="AW112" s="51">
        <v>395.07716064453126</v>
      </c>
      <c r="AX112" s="8"/>
      <c r="AZ112" s="1">
        <v>90</v>
      </c>
      <c r="BB112" s="82">
        <f t="shared" si="9"/>
        <v>36.279360000000004</v>
      </c>
    </row>
    <row r="113" spans="3:54" ht="15" customHeight="1" x14ac:dyDescent="0.25">
      <c r="C113" s="42"/>
      <c r="D113" s="43">
        <f>D112</f>
        <v>45725</v>
      </c>
      <c r="E113" s="44">
        <f>E112+2/24</f>
        <v>8.3333333333333233</v>
      </c>
      <c r="F113" s="45">
        <f t="shared" si="10"/>
        <v>45725.333333333569</v>
      </c>
      <c r="G113" s="52">
        <v>0</v>
      </c>
      <c r="H113" s="53">
        <v>41</v>
      </c>
      <c r="I113" s="54">
        <v>9.6</v>
      </c>
      <c r="J113" s="54">
        <v>250</v>
      </c>
      <c r="K113" s="55">
        <v>0</v>
      </c>
      <c r="L113" s="56">
        <v>42</v>
      </c>
      <c r="M113" s="54">
        <v>10.5</v>
      </c>
      <c r="N113" s="54">
        <v>300</v>
      </c>
      <c r="O113" s="57">
        <v>0</v>
      </c>
      <c r="P113" s="53">
        <v>43</v>
      </c>
      <c r="Q113" s="54">
        <v>10.7</v>
      </c>
      <c r="R113" s="55">
        <v>0</v>
      </c>
      <c r="S113" s="55">
        <v>0</v>
      </c>
      <c r="T113" s="57">
        <v>18.07</v>
      </c>
      <c r="U113" s="56">
        <v>39</v>
      </c>
      <c r="V113" s="54">
        <v>10.9</v>
      </c>
      <c r="W113" s="55">
        <v>0</v>
      </c>
      <c r="X113" s="55">
        <v>0</v>
      </c>
      <c r="Y113" s="57">
        <v>15.18</v>
      </c>
      <c r="Z113" s="53">
        <v>39</v>
      </c>
      <c r="AA113" s="54">
        <v>10.9</v>
      </c>
      <c r="AB113" s="55">
        <v>0</v>
      </c>
      <c r="AC113" s="55">
        <v>0</v>
      </c>
      <c r="AD113" s="57">
        <v>12.5</v>
      </c>
      <c r="AE113" s="56">
        <v>37</v>
      </c>
      <c r="AF113" s="54">
        <v>10.8</v>
      </c>
      <c r="AG113" s="55">
        <v>0</v>
      </c>
      <c r="AH113" s="55">
        <v>0</v>
      </c>
      <c r="AI113" s="57">
        <v>11.53</v>
      </c>
      <c r="AJ113" s="56">
        <v>37</v>
      </c>
      <c r="AK113" s="54">
        <v>10.8</v>
      </c>
      <c r="AL113" s="54">
        <v>0</v>
      </c>
      <c r="AM113" s="54">
        <v>0</v>
      </c>
      <c r="AN113" s="57">
        <v>7.69</v>
      </c>
      <c r="AO113" s="53">
        <v>38</v>
      </c>
      <c r="AP113" s="54">
        <v>10.9</v>
      </c>
      <c r="AQ113" s="54">
        <v>160</v>
      </c>
      <c r="AR113" s="54">
        <v>0</v>
      </c>
      <c r="AS113" s="57">
        <v>15.38</v>
      </c>
      <c r="AT113" s="56">
        <v>30</v>
      </c>
      <c r="AU113" s="57">
        <v>120</v>
      </c>
      <c r="AV113" s="56">
        <v>77.534996032714801</v>
      </c>
      <c r="AW113" s="57">
        <v>394.13652674357098</v>
      </c>
      <c r="AX113" s="8"/>
      <c r="AZ113" s="1">
        <v>90</v>
      </c>
      <c r="BB113" s="82">
        <f t="shared" si="9"/>
        <v>35.514699999999998</v>
      </c>
    </row>
    <row r="114" spans="3:54" ht="15" customHeight="1" x14ac:dyDescent="0.25">
      <c r="C114" s="42"/>
      <c r="D114" s="43">
        <f>D112</f>
        <v>45725</v>
      </c>
      <c r="E114" s="44">
        <f t="shared" ref="E114:E123" si="13">E113+2/24</f>
        <v>8.4166666666666572</v>
      </c>
      <c r="F114" s="45">
        <f t="shared" si="10"/>
        <v>45725.416666666904</v>
      </c>
      <c r="G114" s="52">
        <v>0</v>
      </c>
      <c r="H114" s="53">
        <v>43</v>
      </c>
      <c r="I114" s="54">
        <v>9.5</v>
      </c>
      <c r="J114" s="54">
        <v>200</v>
      </c>
      <c r="K114" s="55">
        <v>0</v>
      </c>
      <c r="L114" s="56">
        <v>43</v>
      </c>
      <c r="M114" s="54">
        <v>10.3</v>
      </c>
      <c r="N114" s="54">
        <v>300</v>
      </c>
      <c r="O114" s="57">
        <v>0</v>
      </c>
      <c r="P114" s="53">
        <v>42</v>
      </c>
      <c r="Q114" s="54">
        <v>10.6</v>
      </c>
      <c r="R114" s="55">
        <v>0</v>
      </c>
      <c r="S114" s="55">
        <v>0</v>
      </c>
      <c r="T114" s="57">
        <v>18.260000000000002</v>
      </c>
      <c r="U114" s="56">
        <v>39</v>
      </c>
      <c r="V114" s="54">
        <v>10.9</v>
      </c>
      <c r="W114" s="55">
        <v>0</v>
      </c>
      <c r="X114" s="55">
        <v>0</v>
      </c>
      <c r="Y114" s="57">
        <v>15.38</v>
      </c>
      <c r="Z114" s="53">
        <v>39</v>
      </c>
      <c r="AA114" s="54">
        <v>10.9</v>
      </c>
      <c r="AB114" s="55">
        <v>0</v>
      </c>
      <c r="AC114" s="55">
        <v>0</v>
      </c>
      <c r="AD114" s="57">
        <v>12.11</v>
      </c>
      <c r="AE114" s="56">
        <v>38</v>
      </c>
      <c r="AF114" s="54">
        <v>10.8</v>
      </c>
      <c r="AG114" s="55">
        <v>0</v>
      </c>
      <c r="AH114" s="55">
        <v>0</v>
      </c>
      <c r="AI114" s="57">
        <v>11.53</v>
      </c>
      <c r="AJ114" s="56">
        <v>37</v>
      </c>
      <c r="AK114" s="54">
        <v>10.8</v>
      </c>
      <c r="AL114" s="54">
        <v>0</v>
      </c>
      <c r="AM114" s="54">
        <v>0</v>
      </c>
      <c r="AN114" s="57">
        <v>7.69</v>
      </c>
      <c r="AO114" s="53">
        <v>37</v>
      </c>
      <c r="AP114" s="54">
        <v>10.9</v>
      </c>
      <c r="AQ114" s="54">
        <v>180</v>
      </c>
      <c r="AR114" s="54">
        <v>0</v>
      </c>
      <c r="AS114" s="57">
        <v>15.37</v>
      </c>
      <c r="AT114" s="56">
        <v>31</v>
      </c>
      <c r="AU114" s="57">
        <v>100</v>
      </c>
      <c r="AV114" s="56">
        <v>77.6123046875</v>
      </c>
      <c r="AW114" s="57">
        <v>392.13155873616535</v>
      </c>
      <c r="AX114" s="8"/>
      <c r="AZ114" s="1">
        <v>90</v>
      </c>
      <c r="BB114" s="82">
        <f t="shared" si="9"/>
        <v>35.510280000000002</v>
      </c>
    </row>
    <row r="115" spans="3:54" ht="15" customHeight="1" x14ac:dyDescent="0.25">
      <c r="C115" s="42"/>
      <c r="D115" s="43">
        <f>D112</f>
        <v>45725</v>
      </c>
      <c r="E115" s="44">
        <f t="shared" si="13"/>
        <v>8.4999999999999911</v>
      </c>
      <c r="F115" s="45">
        <f t="shared" si="10"/>
        <v>45725.50000000024</v>
      </c>
      <c r="G115" s="52">
        <v>0</v>
      </c>
      <c r="H115" s="53">
        <v>43</v>
      </c>
      <c r="I115" s="54">
        <v>9.5</v>
      </c>
      <c r="J115" s="54">
        <v>20</v>
      </c>
      <c r="K115" s="55">
        <v>0</v>
      </c>
      <c r="L115" s="56">
        <v>42</v>
      </c>
      <c r="M115" s="54">
        <v>10</v>
      </c>
      <c r="N115" s="54">
        <v>250</v>
      </c>
      <c r="O115" s="57">
        <v>0</v>
      </c>
      <c r="P115" s="53">
        <v>42</v>
      </c>
      <c r="Q115" s="54">
        <v>10.199999999999999</v>
      </c>
      <c r="R115" s="55">
        <v>0</v>
      </c>
      <c r="S115" s="55">
        <v>0</v>
      </c>
      <c r="T115" s="57">
        <v>18.260000000000002</v>
      </c>
      <c r="U115" s="56">
        <v>39</v>
      </c>
      <c r="V115" s="54">
        <v>10.6</v>
      </c>
      <c r="W115" s="55">
        <v>0</v>
      </c>
      <c r="X115" s="55">
        <v>0</v>
      </c>
      <c r="Y115" s="57">
        <v>15.19</v>
      </c>
      <c r="Z115" s="53">
        <v>39</v>
      </c>
      <c r="AA115" s="54">
        <v>10.6</v>
      </c>
      <c r="AB115" s="55">
        <v>0</v>
      </c>
      <c r="AC115" s="55">
        <v>0</v>
      </c>
      <c r="AD115" s="57">
        <v>12.5</v>
      </c>
      <c r="AE115" s="56">
        <v>39</v>
      </c>
      <c r="AF115" s="54">
        <v>10.8</v>
      </c>
      <c r="AG115" s="55">
        <v>0</v>
      </c>
      <c r="AH115" s="55">
        <v>0</v>
      </c>
      <c r="AI115" s="57">
        <v>11.53</v>
      </c>
      <c r="AJ115" s="56">
        <v>38</v>
      </c>
      <c r="AK115" s="54">
        <v>10.8</v>
      </c>
      <c r="AL115" s="54">
        <v>0</v>
      </c>
      <c r="AM115" s="54">
        <v>0</v>
      </c>
      <c r="AN115" s="57">
        <v>7.69</v>
      </c>
      <c r="AO115" s="53">
        <v>38</v>
      </c>
      <c r="AP115" s="54">
        <v>10.8</v>
      </c>
      <c r="AQ115" s="54">
        <v>150</v>
      </c>
      <c r="AR115" s="54">
        <v>0</v>
      </c>
      <c r="AS115" s="57">
        <v>15.57</v>
      </c>
      <c r="AT115" s="56">
        <v>31</v>
      </c>
      <c r="AU115" s="57">
        <v>100</v>
      </c>
      <c r="AV115" s="56">
        <v>78.304039001464801</v>
      </c>
      <c r="AW115" s="57">
        <v>390.78667500813805</v>
      </c>
      <c r="AX115" s="8"/>
      <c r="AZ115" s="1">
        <v>90</v>
      </c>
      <c r="BB115" s="82">
        <f t="shared" si="9"/>
        <v>35.687080000000002</v>
      </c>
    </row>
    <row r="116" spans="3:54" ht="15" customHeight="1" x14ac:dyDescent="0.25">
      <c r="C116" s="42"/>
      <c r="D116" s="43">
        <f>D112</f>
        <v>45725</v>
      </c>
      <c r="E116" s="44">
        <f t="shared" si="13"/>
        <v>8.583333333333325</v>
      </c>
      <c r="F116" s="45">
        <f t="shared" si="10"/>
        <v>45725.583333333576</v>
      </c>
      <c r="G116" s="52">
        <v>0</v>
      </c>
      <c r="H116" s="53">
        <v>42</v>
      </c>
      <c r="I116" s="54">
        <v>9.1999999999999993</v>
      </c>
      <c r="J116" s="54">
        <v>200</v>
      </c>
      <c r="K116" s="55">
        <v>0</v>
      </c>
      <c r="L116" s="56">
        <v>42</v>
      </c>
      <c r="M116" s="54">
        <v>9.8000000000000007</v>
      </c>
      <c r="N116" s="54">
        <v>250</v>
      </c>
      <c r="O116" s="57">
        <v>0</v>
      </c>
      <c r="P116" s="53">
        <v>41</v>
      </c>
      <c r="Q116" s="54">
        <v>10</v>
      </c>
      <c r="R116" s="55">
        <v>0</v>
      </c>
      <c r="S116" s="55">
        <v>0</v>
      </c>
      <c r="T116" s="57">
        <v>17.88</v>
      </c>
      <c r="U116" s="56">
        <v>38</v>
      </c>
      <c r="V116" s="54">
        <v>10.4</v>
      </c>
      <c r="W116" s="55">
        <v>0</v>
      </c>
      <c r="X116" s="55">
        <v>0</v>
      </c>
      <c r="Y116" s="57">
        <v>15.38</v>
      </c>
      <c r="Z116" s="53">
        <v>38</v>
      </c>
      <c r="AA116" s="54">
        <v>10.4</v>
      </c>
      <c r="AB116" s="55">
        <v>0</v>
      </c>
      <c r="AC116" s="55">
        <v>0</v>
      </c>
      <c r="AD116" s="57">
        <v>12.11</v>
      </c>
      <c r="AE116" s="56">
        <v>39</v>
      </c>
      <c r="AF116" s="54">
        <v>10.9</v>
      </c>
      <c r="AG116" s="55">
        <v>0</v>
      </c>
      <c r="AH116" s="55">
        <v>0</v>
      </c>
      <c r="AI116" s="57">
        <v>11.34</v>
      </c>
      <c r="AJ116" s="56">
        <v>37</v>
      </c>
      <c r="AK116" s="54">
        <v>10.8</v>
      </c>
      <c r="AL116" s="54">
        <v>0</v>
      </c>
      <c r="AM116" s="54">
        <v>0</v>
      </c>
      <c r="AN116" s="57">
        <v>7.69</v>
      </c>
      <c r="AO116" s="53">
        <v>37</v>
      </c>
      <c r="AP116" s="54">
        <v>10.8</v>
      </c>
      <c r="AQ116" s="54">
        <v>180</v>
      </c>
      <c r="AR116" s="54">
        <v>0</v>
      </c>
      <c r="AS116" s="57">
        <v>15.38</v>
      </c>
      <c r="AT116" s="56">
        <v>30</v>
      </c>
      <c r="AU116" s="57">
        <v>110</v>
      </c>
      <c r="AV116" s="56">
        <v>70.316566467285199</v>
      </c>
      <c r="AW116" s="57">
        <v>389.11928507486977</v>
      </c>
      <c r="AX116" s="8"/>
      <c r="AZ116" s="1">
        <v>90</v>
      </c>
      <c r="BB116" s="82">
        <f t="shared" si="9"/>
        <v>35.262759999999993</v>
      </c>
    </row>
    <row r="117" spans="3:54" ht="15" customHeight="1" x14ac:dyDescent="0.25">
      <c r="C117" s="42"/>
      <c r="D117" s="43">
        <f>D112</f>
        <v>45725</v>
      </c>
      <c r="E117" s="44">
        <f t="shared" si="13"/>
        <v>8.666666666666659</v>
      </c>
      <c r="F117" s="45">
        <f t="shared" si="10"/>
        <v>45725.666666666912</v>
      </c>
      <c r="G117" s="52">
        <v>42</v>
      </c>
      <c r="H117" s="53">
        <v>42</v>
      </c>
      <c r="I117" s="54">
        <v>9.9</v>
      </c>
      <c r="J117" s="54">
        <v>200</v>
      </c>
      <c r="K117" s="55">
        <v>0</v>
      </c>
      <c r="L117" s="56">
        <v>41</v>
      </c>
      <c r="M117" s="54">
        <v>9.9</v>
      </c>
      <c r="N117" s="54">
        <v>250</v>
      </c>
      <c r="O117" s="57">
        <v>0</v>
      </c>
      <c r="P117" s="53">
        <v>39</v>
      </c>
      <c r="Q117" s="54">
        <v>10.4</v>
      </c>
      <c r="R117" s="55">
        <v>0</v>
      </c>
      <c r="S117" s="55">
        <v>0</v>
      </c>
      <c r="T117" s="57">
        <v>17.88</v>
      </c>
      <c r="U117" s="56">
        <v>39</v>
      </c>
      <c r="V117" s="54">
        <v>10.4</v>
      </c>
      <c r="W117" s="55">
        <v>0</v>
      </c>
      <c r="X117" s="55">
        <v>0</v>
      </c>
      <c r="Y117" s="57">
        <v>15.19</v>
      </c>
      <c r="Z117" s="53">
        <v>39</v>
      </c>
      <c r="AA117" s="54">
        <v>10.5</v>
      </c>
      <c r="AB117" s="55">
        <v>0</v>
      </c>
      <c r="AC117" s="55">
        <v>0</v>
      </c>
      <c r="AD117" s="57">
        <v>12.11</v>
      </c>
      <c r="AE117" s="56">
        <v>38</v>
      </c>
      <c r="AF117" s="54">
        <v>10.8</v>
      </c>
      <c r="AG117" s="55">
        <v>0</v>
      </c>
      <c r="AH117" s="55">
        <v>0</v>
      </c>
      <c r="AI117" s="57">
        <v>11.34</v>
      </c>
      <c r="AJ117" s="56">
        <v>38</v>
      </c>
      <c r="AK117" s="54">
        <v>10.9</v>
      </c>
      <c r="AL117" s="54">
        <v>0</v>
      </c>
      <c r="AM117" s="54">
        <v>0</v>
      </c>
      <c r="AN117" s="57">
        <v>7.69</v>
      </c>
      <c r="AO117" s="53">
        <v>38</v>
      </c>
      <c r="AP117" s="54">
        <v>10.9</v>
      </c>
      <c r="AQ117" s="54">
        <v>190</v>
      </c>
      <c r="AR117" s="54">
        <v>0</v>
      </c>
      <c r="AS117" s="57">
        <v>15.57</v>
      </c>
      <c r="AT117" s="56">
        <v>32</v>
      </c>
      <c r="AU117" s="57">
        <v>130</v>
      </c>
      <c r="AV117" s="56">
        <v>65.2587890625</v>
      </c>
      <c r="AW117" s="57">
        <v>387.11371536254882</v>
      </c>
      <c r="AX117" s="8"/>
      <c r="AZ117" s="1">
        <v>90</v>
      </c>
      <c r="BB117" s="82">
        <f t="shared" si="9"/>
        <v>35.262759999999993</v>
      </c>
    </row>
    <row r="118" spans="3:54" ht="15" customHeight="1" x14ac:dyDescent="0.25">
      <c r="C118" s="42"/>
      <c r="D118" s="43">
        <f>D112</f>
        <v>45725</v>
      </c>
      <c r="E118" s="44">
        <f t="shared" si="13"/>
        <v>8.7499999999999929</v>
      </c>
      <c r="F118" s="45">
        <f t="shared" si="10"/>
        <v>45725.750000000247</v>
      </c>
      <c r="G118" s="52">
        <v>40</v>
      </c>
      <c r="H118" s="53">
        <v>41</v>
      </c>
      <c r="I118" s="54">
        <v>10.4</v>
      </c>
      <c r="J118" s="54">
        <v>200</v>
      </c>
      <c r="K118" s="55">
        <v>0</v>
      </c>
      <c r="L118" s="56">
        <v>41</v>
      </c>
      <c r="M118" s="54">
        <v>10.5</v>
      </c>
      <c r="N118" s="54">
        <v>250</v>
      </c>
      <c r="O118" s="57">
        <v>0</v>
      </c>
      <c r="P118" s="53">
        <v>39</v>
      </c>
      <c r="Q118" s="54">
        <v>10.6</v>
      </c>
      <c r="R118" s="55">
        <v>0</v>
      </c>
      <c r="S118" s="55">
        <v>0</v>
      </c>
      <c r="T118" s="57">
        <v>18.07</v>
      </c>
      <c r="U118" s="56">
        <v>38</v>
      </c>
      <c r="V118" s="54">
        <v>10.5</v>
      </c>
      <c r="W118" s="55">
        <v>0</v>
      </c>
      <c r="X118" s="55">
        <v>0</v>
      </c>
      <c r="Y118" s="57">
        <v>15.19</v>
      </c>
      <c r="Z118" s="53">
        <v>38</v>
      </c>
      <c r="AA118" s="54">
        <v>10.5</v>
      </c>
      <c r="AB118" s="55">
        <v>0</v>
      </c>
      <c r="AC118" s="55">
        <v>0</v>
      </c>
      <c r="AD118" s="57">
        <v>12.5</v>
      </c>
      <c r="AE118" s="56">
        <v>38</v>
      </c>
      <c r="AF118" s="54">
        <v>10.8</v>
      </c>
      <c r="AG118" s="55">
        <v>0</v>
      </c>
      <c r="AH118" s="55">
        <v>0</v>
      </c>
      <c r="AI118" s="57">
        <v>11.53</v>
      </c>
      <c r="AJ118" s="56">
        <v>37</v>
      </c>
      <c r="AK118" s="54">
        <v>10.9</v>
      </c>
      <c r="AL118" s="54">
        <v>0</v>
      </c>
      <c r="AM118" s="54">
        <v>0</v>
      </c>
      <c r="AN118" s="57">
        <v>7.69</v>
      </c>
      <c r="AO118" s="53">
        <v>37</v>
      </c>
      <c r="AP118" s="54">
        <v>10.9</v>
      </c>
      <c r="AQ118" s="54">
        <v>190</v>
      </c>
      <c r="AR118" s="54">
        <v>0</v>
      </c>
      <c r="AS118" s="57">
        <v>15.38</v>
      </c>
      <c r="AT118" s="56">
        <v>30</v>
      </c>
      <c r="AU118" s="57">
        <v>130</v>
      </c>
      <c r="AV118" s="56">
        <v>65.616867065429702</v>
      </c>
      <c r="AW118" s="57">
        <v>386.33740895589193</v>
      </c>
      <c r="AX118" s="8"/>
      <c r="AZ118" s="1">
        <v>90</v>
      </c>
      <c r="BB118" s="82">
        <f t="shared" si="9"/>
        <v>35.519119999999994</v>
      </c>
    </row>
    <row r="119" spans="3:54" ht="15" customHeight="1" x14ac:dyDescent="0.25">
      <c r="C119" s="42"/>
      <c r="D119" s="43">
        <f>D112</f>
        <v>45725</v>
      </c>
      <c r="E119" s="44">
        <f t="shared" si="13"/>
        <v>8.8333333333333268</v>
      </c>
      <c r="F119" s="45">
        <f t="shared" si="10"/>
        <v>45725.833333333583</v>
      </c>
      <c r="G119" s="52">
        <v>40</v>
      </c>
      <c r="H119" s="53">
        <v>42</v>
      </c>
      <c r="I119" s="54">
        <v>10.5</v>
      </c>
      <c r="J119" s="54">
        <v>300</v>
      </c>
      <c r="K119" s="55">
        <v>0</v>
      </c>
      <c r="L119" s="56">
        <v>40</v>
      </c>
      <c r="M119" s="54">
        <v>10</v>
      </c>
      <c r="N119" s="54">
        <v>300</v>
      </c>
      <c r="O119" s="57">
        <v>0</v>
      </c>
      <c r="P119" s="53">
        <v>39</v>
      </c>
      <c r="Q119" s="54">
        <v>10.1</v>
      </c>
      <c r="R119" s="55">
        <v>0</v>
      </c>
      <c r="S119" s="55">
        <v>0</v>
      </c>
      <c r="T119" s="57">
        <v>16.920000000000002</v>
      </c>
      <c r="U119" s="56">
        <v>40</v>
      </c>
      <c r="V119" s="54">
        <v>10.1</v>
      </c>
      <c r="W119" s="55">
        <v>0</v>
      </c>
      <c r="X119" s="55">
        <v>0</v>
      </c>
      <c r="Y119" s="57">
        <v>15.38</v>
      </c>
      <c r="Z119" s="53">
        <v>39</v>
      </c>
      <c r="AA119" s="54">
        <v>10.3</v>
      </c>
      <c r="AB119" s="55">
        <v>0</v>
      </c>
      <c r="AC119" s="55">
        <v>0</v>
      </c>
      <c r="AD119" s="57">
        <v>15</v>
      </c>
      <c r="AE119" s="56">
        <v>38</v>
      </c>
      <c r="AF119" s="54">
        <v>10.6</v>
      </c>
      <c r="AG119" s="55">
        <v>0</v>
      </c>
      <c r="AH119" s="55">
        <v>0</v>
      </c>
      <c r="AI119" s="57">
        <v>10.61</v>
      </c>
      <c r="AJ119" s="56">
        <v>37</v>
      </c>
      <c r="AK119" s="54">
        <v>10.7</v>
      </c>
      <c r="AL119" s="54">
        <v>0</v>
      </c>
      <c r="AM119" s="54">
        <v>0</v>
      </c>
      <c r="AN119" s="57">
        <v>8.65</v>
      </c>
      <c r="AO119" s="53">
        <v>35</v>
      </c>
      <c r="AP119" s="54">
        <v>10.8</v>
      </c>
      <c r="AQ119" s="54">
        <v>150</v>
      </c>
      <c r="AR119" s="54">
        <v>0</v>
      </c>
      <c r="AS119" s="57">
        <v>12.88</v>
      </c>
      <c r="AT119" s="56">
        <v>29</v>
      </c>
      <c r="AU119" s="57">
        <v>130</v>
      </c>
      <c r="AV119" s="56">
        <v>66.166175842285199</v>
      </c>
      <c r="AW119" s="57">
        <v>386.1927324930827</v>
      </c>
      <c r="AX119" s="8"/>
      <c r="AZ119" s="1">
        <v>90</v>
      </c>
      <c r="BB119" s="82">
        <f t="shared" si="9"/>
        <v>35.112479999999998</v>
      </c>
    </row>
    <row r="120" spans="3:54" ht="15" customHeight="1" x14ac:dyDescent="0.25">
      <c r="C120" s="42"/>
      <c r="D120" s="43">
        <f>D112</f>
        <v>45725</v>
      </c>
      <c r="E120" s="44">
        <f t="shared" si="13"/>
        <v>8.9166666666666607</v>
      </c>
      <c r="F120" s="45">
        <f t="shared" si="10"/>
        <v>45725.916666666919</v>
      </c>
      <c r="G120" s="52">
        <v>36</v>
      </c>
      <c r="H120" s="53">
        <v>41</v>
      </c>
      <c r="I120" s="54">
        <v>11</v>
      </c>
      <c r="J120" s="54">
        <v>250</v>
      </c>
      <c r="K120" s="55">
        <v>0</v>
      </c>
      <c r="L120" s="56">
        <v>42</v>
      </c>
      <c r="M120" s="54">
        <v>10.1</v>
      </c>
      <c r="N120" s="54">
        <v>250</v>
      </c>
      <c r="O120" s="57">
        <v>0</v>
      </c>
      <c r="P120" s="53">
        <v>40</v>
      </c>
      <c r="Q120" s="54">
        <v>10.1</v>
      </c>
      <c r="R120" s="55">
        <v>0</v>
      </c>
      <c r="S120" s="55">
        <v>0</v>
      </c>
      <c r="T120" s="57">
        <v>16.73</v>
      </c>
      <c r="U120" s="56">
        <v>40</v>
      </c>
      <c r="V120" s="54">
        <v>10.1</v>
      </c>
      <c r="W120" s="55">
        <v>0</v>
      </c>
      <c r="X120" s="55">
        <v>0</v>
      </c>
      <c r="Y120" s="57">
        <v>15.38</v>
      </c>
      <c r="Z120" s="53">
        <v>39</v>
      </c>
      <c r="AA120" s="54">
        <v>10.3</v>
      </c>
      <c r="AB120" s="55">
        <v>0</v>
      </c>
      <c r="AC120" s="55">
        <v>0</v>
      </c>
      <c r="AD120" s="57">
        <v>15</v>
      </c>
      <c r="AE120" s="56">
        <v>39</v>
      </c>
      <c r="AF120" s="54">
        <v>10.4</v>
      </c>
      <c r="AG120" s="55">
        <v>0</v>
      </c>
      <c r="AH120" s="55">
        <v>0</v>
      </c>
      <c r="AI120" s="57">
        <v>11.92</v>
      </c>
      <c r="AJ120" s="56">
        <v>38</v>
      </c>
      <c r="AK120" s="54">
        <v>10.7</v>
      </c>
      <c r="AL120" s="54">
        <v>0</v>
      </c>
      <c r="AM120" s="54">
        <v>0</v>
      </c>
      <c r="AN120" s="57">
        <v>9.0299999999999994</v>
      </c>
      <c r="AO120" s="53">
        <v>36</v>
      </c>
      <c r="AP120" s="54">
        <v>10.8</v>
      </c>
      <c r="AQ120" s="54">
        <v>180</v>
      </c>
      <c r="AR120" s="54">
        <v>0</v>
      </c>
      <c r="AS120" s="57">
        <v>15</v>
      </c>
      <c r="AT120" s="56">
        <v>32</v>
      </c>
      <c r="AU120" s="57">
        <v>130</v>
      </c>
      <c r="AV120" s="56">
        <v>66.357421875</v>
      </c>
      <c r="AW120" s="57">
        <v>385.9963348388672</v>
      </c>
      <c r="AX120" s="8"/>
      <c r="AZ120" s="1">
        <v>90</v>
      </c>
      <c r="BB120" s="82">
        <f t="shared" si="9"/>
        <v>36.712519999999998</v>
      </c>
    </row>
    <row r="121" spans="3:54" ht="15" customHeight="1" x14ac:dyDescent="0.25">
      <c r="C121" s="42"/>
      <c r="D121" s="43">
        <f>D112</f>
        <v>45725</v>
      </c>
      <c r="E121" s="44">
        <f t="shared" si="13"/>
        <v>8.9999999999999947</v>
      </c>
      <c r="F121" s="45">
        <f t="shared" si="10"/>
        <v>45726.000000000255</v>
      </c>
      <c r="G121" s="52">
        <v>40</v>
      </c>
      <c r="H121" s="53">
        <v>41</v>
      </c>
      <c r="I121" s="54">
        <v>11</v>
      </c>
      <c r="J121" s="54">
        <v>250</v>
      </c>
      <c r="K121" s="55">
        <v>0</v>
      </c>
      <c r="L121" s="56">
        <v>42</v>
      </c>
      <c r="M121" s="54">
        <v>10.199999999999999</v>
      </c>
      <c r="N121" s="54">
        <v>250</v>
      </c>
      <c r="O121" s="57">
        <v>0</v>
      </c>
      <c r="P121" s="53">
        <v>41</v>
      </c>
      <c r="Q121" s="54">
        <v>10</v>
      </c>
      <c r="R121" s="55">
        <v>0</v>
      </c>
      <c r="S121" s="55">
        <v>0</v>
      </c>
      <c r="T121" s="57">
        <v>17.3</v>
      </c>
      <c r="U121" s="56">
        <v>40</v>
      </c>
      <c r="V121" s="54">
        <v>10</v>
      </c>
      <c r="W121" s="55">
        <v>0</v>
      </c>
      <c r="X121" s="55">
        <v>0</v>
      </c>
      <c r="Y121" s="57">
        <v>15.76</v>
      </c>
      <c r="Z121" s="53">
        <v>39</v>
      </c>
      <c r="AA121" s="54">
        <v>10.1</v>
      </c>
      <c r="AB121" s="55">
        <v>0</v>
      </c>
      <c r="AC121" s="55">
        <v>0</v>
      </c>
      <c r="AD121" s="57">
        <v>14.47</v>
      </c>
      <c r="AE121" s="56">
        <v>40</v>
      </c>
      <c r="AF121" s="54">
        <v>10.1</v>
      </c>
      <c r="AG121" s="55">
        <v>0</v>
      </c>
      <c r="AH121" s="55">
        <v>0</v>
      </c>
      <c r="AI121" s="57">
        <v>11.53</v>
      </c>
      <c r="AJ121" s="56">
        <v>38</v>
      </c>
      <c r="AK121" s="54">
        <v>10.3</v>
      </c>
      <c r="AL121" s="54">
        <v>0</v>
      </c>
      <c r="AM121" s="54">
        <v>0</v>
      </c>
      <c r="AN121" s="57">
        <v>8.65</v>
      </c>
      <c r="AO121" s="53">
        <v>37</v>
      </c>
      <c r="AP121" s="54">
        <v>10.4</v>
      </c>
      <c r="AQ121" s="54">
        <v>170</v>
      </c>
      <c r="AR121" s="54">
        <v>0</v>
      </c>
      <c r="AS121" s="57">
        <v>15.38</v>
      </c>
      <c r="AT121" s="56">
        <v>30</v>
      </c>
      <c r="AU121" s="57">
        <v>130</v>
      </c>
      <c r="AV121" s="56">
        <v>66.585281372070298</v>
      </c>
      <c r="AW121" s="57">
        <v>385.51384099324542</v>
      </c>
      <c r="AX121" s="8"/>
      <c r="AZ121" s="1">
        <v>90</v>
      </c>
      <c r="BB121" s="82">
        <f t="shared" si="9"/>
        <v>36.72578</v>
      </c>
    </row>
    <row r="122" spans="3:54" ht="15" customHeight="1" x14ac:dyDescent="0.25">
      <c r="C122" s="42"/>
      <c r="D122" s="43">
        <f>D112</f>
        <v>45725</v>
      </c>
      <c r="E122" s="44">
        <f t="shared" si="13"/>
        <v>9.0833333333333286</v>
      </c>
      <c r="F122" s="45">
        <f t="shared" si="10"/>
        <v>45726.08333333359</v>
      </c>
      <c r="G122" s="52">
        <v>34</v>
      </c>
      <c r="H122" s="53">
        <v>40</v>
      </c>
      <c r="I122" s="54">
        <v>11</v>
      </c>
      <c r="J122" s="54">
        <v>300</v>
      </c>
      <c r="K122" s="55">
        <v>0</v>
      </c>
      <c r="L122" s="56">
        <v>41</v>
      </c>
      <c r="M122" s="54">
        <v>10.5</v>
      </c>
      <c r="N122" s="54">
        <v>300</v>
      </c>
      <c r="O122" s="57">
        <v>0</v>
      </c>
      <c r="P122" s="53">
        <v>40</v>
      </c>
      <c r="Q122" s="54">
        <v>10.5</v>
      </c>
      <c r="R122" s="55">
        <v>0</v>
      </c>
      <c r="S122" s="55">
        <v>0</v>
      </c>
      <c r="T122" s="57">
        <v>17.690000000000001</v>
      </c>
      <c r="U122" s="56">
        <v>40</v>
      </c>
      <c r="V122" s="54">
        <v>10.1</v>
      </c>
      <c r="W122" s="55">
        <v>0</v>
      </c>
      <c r="X122" s="55">
        <v>0</v>
      </c>
      <c r="Y122" s="57">
        <v>15.38</v>
      </c>
      <c r="Z122" s="53">
        <v>38</v>
      </c>
      <c r="AA122" s="54">
        <v>10.1</v>
      </c>
      <c r="AB122" s="55">
        <v>0</v>
      </c>
      <c r="AC122" s="55">
        <v>0</v>
      </c>
      <c r="AD122" s="57">
        <v>14.33</v>
      </c>
      <c r="AE122" s="56">
        <v>38</v>
      </c>
      <c r="AF122" s="54">
        <v>10.1</v>
      </c>
      <c r="AG122" s="55">
        <v>0</v>
      </c>
      <c r="AH122" s="55">
        <v>0</v>
      </c>
      <c r="AI122" s="57">
        <v>11.73</v>
      </c>
      <c r="AJ122" s="56">
        <v>38</v>
      </c>
      <c r="AK122" s="54">
        <v>10.3</v>
      </c>
      <c r="AL122" s="54">
        <v>0</v>
      </c>
      <c r="AM122" s="54">
        <v>0</v>
      </c>
      <c r="AN122" s="57">
        <v>8.65</v>
      </c>
      <c r="AO122" s="53">
        <v>37</v>
      </c>
      <c r="AP122" s="54">
        <v>10.4</v>
      </c>
      <c r="AQ122" s="54">
        <v>160</v>
      </c>
      <c r="AR122" s="54">
        <v>0</v>
      </c>
      <c r="AS122" s="57">
        <v>14.8</v>
      </c>
      <c r="AT122" s="56">
        <v>30</v>
      </c>
      <c r="AU122" s="57">
        <v>150</v>
      </c>
      <c r="AV122" s="56">
        <v>66.68701171875</v>
      </c>
      <c r="AW122" s="57">
        <v>387.5483459472656</v>
      </c>
      <c r="AX122" s="8"/>
      <c r="AZ122" s="1">
        <v>90</v>
      </c>
      <c r="BB122" s="82">
        <f t="shared" si="9"/>
        <v>36.500360000000001</v>
      </c>
    </row>
    <row r="123" spans="3:54" ht="15" customHeight="1" x14ac:dyDescent="0.25">
      <c r="C123" s="42"/>
      <c r="D123" s="69">
        <f>D112</f>
        <v>45725</v>
      </c>
      <c r="E123" s="70">
        <f t="shared" si="13"/>
        <v>9.1666666666666625</v>
      </c>
      <c r="F123" s="71">
        <f t="shared" si="10"/>
        <v>45726.166666666926</v>
      </c>
      <c r="G123" s="60">
        <v>40</v>
      </c>
      <c r="H123" s="61">
        <v>39</v>
      </c>
      <c r="I123" s="62">
        <v>11</v>
      </c>
      <c r="J123" s="62">
        <v>300</v>
      </c>
      <c r="K123" s="63">
        <v>0</v>
      </c>
      <c r="L123" s="64">
        <v>41</v>
      </c>
      <c r="M123" s="62">
        <v>11</v>
      </c>
      <c r="N123" s="62">
        <v>300</v>
      </c>
      <c r="O123" s="65">
        <v>0</v>
      </c>
      <c r="P123" s="61">
        <v>40</v>
      </c>
      <c r="Q123" s="62">
        <v>10.9</v>
      </c>
      <c r="R123" s="63">
        <v>0</v>
      </c>
      <c r="S123" s="63">
        <v>0</v>
      </c>
      <c r="T123" s="65">
        <v>18.28</v>
      </c>
      <c r="U123" s="64">
        <v>40</v>
      </c>
      <c r="V123" s="62">
        <v>10.3</v>
      </c>
      <c r="W123" s="63">
        <v>0</v>
      </c>
      <c r="X123" s="63">
        <v>0</v>
      </c>
      <c r="Y123" s="65">
        <v>15.76</v>
      </c>
      <c r="Z123" s="61">
        <v>39</v>
      </c>
      <c r="AA123" s="62">
        <v>10.1</v>
      </c>
      <c r="AB123" s="63">
        <v>0</v>
      </c>
      <c r="AC123" s="63">
        <v>0</v>
      </c>
      <c r="AD123" s="65">
        <v>13.46</v>
      </c>
      <c r="AE123" s="64">
        <v>38</v>
      </c>
      <c r="AF123" s="62">
        <v>10.1</v>
      </c>
      <c r="AG123" s="63">
        <v>0</v>
      </c>
      <c r="AH123" s="63">
        <v>0</v>
      </c>
      <c r="AI123" s="65">
        <v>11.92</v>
      </c>
      <c r="AJ123" s="64">
        <v>40</v>
      </c>
      <c r="AK123" s="62">
        <v>10.3</v>
      </c>
      <c r="AL123" s="62">
        <v>0</v>
      </c>
      <c r="AM123" s="62">
        <v>0</v>
      </c>
      <c r="AN123" s="65">
        <v>8.65</v>
      </c>
      <c r="AO123" s="61">
        <v>39</v>
      </c>
      <c r="AP123" s="62">
        <v>10.4</v>
      </c>
      <c r="AQ123" s="62">
        <v>180</v>
      </c>
      <c r="AR123" s="62">
        <v>0</v>
      </c>
      <c r="AS123" s="65">
        <v>15</v>
      </c>
      <c r="AT123" s="64">
        <v>30</v>
      </c>
      <c r="AU123" s="65">
        <v>150</v>
      </c>
      <c r="AV123" s="64">
        <v>66.117347717285199</v>
      </c>
      <c r="AW123" s="65">
        <v>388.42399698893229</v>
      </c>
      <c r="AX123" s="8"/>
      <c r="AZ123" s="1">
        <v>90</v>
      </c>
      <c r="BB123" s="82">
        <f t="shared" si="9"/>
        <v>36.716940000000001</v>
      </c>
    </row>
    <row r="124" spans="3:54" ht="15" customHeight="1" x14ac:dyDescent="0.25">
      <c r="C124" s="42">
        <f>C112+1</f>
        <v>10</v>
      </c>
      <c r="D124" s="66">
        <f>DATE([3]Dash!$F$3,VLOOKUP([3]Dash!$E$3,[3]Abb!$C$3:$D$14,2,FALSE),C124)</f>
        <v>45726</v>
      </c>
      <c r="E124" s="67">
        <f>E123+2/24</f>
        <v>9.2499999999999964</v>
      </c>
      <c r="F124" s="68">
        <f t="shared" si="10"/>
        <v>45726.250000000262</v>
      </c>
      <c r="G124" s="46">
        <v>44</v>
      </c>
      <c r="H124" s="47">
        <v>40</v>
      </c>
      <c r="I124" s="48">
        <v>10.8</v>
      </c>
      <c r="J124" s="48">
        <v>250</v>
      </c>
      <c r="K124" s="49">
        <v>0</v>
      </c>
      <c r="L124" s="50">
        <v>41</v>
      </c>
      <c r="M124" s="48">
        <v>10.9</v>
      </c>
      <c r="N124" s="48">
        <v>300</v>
      </c>
      <c r="O124" s="51">
        <v>0</v>
      </c>
      <c r="P124" s="47">
        <v>40</v>
      </c>
      <c r="Q124" s="48">
        <v>10.8</v>
      </c>
      <c r="R124" s="49">
        <v>0</v>
      </c>
      <c r="S124" s="49">
        <v>0</v>
      </c>
      <c r="T124" s="51">
        <v>17.690000000000001</v>
      </c>
      <c r="U124" s="50">
        <v>40</v>
      </c>
      <c r="V124" s="48">
        <v>10.3</v>
      </c>
      <c r="W124" s="49">
        <v>0</v>
      </c>
      <c r="X124" s="49">
        <v>0</v>
      </c>
      <c r="Y124" s="51">
        <v>15.38</v>
      </c>
      <c r="Z124" s="47">
        <v>38</v>
      </c>
      <c r="AA124" s="48">
        <v>10.1</v>
      </c>
      <c r="AB124" s="49">
        <v>0</v>
      </c>
      <c r="AC124" s="49">
        <v>0</v>
      </c>
      <c r="AD124" s="51">
        <v>15</v>
      </c>
      <c r="AE124" s="50">
        <v>39</v>
      </c>
      <c r="AF124" s="48">
        <v>10.1</v>
      </c>
      <c r="AG124" s="49">
        <v>0</v>
      </c>
      <c r="AH124" s="49">
        <v>0</v>
      </c>
      <c r="AI124" s="51">
        <v>11.53</v>
      </c>
      <c r="AJ124" s="50">
        <v>40</v>
      </c>
      <c r="AK124" s="48">
        <v>10.3</v>
      </c>
      <c r="AL124" s="48">
        <v>0</v>
      </c>
      <c r="AM124" s="48">
        <v>0</v>
      </c>
      <c r="AN124" s="51">
        <v>8.65</v>
      </c>
      <c r="AO124" s="47">
        <v>38</v>
      </c>
      <c r="AP124" s="48">
        <v>10.4</v>
      </c>
      <c r="AQ124" s="48">
        <v>180</v>
      </c>
      <c r="AR124" s="48">
        <v>0</v>
      </c>
      <c r="AS124" s="51">
        <v>15</v>
      </c>
      <c r="AT124" s="50">
        <v>30</v>
      </c>
      <c r="AU124" s="51">
        <v>150</v>
      </c>
      <c r="AV124" s="50">
        <v>66.459144592285199</v>
      </c>
      <c r="AW124" s="51">
        <v>386.88247553507489</v>
      </c>
      <c r="AX124" s="8"/>
      <c r="AZ124" s="1">
        <v>90</v>
      </c>
      <c r="BB124" s="82">
        <f t="shared" si="9"/>
        <v>36.796500000000002</v>
      </c>
    </row>
    <row r="125" spans="3:54" ht="15" customHeight="1" x14ac:dyDescent="0.25">
      <c r="C125" s="42"/>
      <c r="D125" s="43">
        <f>D124</f>
        <v>45726</v>
      </c>
      <c r="E125" s="44">
        <f>E124+2/24</f>
        <v>9.3333333333333304</v>
      </c>
      <c r="F125" s="45">
        <f t="shared" si="10"/>
        <v>45726.333333333598</v>
      </c>
      <c r="G125" s="52">
        <v>41</v>
      </c>
      <c r="H125" s="53">
        <v>60</v>
      </c>
      <c r="I125" s="54">
        <v>0</v>
      </c>
      <c r="J125" s="54">
        <v>300</v>
      </c>
      <c r="K125" s="55">
        <v>0</v>
      </c>
      <c r="L125" s="56">
        <v>41</v>
      </c>
      <c r="M125" s="54">
        <v>0</v>
      </c>
      <c r="N125" s="54">
        <v>350</v>
      </c>
      <c r="O125" s="57">
        <v>0</v>
      </c>
      <c r="P125" s="53">
        <v>40</v>
      </c>
      <c r="Q125" s="54">
        <v>0</v>
      </c>
      <c r="R125" s="55">
        <v>0</v>
      </c>
      <c r="S125" s="55">
        <v>0</v>
      </c>
      <c r="T125" s="57">
        <v>17.579999999999998</v>
      </c>
      <c r="U125" s="56">
        <v>39</v>
      </c>
      <c r="V125" s="54">
        <v>0</v>
      </c>
      <c r="W125" s="55">
        <v>0</v>
      </c>
      <c r="X125" s="55">
        <v>0</v>
      </c>
      <c r="Y125" s="57">
        <v>15.52</v>
      </c>
      <c r="Z125" s="53">
        <v>40</v>
      </c>
      <c r="AA125" s="54">
        <v>0</v>
      </c>
      <c r="AB125" s="55">
        <v>0</v>
      </c>
      <c r="AC125" s="55">
        <v>0</v>
      </c>
      <c r="AD125" s="57">
        <v>13.46</v>
      </c>
      <c r="AE125" s="56">
        <v>38</v>
      </c>
      <c r="AF125" s="54">
        <v>0</v>
      </c>
      <c r="AG125" s="55">
        <v>0</v>
      </c>
      <c r="AH125" s="55">
        <v>0</v>
      </c>
      <c r="AI125" s="57">
        <v>9.61</v>
      </c>
      <c r="AJ125" s="56">
        <v>38</v>
      </c>
      <c r="AK125" s="54">
        <v>0</v>
      </c>
      <c r="AL125" s="54">
        <v>200</v>
      </c>
      <c r="AM125" s="54">
        <v>0</v>
      </c>
      <c r="AN125" s="57">
        <v>7.5</v>
      </c>
      <c r="AO125" s="53">
        <v>38</v>
      </c>
      <c r="AP125" s="54">
        <v>0</v>
      </c>
      <c r="AQ125" s="54">
        <v>230</v>
      </c>
      <c r="AR125" s="54">
        <v>0</v>
      </c>
      <c r="AS125" s="57">
        <v>14.42</v>
      </c>
      <c r="AT125" s="56">
        <v>33</v>
      </c>
      <c r="AU125" s="57">
        <v>150</v>
      </c>
      <c r="AV125" s="56">
        <v>72.4609375</v>
      </c>
      <c r="AW125" s="57">
        <v>389.80251668294272</v>
      </c>
      <c r="AX125" s="8"/>
      <c r="AZ125" s="1">
        <v>90</v>
      </c>
      <c r="BB125" s="82">
        <f t="shared" si="9"/>
        <v>34.515779999999999</v>
      </c>
    </row>
    <row r="126" spans="3:54" ht="15" customHeight="1" x14ac:dyDescent="0.25">
      <c r="C126" s="42"/>
      <c r="D126" s="43">
        <f>D124</f>
        <v>45726</v>
      </c>
      <c r="E126" s="44">
        <f t="shared" ref="E126:E135" si="14">E125+2/24</f>
        <v>9.4166666666666643</v>
      </c>
      <c r="F126" s="45">
        <f t="shared" si="10"/>
        <v>45726.416666666933</v>
      </c>
      <c r="G126" s="52">
        <v>33</v>
      </c>
      <c r="H126" s="53">
        <v>40</v>
      </c>
      <c r="I126" s="54">
        <v>11.3</v>
      </c>
      <c r="J126" s="54">
        <v>250</v>
      </c>
      <c r="K126" s="55">
        <v>0</v>
      </c>
      <c r="L126" s="56">
        <v>39</v>
      </c>
      <c r="M126" s="54">
        <v>11.3</v>
      </c>
      <c r="N126" s="54">
        <v>250</v>
      </c>
      <c r="O126" s="57">
        <v>0</v>
      </c>
      <c r="P126" s="53">
        <v>39</v>
      </c>
      <c r="Q126" s="54">
        <v>10.8</v>
      </c>
      <c r="R126" s="55">
        <v>0</v>
      </c>
      <c r="S126" s="55">
        <v>0</v>
      </c>
      <c r="T126" s="57">
        <v>17.579999999999998</v>
      </c>
      <c r="U126" s="56">
        <v>39</v>
      </c>
      <c r="V126" s="54">
        <v>10.8</v>
      </c>
      <c r="W126" s="55">
        <v>0</v>
      </c>
      <c r="X126" s="55">
        <v>0</v>
      </c>
      <c r="Y126" s="57">
        <v>15.38</v>
      </c>
      <c r="Z126" s="53">
        <v>39</v>
      </c>
      <c r="AA126" s="54">
        <v>10.7</v>
      </c>
      <c r="AB126" s="55">
        <v>0</v>
      </c>
      <c r="AC126" s="55">
        <v>0</v>
      </c>
      <c r="AD126" s="57">
        <v>13.46</v>
      </c>
      <c r="AE126" s="56">
        <v>38</v>
      </c>
      <c r="AF126" s="54">
        <v>10.6</v>
      </c>
      <c r="AG126" s="55">
        <v>0</v>
      </c>
      <c r="AH126" s="55">
        <v>0</v>
      </c>
      <c r="AI126" s="57">
        <v>10.57</v>
      </c>
      <c r="AJ126" s="56">
        <v>38</v>
      </c>
      <c r="AK126" s="54">
        <v>10.199999999999999</v>
      </c>
      <c r="AL126" s="54">
        <v>0</v>
      </c>
      <c r="AM126" s="54">
        <v>0</v>
      </c>
      <c r="AN126" s="57">
        <v>7.69</v>
      </c>
      <c r="AO126" s="53">
        <v>38</v>
      </c>
      <c r="AP126" s="54">
        <v>10.1</v>
      </c>
      <c r="AQ126" s="54">
        <v>230</v>
      </c>
      <c r="AR126" s="54">
        <v>0</v>
      </c>
      <c r="AS126" s="57">
        <v>15.19</v>
      </c>
      <c r="AT126" s="56">
        <v>33</v>
      </c>
      <c r="AU126" s="57">
        <v>160</v>
      </c>
      <c r="AV126" s="56">
        <v>72.306312561035199</v>
      </c>
      <c r="AW126" s="57">
        <v>391.72007649739584</v>
      </c>
      <c r="AX126" s="8"/>
      <c r="AZ126" s="1">
        <v>90</v>
      </c>
      <c r="BB126" s="82">
        <f t="shared" si="9"/>
        <v>35.30254</v>
      </c>
    </row>
    <row r="127" spans="3:54" ht="15" customHeight="1" x14ac:dyDescent="0.25">
      <c r="C127" s="42"/>
      <c r="D127" s="43">
        <f>D124</f>
        <v>45726</v>
      </c>
      <c r="E127" s="44">
        <f t="shared" si="14"/>
        <v>9.4999999999999982</v>
      </c>
      <c r="F127" s="45">
        <f t="shared" si="10"/>
        <v>45726.500000000269</v>
      </c>
      <c r="G127" s="52">
        <v>42</v>
      </c>
      <c r="H127" s="53">
        <v>41</v>
      </c>
      <c r="I127" s="54">
        <v>10.1</v>
      </c>
      <c r="J127" s="54">
        <v>250</v>
      </c>
      <c r="K127" s="55">
        <v>0</v>
      </c>
      <c r="L127" s="56">
        <v>39</v>
      </c>
      <c r="M127" s="54">
        <v>10.1</v>
      </c>
      <c r="N127" s="54">
        <v>250</v>
      </c>
      <c r="O127" s="57">
        <v>0</v>
      </c>
      <c r="P127" s="53">
        <v>39</v>
      </c>
      <c r="Q127" s="54">
        <v>10.9</v>
      </c>
      <c r="R127" s="55">
        <v>0</v>
      </c>
      <c r="S127" s="55">
        <v>0</v>
      </c>
      <c r="T127" s="57">
        <v>18.07</v>
      </c>
      <c r="U127" s="56">
        <v>40</v>
      </c>
      <c r="V127" s="54">
        <v>10.9</v>
      </c>
      <c r="W127" s="55">
        <v>0</v>
      </c>
      <c r="X127" s="55">
        <v>0</v>
      </c>
      <c r="Y127" s="57">
        <v>15.57</v>
      </c>
      <c r="Z127" s="53">
        <v>39</v>
      </c>
      <c r="AA127" s="54">
        <v>10.6</v>
      </c>
      <c r="AB127" s="55">
        <v>0</v>
      </c>
      <c r="AC127" s="55">
        <v>0</v>
      </c>
      <c r="AD127" s="57">
        <v>13.46</v>
      </c>
      <c r="AE127" s="56">
        <v>39</v>
      </c>
      <c r="AF127" s="54">
        <v>10.5</v>
      </c>
      <c r="AG127" s="55">
        <v>0</v>
      </c>
      <c r="AH127" s="55">
        <v>0</v>
      </c>
      <c r="AI127" s="57">
        <v>9.61</v>
      </c>
      <c r="AJ127" s="56">
        <v>39</v>
      </c>
      <c r="AK127" s="54">
        <v>10.199999999999999</v>
      </c>
      <c r="AL127" s="54">
        <v>0</v>
      </c>
      <c r="AM127" s="54">
        <v>0</v>
      </c>
      <c r="AN127" s="57">
        <v>7.69</v>
      </c>
      <c r="AO127" s="53">
        <v>38</v>
      </c>
      <c r="AP127" s="54">
        <v>10.199999999999999</v>
      </c>
      <c r="AQ127" s="54">
        <v>170</v>
      </c>
      <c r="AR127" s="54">
        <v>0</v>
      </c>
      <c r="AS127" s="57">
        <v>14.42</v>
      </c>
      <c r="AT127" s="56">
        <v>32</v>
      </c>
      <c r="AU127" s="57">
        <v>140</v>
      </c>
      <c r="AV127" s="56">
        <v>72.111000061035199</v>
      </c>
      <c r="AW127" s="57">
        <v>391.0343121846517</v>
      </c>
      <c r="AX127" s="8"/>
      <c r="AZ127" s="1">
        <v>90</v>
      </c>
      <c r="BB127" s="82">
        <f t="shared" si="9"/>
        <v>34.838440000000006</v>
      </c>
    </row>
    <row r="128" spans="3:54" ht="15" customHeight="1" x14ac:dyDescent="0.25">
      <c r="C128" s="42"/>
      <c r="D128" s="43">
        <f>D124</f>
        <v>45726</v>
      </c>
      <c r="E128" s="44">
        <f t="shared" si="14"/>
        <v>9.5833333333333321</v>
      </c>
      <c r="F128" s="45">
        <f t="shared" si="10"/>
        <v>45726.583333333605</v>
      </c>
      <c r="G128" s="52">
        <v>43</v>
      </c>
      <c r="H128" s="53">
        <v>40</v>
      </c>
      <c r="I128" s="54">
        <v>10.4</v>
      </c>
      <c r="J128" s="54">
        <v>200</v>
      </c>
      <c r="K128" s="55">
        <v>0</v>
      </c>
      <c r="L128" s="56">
        <v>39</v>
      </c>
      <c r="M128" s="54">
        <v>10.4</v>
      </c>
      <c r="N128" s="54">
        <v>200</v>
      </c>
      <c r="O128" s="57">
        <v>0</v>
      </c>
      <c r="P128" s="53">
        <v>39</v>
      </c>
      <c r="Q128" s="54">
        <v>10.9</v>
      </c>
      <c r="R128" s="55">
        <v>0</v>
      </c>
      <c r="S128" s="55">
        <v>0</v>
      </c>
      <c r="T128" s="57">
        <v>18.07</v>
      </c>
      <c r="U128" s="56">
        <v>39</v>
      </c>
      <c r="V128" s="54">
        <v>10.8</v>
      </c>
      <c r="W128" s="55">
        <v>0</v>
      </c>
      <c r="X128" s="55">
        <v>0</v>
      </c>
      <c r="Y128" s="57">
        <v>15.75</v>
      </c>
      <c r="Z128" s="53">
        <v>39</v>
      </c>
      <c r="AA128" s="54">
        <v>10.8</v>
      </c>
      <c r="AB128" s="55">
        <v>0</v>
      </c>
      <c r="AC128" s="55">
        <v>0</v>
      </c>
      <c r="AD128" s="57">
        <v>13.46</v>
      </c>
      <c r="AE128" s="56">
        <v>38</v>
      </c>
      <c r="AF128" s="54">
        <v>10.6</v>
      </c>
      <c r="AG128" s="55">
        <v>0</v>
      </c>
      <c r="AH128" s="55">
        <v>0</v>
      </c>
      <c r="AI128" s="57">
        <v>10.57</v>
      </c>
      <c r="AJ128" s="56">
        <v>38</v>
      </c>
      <c r="AK128" s="54">
        <v>10.4</v>
      </c>
      <c r="AL128" s="54">
        <v>200</v>
      </c>
      <c r="AM128" s="54">
        <v>0</v>
      </c>
      <c r="AN128" s="57">
        <v>7.69</v>
      </c>
      <c r="AO128" s="53">
        <v>0</v>
      </c>
      <c r="AP128" s="54">
        <v>0</v>
      </c>
      <c r="AQ128" s="54">
        <v>0</v>
      </c>
      <c r="AR128" s="54">
        <v>0</v>
      </c>
      <c r="AS128" s="57">
        <v>0</v>
      </c>
      <c r="AT128" s="56">
        <v>33</v>
      </c>
      <c r="AU128" s="57">
        <v>150</v>
      </c>
      <c r="AV128" s="56">
        <v>71.427406311035199</v>
      </c>
      <c r="AW128" s="57">
        <v>392.56932322184247</v>
      </c>
      <c r="AX128" s="8"/>
      <c r="AZ128" s="1">
        <v>90</v>
      </c>
      <c r="BB128" s="82">
        <f t="shared" si="9"/>
        <v>28.968680000000003</v>
      </c>
    </row>
    <row r="129" spans="3:54" ht="15" customHeight="1" x14ac:dyDescent="0.25">
      <c r="C129" s="42"/>
      <c r="D129" s="43">
        <f>D124</f>
        <v>45726</v>
      </c>
      <c r="E129" s="44">
        <f t="shared" si="14"/>
        <v>9.6666666666666661</v>
      </c>
      <c r="F129" s="45">
        <f t="shared" si="10"/>
        <v>45726.666666666941</v>
      </c>
      <c r="G129" s="52">
        <v>45</v>
      </c>
      <c r="H129" s="53">
        <v>37</v>
      </c>
      <c r="I129" s="54">
        <v>11.9</v>
      </c>
      <c r="J129" s="54">
        <v>1000</v>
      </c>
      <c r="K129" s="55">
        <v>0</v>
      </c>
      <c r="L129" s="56">
        <v>38</v>
      </c>
      <c r="M129" s="54">
        <v>11.9</v>
      </c>
      <c r="N129" s="54">
        <v>700</v>
      </c>
      <c r="O129" s="57">
        <v>0</v>
      </c>
      <c r="P129" s="53">
        <v>38</v>
      </c>
      <c r="Q129" s="54">
        <v>11.4</v>
      </c>
      <c r="R129" s="55">
        <v>0</v>
      </c>
      <c r="S129" s="55">
        <v>0</v>
      </c>
      <c r="T129" s="57">
        <v>11.57</v>
      </c>
      <c r="U129" s="56">
        <v>37</v>
      </c>
      <c r="V129" s="54">
        <v>11.1</v>
      </c>
      <c r="W129" s="55">
        <v>0</v>
      </c>
      <c r="X129" s="55">
        <v>0</v>
      </c>
      <c r="Y129" s="57">
        <v>15.76</v>
      </c>
      <c r="Z129" s="53">
        <v>38</v>
      </c>
      <c r="AA129" s="54">
        <v>10.9</v>
      </c>
      <c r="AB129" s="55">
        <v>0</v>
      </c>
      <c r="AC129" s="55">
        <v>0</v>
      </c>
      <c r="AD129" s="57">
        <v>12.5</v>
      </c>
      <c r="AE129" s="56">
        <v>37</v>
      </c>
      <c r="AF129" s="54">
        <v>10.8</v>
      </c>
      <c r="AG129" s="55">
        <v>0</v>
      </c>
      <c r="AH129" s="55">
        <v>0</v>
      </c>
      <c r="AI129" s="57">
        <v>10.57</v>
      </c>
      <c r="AJ129" s="56">
        <v>37</v>
      </c>
      <c r="AK129" s="54">
        <v>10.6</v>
      </c>
      <c r="AL129" s="54">
        <v>200</v>
      </c>
      <c r="AM129" s="54">
        <v>0</v>
      </c>
      <c r="AN129" s="57">
        <v>8.07</v>
      </c>
      <c r="AO129" s="53">
        <v>0</v>
      </c>
      <c r="AP129" s="54">
        <v>0</v>
      </c>
      <c r="AQ129" s="54">
        <v>0</v>
      </c>
      <c r="AR129" s="54">
        <v>0</v>
      </c>
      <c r="AS129" s="57">
        <v>13.46</v>
      </c>
      <c r="AT129" s="56">
        <v>31</v>
      </c>
      <c r="AU129" s="57">
        <v>150</v>
      </c>
      <c r="AV129" s="56">
        <v>0</v>
      </c>
      <c r="AW129" s="57">
        <v>391.80314483642576</v>
      </c>
      <c r="AX129" s="8"/>
      <c r="AZ129" s="1">
        <v>90</v>
      </c>
      <c r="BB129" s="82">
        <f t="shared" si="9"/>
        <v>31.793060000000001</v>
      </c>
    </row>
    <row r="130" spans="3:54" ht="15" customHeight="1" x14ac:dyDescent="0.25">
      <c r="C130" s="42"/>
      <c r="D130" s="43">
        <f>D124</f>
        <v>45726</v>
      </c>
      <c r="E130" s="44">
        <f t="shared" si="14"/>
        <v>9.75</v>
      </c>
      <c r="F130" s="45">
        <f t="shared" si="10"/>
        <v>45726.750000000276</v>
      </c>
      <c r="G130" s="52">
        <v>38</v>
      </c>
      <c r="H130" s="53">
        <v>39</v>
      </c>
      <c r="I130" s="54">
        <v>11</v>
      </c>
      <c r="J130" s="54">
        <v>800</v>
      </c>
      <c r="K130" s="55">
        <v>0</v>
      </c>
      <c r="L130" s="56">
        <v>39</v>
      </c>
      <c r="M130" s="54">
        <v>11.2</v>
      </c>
      <c r="N130" s="54">
        <v>700</v>
      </c>
      <c r="O130" s="57">
        <v>0</v>
      </c>
      <c r="P130" s="53">
        <v>39</v>
      </c>
      <c r="Q130" s="54">
        <v>11.2</v>
      </c>
      <c r="R130" s="55">
        <v>0</v>
      </c>
      <c r="S130" s="55">
        <v>0</v>
      </c>
      <c r="T130" s="57">
        <v>11.53</v>
      </c>
      <c r="U130" s="56">
        <v>37</v>
      </c>
      <c r="V130" s="54">
        <v>10.9</v>
      </c>
      <c r="W130" s="55">
        <v>0</v>
      </c>
      <c r="X130" s="55">
        <v>0</v>
      </c>
      <c r="Y130" s="57">
        <v>15.38</v>
      </c>
      <c r="Z130" s="53">
        <v>37</v>
      </c>
      <c r="AA130" s="54">
        <v>10.8</v>
      </c>
      <c r="AB130" s="55">
        <v>0</v>
      </c>
      <c r="AC130" s="55">
        <v>0</v>
      </c>
      <c r="AD130" s="57">
        <v>12.5</v>
      </c>
      <c r="AE130" s="56">
        <v>38</v>
      </c>
      <c r="AF130" s="54">
        <v>10.8</v>
      </c>
      <c r="AG130" s="55">
        <v>0</v>
      </c>
      <c r="AH130" s="55">
        <v>0</v>
      </c>
      <c r="AI130" s="57">
        <v>9.61</v>
      </c>
      <c r="AJ130" s="56">
        <v>39</v>
      </c>
      <c r="AK130" s="54">
        <v>10.6</v>
      </c>
      <c r="AL130" s="54">
        <v>210</v>
      </c>
      <c r="AM130" s="54">
        <v>0</v>
      </c>
      <c r="AN130" s="57">
        <v>8.07</v>
      </c>
      <c r="AO130" s="53">
        <v>0</v>
      </c>
      <c r="AP130" s="54">
        <v>0</v>
      </c>
      <c r="AQ130" s="54">
        <v>0</v>
      </c>
      <c r="AR130" s="54">
        <v>0</v>
      </c>
      <c r="AS130" s="57">
        <v>13.16</v>
      </c>
      <c r="AT130" s="56">
        <v>33</v>
      </c>
      <c r="AU130" s="57">
        <v>170</v>
      </c>
      <c r="AV130" s="56">
        <v>79.158531188964801</v>
      </c>
      <c r="AW130" s="57">
        <v>308.38131732940673</v>
      </c>
      <c r="AX130" s="8"/>
      <c r="AZ130" s="1">
        <v>90</v>
      </c>
      <c r="BB130" s="82">
        <f t="shared" si="9"/>
        <v>31.0505</v>
      </c>
    </row>
    <row r="131" spans="3:54" ht="15" customHeight="1" x14ac:dyDescent="0.25">
      <c r="C131" s="42"/>
      <c r="D131" s="43">
        <f>D124</f>
        <v>45726</v>
      </c>
      <c r="E131" s="44">
        <f t="shared" si="14"/>
        <v>9.8333333333333339</v>
      </c>
      <c r="F131" s="45">
        <f t="shared" si="10"/>
        <v>45726.833333333612</v>
      </c>
      <c r="G131" s="52">
        <v>39</v>
      </c>
      <c r="H131" s="53">
        <v>40</v>
      </c>
      <c r="I131" s="54">
        <v>10</v>
      </c>
      <c r="J131" s="54">
        <v>250</v>
      </c>
      <c r="K131" s="55">
        <v>0</v>
      </c>
      <c r="L131" s="56">
        <v>40</v>
      </c>
      <c r="M131" s="54">
        <v>10.8</v>
      </c>
      <c r="N131" s="54">
        <v>300</v>
      </c>
      <c r="O131" s="57">
        <v>0</v>
      </c>
      <c r="P131" s="53">
        <v>40</v>
      </c>
      <c r="Q131" s="54">
        <v>11.1</v>
      </c>
      <c r="R131" s="55">
        <v>0</v>
      </c>
      <c r="S131" s="55">
        <v>0</v>
      </c>
      <c r="T131" s="57">
        <v>17.88</v>
      </c>
      <c r="U131" s="56">
        <v>40</v>
      </c>
      <c r="V131" s="54">
        <v>10.9</v>
      </c>
      <c r="W131" s="55">
        <v>0</v>
      </c>
      <c r="X131" s="55">
        <v>0</v>
      </c>
      <c r="Y131" s="57">
        <v>15.76</v>
      </c>
      <c r="Z131" s="53">
        <v>39</v>
      </c>
      <c r="AA131" s="54">
        <v>10.9</v>
      </c>
      <c r="AB131" s="55">
        <v>0</v>
      </c>
      <c r="AC131" s="55">
        <v>0</v>
      </c>
      <c r="AD131" s="57">
        <v>14.23</v>
      </c>
      <c r="AE131" s="56">
        <v>38</v>
      </c>
      <c r="AF131" s="54">
        <v>10.8</v>
      </c>
      <c r="AG131" s="55">
        <v>0</v>
      </c>
      <c r="AH131" s="55">
        <v>0</v>
      </c>
      <c r="AI131" s="57">
        <v>12.11</v>
      </c>
      <c r="AJ131" s="56">
        <v>38</v>
      </c>
      <c r="AK131" s="54">
        <v>10.8</v>
      </c>
      <c r="AL131" s="54">
        <v>0</v>
      </c>
      <c r="AM131" s="54">
        <v>0</v>
      </c>
      <c r="AN131" s="57">
        <v>10.19</v>
      </c>
      <c r="AO131" s="53">
        <v>39</v>
      </c>
      <c r="AP131" s="54">
        <v>10.6</v>
      </c>
      <c r="AQ131" s="54">
        <v>170</v>
      </c>
      <c r="AR131" s="54">
        <v>0</v>
      </c>
      <c r="AS131" s="57">
        <v>15.19</v>
      </c>
      <c r="AT131" s="56">
        <v>34</v>
      </c>
      <c r="AU131" s="57">
        <v>60</v>
      </c>
      <c r="AV131" s="56">
        <v>79.890953063964801</v>
      </c>
      <c r="AW131" s="57">
        <v>393.94314270019532</v>
      </c>
      <c r="AX131" s="8"/>
      <c r="AZ131" s="1">
        <v>90</v>
      </c>
      <c r="BB131" s="82">
        <f t="shared" si="9"/>
        <v>37.729119999999995</v>
      </c>
    </row>
    <row r="132" spans="3:54" ht="15" customHeight="1" x14ac:dyDescent="0.25">
      <c r="C132" s="42"/>
      <c r="D132" s="43">
        <f>D124</f>
        <v>45726</v>
      </c>
      <c r="E132" s="44">
        <f t="shared" si="14"/>
        <v>9.9166666666666679</v>
      </c>
      <c r="F132" s="45">
        <f t="shared" si="10"/>
        <v>45726.916666666948</v>
      </c>
      <c r="G132" s="52">
        <v>40</v>
      </c>
      <c r="H132" s="53">
        <v>40</v>
      </c>
      <c r="I132" s="54">
        <v>10.7</v>
      </c>
      <c r="J132" s="54">
        <v>250</v>
      </c>
      <c r="K132" s="55">
        <v>0</v>
      </c>
      <c r="L132" s="56">
        <v>39</v>
      </c>
      <c r="M132" s="54">
        <v>10.9</v>
      </c>
      <c r="N132" s="54">
        <v>250</v>
      </c>
      <c r="O132" s="57">
        <v>0</v>
      </c>
      <c r="P132" s="53">
        <v>40</v>
      </c>
      <c r="Q132" s="54">
        <v>11.1</v>
      </c>
      <c r="R132" s="55">
        <v>0</v>
      </c>
      <c r="S132" s="55">
        <v>0</v>
      </c>
      <c r="T132" s="57">
        <v>16.73</v>
      </c>
      <c r="U132" s="56">
        <v>40</v>
      </c>
      <c r="V132" s="54">
        <v>11.1</v>
      </c>
      <c r="W132" s="55">
        <v>0</v>
      </c>
      <c r="X132" s="55">
        <v>0</v>
      </c>
      <c r="Y132" s="57">
        <v>16.34</v>
      </c>
      <c r="Z132" s="53">
        <v>40</v>
      </c>
      <c r="AA132" s="54">
        <v>10.8</v>
      </c>
      <c r="AB132" s="55">
        <v>0</v>
      </c>
      <c r="AC132" s="55">
        <v>0</v>
      </c>
      <c r="AD132" s="57">
        <v>14.03</v>
      </c>
      <c r="AE132" s="56">
        <v>37</v>
      </c>
      <c r="AF132" s="54">
        <v>10.9</v>
      </c>
      <c r="AG132" s="55">
        <v>0</v>
      </c>
      <c r="AH132" s="55">
        <v>0</v>
      </c>
      <c r="AI132" s="57">
        <v>11.53</v>
      </c>
      <c r="AJ132" s="56">
        <v>39</v>
      </c>
      <c r="AK132" s="54">
        <v>10.8</v>
      </c>
      <c r="AL132" s="54">
        <v>0</v>
      </c>
      <c r="AM132" s="54">
        <v>0</v>
      </c>
      <c r="AN132" s="57">
        <v>10.57</v>
      </c>
      <c r="AO132" s="53">
        <v>38</v>
      </c>
      <c r="AP132" s="54">
        <v>10.6</v>
      </c>
      <c r="AQ132" s="54">
        <v>180</v>
      </c>
      <c r="AR132" s="54">
        <v>0</v>
      </c>
      <c r="AS132" s="57">
        <v>15</v>
      </c>
      <c r="AT132" s="56">
        <v>34</v>
      </c>
      <c r="AU132" s="57">
        <v>80</v>
      </c>
      <c r="AV132" s="56">
        <v>80.110679626464801</v>
      </c>
      <c r="AW132" s="57">
        <v>393.45944290161134</v>
      </c>
      <c r="AX132" s="8"/>
      <c r="AZ132" s="1">
        <v>90</v>
      </c>
      <c r="BB132" s="82">
        <f t="shared" si="9"/>
        <v>37.216399999999993</v>
      </c>
    </row>
    <row r="133" spans="3:54" ht="15" customHeight="1" x14ac:dyDescent="0.25">
      <c r="C133" s="42"/>
      <c r="D133" s="43">
        <f>D124</f>
        <v>45726</v>
      </c>
      <c r="E133" s="44">
        <f t="shared" si="14"/>
        <v>10.000000000000002</v>
      </c>
      <c r="F133" s="45">
        <f t="shared" si="10"/>
        <v>45727.000000000284</v>
      </c>
      <c r="G133" s="52">
        <v>40</v>
      </c>
      <c r="H133" s="53">
        <v>39</v>
      </c>
      <c r="I133" s="54">
        <v>11.5</v>
      </c>
      <c r="J133" s="54">
        <v>300</v>
      </c>
      <c r="K133" s="55">
        <v>0</v>
      </c>
      <c r="L133" s="56">
        <v>39</v>
      </c>
      <c r="M133" s="54">
        <v>11.1</v>
      </c>
      <c r="N133" s="54">
        <v>250</v>
      </c>
      <c r="O133" s="57">
        <v>0</v>
      </c>
      <c r="P133" s="53">
        <v>40</v>
      </c>
      <c r="Q133" s="54">
        <v>11.1</v>
      </c>
      <c r="R133" s="55">
        <v>0</v>
      </c>
      <c r="S133" s="55">
        <v>0</v>
      </c>
      <c r="T133" s="57">
        <v>16.34</v>
      </c>
      <c r="U133" s="56">
        <v>40</v>
      </c>
      <c r="V133" s="54">
        <v>11.1</v>
      </c>
      <c r="W133" s="55">
        <v>0</v>
      </c>
      <c r="X133" s="55">
        <v>0</v>
      </c>
      <c r="Y133" s="57">
        <v>17.3</v>
      </c>
      <c r="Z133" s="53">
        <v>39</v>
      </c>
      <c r="AA133" s="54">
        <v>11</v>
      </c>
      <c r="AB133" s="55">
        <v>0</v>
      </c>
      <c r="AC133" s="55">
        <v>0</v>
      </c>
      <c r="AD133" s="57">
        <v>13.46</v>
      </c>
      <c r="AE133" s="56">
        <v>39</v>
      </c>
      <c r="AF133" s="54">
        <v>10.9</v>
      </c>
      <c r="AG133" s="55">
        <v>0</v>
      </c>
      <c r="AH133" s="55">
        <v>0</v>
      </c>
      <c r="AI133" s="57">
        <v>11.53</v>
      </c>
      <c r="AJ133" s="56">
        <v>40</v>
      </c>
      <c r="AK133" s="54">
        <v>10.9</v>
      </c>
      <c r="AL133" s="54">
        <v>0</v>
      </c>
      <c r="AM133" s="54">
        <v>0</v>
      </c>
      <c r="AN133" s="57">
        <v>9.61</v>
      </c>
      <c r="AO133" s="53">
        <v>39</v>
      </c>
      <c r="AP133" s="54">
        <v>10.7</v>
      </c>
      <c r="AQ133" s="54">
        <v>180</v>
      </c>
      <c r="AR133" s="54">
        <v>0</v>
      </c>
      <c r="AS133" s="57">
        <v>14.42</v>
      </c>
      <c r="AT133" s="56">
        <v>34</v>
      </c>
      <c r="AU133" s="57">
        <v>150</v>
      </c>
      <c r="AV133" s="56">
        <v>80.354820251464801</v>
      </c>
      <c r="AW133" s="57">
        <v>393.04072621663414</v>
      </c>
      <c r="AX133" s="8"/>
      <c r="AZ133" s="1">
        <v>90</v>
      </c>
      <c r="BB133" s="82">
        <f t="shared" si="9"/>
        <v>36.535719999999998</v>
      </c>
    </row>
    <row r="134" spans="3:54" ht="15" customHeight="1" x14ac:dyDescent="0.25">
      <c r="C134" s="42"/>
      <c r="D134" s="43">
        <f>D124</f>
        <v>45726</v>
      </c>
      <c r="E134" s="44">
        <f t="shared" si="14"/>
        <v>10.083333333333336</v>
      </c>
      <c r="F134" s="45">
        <f t="shared" si="10"/>
        <v>45727.08333333362</v>
      </c>
      <c r="G134" s="52">
        <v>42</v>
      </c>
      <c r="H134" s="53">
        <v>40</v>
      </c>
      <c r="I134" s="54">
        <v>0</v>
      </c>
      <c r="J134" s="54">
        <v>250</v>
      </c>
      <c r="K134" s="55">
        <v>0</v>
      </c>
      <c r="L134" s="56">
        <v>40</v>
      </c>
      <c r="M134" s="54">
        <v>0</v>
      </c>
      <c r="N134" s="54">
        <v>300</v>
      </c>
      <c r="O134" s="57">
        <v>0</v>
      </c>
      <c r="P134" s="53">
        <v>40</v>
      </c>
      <c r="Q134" s="54">
        <v>0</v>
      </c>
      <c r="R134" s="55">
        <v>0</v>
      </c>
      <c r="S134" s="55">
        <v>0</v>
      </c>
      <c r="T134" s="57">
        <v>16.73</v>
      </c>
      <c r="U134" s="56">
        <v>39</v>
      </c>
      <c r="V134" s="54">
        <v>0</v>
      </c>
      <c r="W134" s="55">
        <v>0</v>
      </c>
      <c r="X134" s="55">
        <v>0</v>
      </c>
      <c r="Y134" s="57">
        <v>16.73</v>
      </c>
      <c r="Z134" s="53">
        <v>40</v>
      </c>
      <c r="AA134" s="54">
        <v>0</v>
      </c>
      <c r="AB134" s="55">
        <v>0</v>
      </c>
      <c r="AC134" s="55">
        <v>0</v>
      </c>
      <c r="AD134" s="57">
        <v>14.23</v>
      </c>
      <c r="AE134" s="56">
        <v>39</v>
      </c>
      <c r="AF134" s="54">
        <v>0</v>
      </c>
      <c r="AG134" s="55">
        <v>0</v>
      </c>
      <c r="AH134" s="55">
        <v>0</v>
      </c>
      <c r="AI134" s="57">
        <v>12.5</v>
      </c>
      <c r="AJ134" s="56">
        <v>40</v>
      </c>
      <c r="AK134" s="54">
        <v>0</v>
      </c>
      <c r="AL134" s="54">
        <v>0</v>
      </c>
      <c r="AM134" s="54">
        <v>0</v>
      </c>
      <c r="AN134" s="57">
        <v>8.65</v>
      </c>
      <c r="AO134" s="53">
        <v>39</v>
      </c>
      <c r="AP134" s="54">
        <v>0</v>
      </c>
      <c r="AQ134" s="54">
        <v>200</v>
      </c>
      <c r="AR134" s="54">
        <v>0</v>
      </c>
      <c r="AS134" s="57">
        <v>14.8</v>
      </c>
      <c r="AT134" s="56">
        <v>34</v>
      </c>
      <c r="AU134" s="57">
        <v>160</v>
      </c>
      <c r="AV134" s="56">
        <v>80.171714782714801</v>
      </c>
      <c r="AW134" s="57">
        <v>391.66160252889</v>
      </c>
      <c r="AX134" s="8"/>
      <c r="AZ134" s="1">
        <v>90</v>
      </c>
      <c r="BB134" s="82">
        <f t="shared" si="9"/>
        <v>36.968879999999999</v>
      </c>
    </row>
    <row r="135" spans="3:54" ht="15" customHeight="1" x14ac:dyDescent="0.25">
      <c r="C135" s="42"/>
      <c r="D135" s="69">
        <f>D124</f>
        <v>45726</v>
      </c>
      <c r="E135" s="70">
        <f t="shared" si="14"/>
        <v>10.16666666666667</v>
      </c>
      <c r="F135" s="71">
        <f t="shared" si="10"/>
        <v>45727.166666666955</v>
      </c>
      <c r="G135" s="60">
        <v>42</v>
      </c>
      <c r="H135" s="61">
        <v>42</v>
      </c>
      <c r="I135" s="62">
        <v>0</v>
      </c>
      <c r="J135" s="62">
        <v>250</v>
      </c>
      <c r="K135" s="63">
        <v>0</v>
      </c>
      <c r="L135" s="64">
        <v>40</v>
      </c>
      <c r="M135" s="62">
        <v>0</v>
      </c>
      <c r="N135" s="62">
        <v>250</v>
      </c>
      <c r="O135" s="65">
        <v>0</v>
      </c>
      <c r="P135" s="61">
        <v>40</v>
      </c>
      <c r="Q135" s="62">
        <v>0</v>
      </c>
      <c r="R135" s="63">
        <v>0</v>
      </c>
      <c r="S135" s="63">
        <v>0</v>
      </c>
      <c r="T135" s="65">
        <v>17.3</v>
      </c>
      <c r="U135" s="64">
        <v>40</v>
      </c>
      <c r="V135" s="62">
        <v>0</v>
      </c>
      <c r="W135" s="63">
        <v>0</v>
      </c>
      <c r="X135" s="63">
        <v>0</v>
      </c>
      <c r="Y135" s="65">
        <v>16.34</v>
      </c>
      <c r="Z135" s="61">
        <v>39</v>
      </c>
      <c r="AA135" s="62">
        <v>0</v>
      </c>
      <c r="AB135" s="63">
        <v>0</v>
      </c>
      <c r="AC135" s="63">
        <v>0</v>
      </c>
      <c r="AD135" s="65">
        <v>14.42</v>
      </c>
      <c r="AE135" s="64">
        <v>39</v>
      </c>
      <c r="AF135" s="62">
        <v>0</v>
      </c>
      <c r="AG135" s="63">
        <v>0</v>
      </c>
      <c r="AH135" s="63">
        <v>0</v>
      </c>
      <c r="AI135" s="65">
        <v>11.52</v>
      </c>
      <c r="AJ135" s="64">
        <v>40</v>
      </c>
      <c r="AK135" s="62">
        <v>0</v>
      </c>
      <c r="AL135" s="62">
        <v>0</v>
      </c>
      <c r="AM135" s="62">
        <v>0</v>
      </c>
      <c r="AN135" s="65">
        <v>9.0299999999999994</v>
      </c>
      <c r="AO135" s="61">
        <v>39</v>
      </c>
      <c r="AP135" s="62">
        <v>0</v>
      </c>
      <c r="AQ135" s="62">
        <v>200</v>
      </c>
      <c r="AR135" s="62">
        <v>0</v>
      </c>
      <c r="AS135" s="65">
        <v>14.42</v>
      </c>
      <c r="AT135" s="64">
        <v>32</v>
      </c>
      <c r="AU135" s="65">
        <v>170</v>
      </c>
      <c r="AV135" s="64">
        <v>79.931640625</v>
      </c>
      <c r="AW135" s="65">
        <v>392.0323351542155</v>
      </c>
      <c r="AX135" s="8"/>
      <c r="AZ135" s="1">
        <v>90</v>
      </c>
      <c r="BB135" s="82">
        <f t="shared" si="9"/>
        <v>36.699260000000002</v>
      </c>
    </row>
    <row r="136" spans="3:54" ht="15" customHeight="1" x14ac:dyDescent="0.25">
      <c r="C136" s="42">
        <f>C124+1</f>
        <v>11</v>
      </c>
      <c r="D136" s="66">
        <f>DATE([3]Dash!$F$3,VLOOKUP([3]Dash!$E$3,[3]Abb!$C$3:$D$14,2,FALSE),C136)</f>
        <v>45727</v>
      </c>
      <c r="E136" s="67">
        <f>E135+2/24</f>
        <v>10.250000000000004</v>
      </c>
      <c r="F136" s="68">
        <f t="shared" si="10"/>
        <v>45727.250000000291</v>
      </c>
      <c r="G136" s="46">
        <v>43</v>
      </c>
      <c r="H136" s="47">
        <v>42</v>
      </c>
      <c r="I136" s="48">
        <v>0</v>
      </c>
      <c r="J136" s="48">
        <v>250</v>
      </c>
      <c r="K136" s="49">
        <v>0</v>
      </c>
      <c r="L136" s="50">
        <v>41</v>
      </c>
      <c r="M136" s="48">
        <v>0</v>
      </c>
      <c r="N136" s="48">
        <v>250</v>
      </c>
      <c r="O136" s="51">
        <v>0</v>
      </c>
      <c r="P136" s="47">
        <v>40</v>
      </c>
      <c r="Q136" s="48">
        <v>0</v>
      </c>
      <c r="R136" s="49">
        <v>0</v>
      </c>
      <c r="S136" s="49">
        <v>0</v>
      </c>
      <c r="T136" s="51">
        <v>16.34</v>
      </c>
      <c r="U136" s="50">
        <v>40</v>
      </c>
      <c r="V136" s="48">
        <v>0</v>
      </c>
      <c r="W136" s="49">
        <v>0</v>
      </c>
      <c r="X136" s="49">
        <v>0</v>
      </c>
      <c r="Y136" s="51">
        <v>18.260000000000002</v>
      </c>
      <c r="Z136" s="47">
        <v>39</v>
      </c>
      <c r="AA136" s="48">
        <v>0</v>
      </c>
      <c r="AB136" s="49">
        <v>0</v>
      </c>
      <c r="AC136" s="49">
        <v>0</v>
      </c>
      <c r="AD136" s="51">
        <v>11.53</v>
      </c>
      <c r="AE136" s="50">
        <v>40</v>
      </c>
      <c r="AF136" s="48">
        <v>0</v>
      </c>
      <c r="AG136" s="49">
        <v>0</v>
      </c>
      <c r="AH136" s="49">
        <v>0</v>
      </c>
      <c r="AI136" s="51">
        <v>13.4</v>
      </c>
      <c r="AJ136" s="50">
        <v>39</v>
      </c>
      <c r="AK136" s="48">
        <v>0</v>
      </c>
      <c r="AL136" s="48">
        <v>0</v>
      </c>
      <c r="AM136" s="48">
        <v>0</v>
      </c>
      <c r="AN136" s="51">
        <v>11.53</v>
      </c>
      <c r="AO136" s="47">
        <v>39</v>
      </c>
      <c r="AP136" s="48">
        <v>0</v>
      </c>
      <c r="AQ136" s="48">
        <v>200</v>
      </c>
      <c r="AR136" s="48">
        <v>0</v>
      </c>
      <c r="AS136" s="51">
        <v>14.42</v>
      </c>
      <c r="AT136" s="50">
        <v>34</v>
      </c>
      <c r="AU136" s="51">
        <v>140</v>
      </c>
      <c r="AV136" s="50">
        <v>79.9072265625</v>
      </c>
      <c r="AW136" s="51">
        <v>391.02514902750653</v>
      </c>
      <c r="AX136" s="8"/>
      <c r="AZ136" s="1">
        <v>90</v>
      </c>
      <c r="BB136" s="82">
        <f t="shared" si="9"/>
        <v>37.782159999999998</v>
      </c>
    </row>
    <row r="137" spans="3:54" ht="15" customHeight="1" x14ac:dyDescent="0.25">
      <c r="C137" s="42"/>
      <c r="D137" s="43">
        <f>D136</f>
        <v>45727</v>
      </c>
      <c r="E137" s="44">
        <f>E136+2/24</f>
        <v>10.333333333333337</v>
      </c>
      <c r="F137" s="45">
        <f t="shared" si="10"/>
        <v>45727.333333333627</v>
      </c>
      <c r="G137" s="52">
        <v>43</v>
      </c>
      <c r="H137" s="53">
        <v>42</v>
      </c>
      <c r="I137" s="54">
        <v>9.6999999999999993</v>
      </c>
      <c r="J137" s="54">
        <v>150</v>
      </c>
      <c r="K137" s="55">
        <v>0</v>
      </c>
      <c r="L137" s="56">
        <v>42</v>
      </c>
      <c r="M137" s="54">
        <v>10.5</v>
      </c>
      <c r="N137" s="54">
        <v>250</v>
      </c>
      <c r="O137" s="57">
        <v>0</v>
      </c>
      <c r="P137" s="53">
        <v>40</v>
      </c>
      <c r="Q137" s="54">
        <v>10.9</v>
      </c>
      <c r="R137" s="55">
        <v>0</v>
      </c>
      <c r="S137" s="55">
        <v>0</v>
      </c>
      <c r="T137" s="57">
        <v>15.38</v>
      </c>
      <c r="U137" s="56">
        <v>40</v>
      </c>
      <c r="V137" s="54">
        <v>11</v>
      </c>
      <c r="W137" s="55">
        <v>0</v>
      </c>
      <c r="X137" s="55">
        <v>0</v>
      </c>
      <c r="Y137" s="57">
        <v>16.149999999999999</v>
      </c>
      <c r="Z137" s="53">
        <v>40</v>
      </c>
      <c r="AA137" s="54">
        <v>11.1</v>
      </c>
      <c r="AB137" s="55">
        <v>0</v>
      </c>
      <c r="AC137" s="55">
        <v>0</v>
      </c>
      <c r="AD137" s="57">
        <v>13.46</v>
      </c>
      <c r="AE137" s="56">
        <v>39</v>
      </c>
      <c r="AF137" s="54">
        <v>11.1</v>
      </c>
      <c r="AG137" s="55">
        <v>0</v>
      </c>
      <c r="AH137" s="55">
        <v>0</v>
      </c>
      <c r="AI137" s="57">
        <v>9.61</v>
      </c>
      <c r="AJ137" s="56">
        <v>39</v>
      </c>
      <c r="AK137" s="54">
        <v>11</v>
      </c>
      <c r="AL137" s="54">
        <v>0</v>
      </c>
      <c r="AM137" s="54">
        <v>0</v>
      </c>
      <c r="AN137" s="57">
        <v>9.61</v>
      </c>
      <c r="AO137" s="53">
        <v>39</v>
      </c>
      <c r="AP137" s="54">
        <v>11</v>
      </c>
      <c r="AQ137" s="54">
        <v>180</v>
      </c>
      <c r="AR137" s="54">
        <v>0</v>
      </c>
      <c r="AS137" s="57">
        <v>13.46</v>
      </c>
      <c r="AT137" s="56">
        <v>30</v>
      </c>
      <c r="AU137" s="57">
        <v>150</v>
      </c>
      <c r="AV137" s="56">
        <v>80.131019592285199</v>
      </c>
      <c r="AW137" s="57">
        <v>390.21375910441083</v>
      </c>
      <c r="AX137" s="8"/>
      <c r="AZ137" s="1">
        <v>90</v>
      </c>
      <c r="BB137" s="82">
        <f t="shared" si="9"/>
        <v>34.33014</v>
      </c>
    </row>
    <row r="138" spans="3:54" ht="15" customHeight="1" x14ac:dyDescent="0.25">
      <c r="C138" s="42"/>
      <c r="D138" s="43">
        <f>D136</f>
        <v>45727</v>
      </c>
      <c r="E138" s="44">
        <f t="shared" ref="E138:E147" si="15">E137+2/24</f>
        <v>10.416666666666671</v>
      </c>
      <c r="F138" s="45">
        <f t="shared" si="10"/>
        <v>45727.416666666963</v>
      </c>
      <c r="G138" s="52">
        <v>43</v>
      </c>
      <c r="H138" s="53">
        <v>42</v>
      </c>
      <c r="I138" s="54">
        <v>10.7</v>
      </c>
      <c r="J138" s="54">
        <v>200</v>
      </c>
      <c r="K138" s="55">
        <v>0</v>
      </c>
      <c r="L138" s="56">
        <v>40</v>
      </c>
      <c r="M138" s="54">
        <v>10.5</v>
      </c>
      <c r="N138" s="54">
        <v>200</v>
      </c>
      <c r="O138" s="57">
        <v>0</v>
      </c>
      <c r="P138" s="53">
        <v>39</v>
      </c>
      <c r="Q138" s="54">
        <v>10.9</v>
      </c>
      <c r="R138" s="55">
        <v>0</v>
      </c>
      <c r="S138" s="55">
        <v>0</v>
      </c>
      <c r="T138" s="57">
        <v>11.58</v>
      </c>
      <c r="U138" s="56">
        <v>39</v>
      </c>
      <c r="V138" s="54">
        <v>10.9</v>
      </c>
      <c r="W138" s="55">
        <v>0</v>
      </c>
      <c r="X138" s="55">
        <v>0</v>
      </c>
      <c r="Y138" s="57">
        <v>16.149999999999999</v>
      </c>
      <c r="Z138" s="53">
        <v>39</v>
      </c>
      <c r="AA138" s="54">
        <v>11.1</v>
      </c>
      <c r="AB138" s="55">
        <v>0</v>
      </c>
      <c r="AC138" s="55">
        <v>0</v>
      </c>
      <c r="AD138" s="57">
        <v>12.88</v>
      </c>
      <c r="AE138" s="56">
        <v>38</v>
      </c>
      <c r="AF138" s="54">
        <v>11.1</v>
      </c>
      <c r="AG138" s="55">
        <v>0</v>
      </c>
      <c r="AH138" s="55">
        <v>0</v>
      </c>
      <c r="AI138" s="57">
        <v>9.61</v>
      </c>
      <c r="AJ138" s="56">
        <v>39</v>
      </c>
      <c r="AK138" s="54">
        <v>11</v>
      </c>
      <c r="AL138" s="54">
        <v>0</v>
      </c>
      <c r="AM138" s="54">
        <v>0</v>
      </c>
      <c r="AN138" s="57">
        <v>9.61</v>
      </c>
      <c r="AO138" s="53">
        <v>30</v>
      </c>
      <c r="AP138" s="54">
        <v>11</v>
      </c>
      <c r="AQ138" s="54">
        <v>190</v>
      </c>
      <c r="AR138" s="54">
        <v>0</v>
      </c>
      <c r="AS138" s="57">
        <v>12.88</v>
      </c>
      <c r="AT138" s="56">
        <v>29</v>
      </c>
      <c r="AU138" s="57">
        <v>150</v>
      </c>
      <c r="AV138" s="56">
        <v>79.545082092285199</v>
      </c>
      <c r="AW138" s="57">
        <v>387.63635635375977</v>
      </c>
      <c r="AX138" s="8"/>
      <c r="AZ138" s="1">
        <v>90</v>
      </c>
      <c r="BB138" s="82">
        <f t="shared" si="9"/>
        <v>32.137819999999998</v>
      </c>
    </row>
    <row r="139" spans="3:54" ht="15" customHeight="1" x14ac:dyDescent="0.25">
      <c r="C139" s="42"/>
      <c r="D139" s="43">
        <f>D136</f>
        <v>45727</v>
      </c>
      <c r="E139" s="44">
        <f t="shared" si="15"/>
        <v>10.500000000000005</v>
      </c>
      <c r="F139" s="45">
        <f t="shared" si="10"/>
        <v>45727.500000000298</v>
      </c>
      <c r="G139" s="52">
        <v>43</v>
      </c>
      <c r="H139" s="53">
        <v>43</v>
      </c>
      <c r="I139" s="54">
        <v>10</v>
      </c>
      <c r="J139" s="54">
        <v>200</v>
      </c>
      <c r="K139" s="55">
        <v>0</v>
      </c>
      <c r="L139" s="56">
        <v>42</v>
      </c>
      <c r="M139" s="54">
        <v>10</v>
      </c>
      <c r="N139" s="54">
        <v>200</v>
      </c>
      <c r="O139" s="57">
        <v>0</v>
      </c>
      <c r="P139" s="53">
        <v>39</v>
      </c>
      <c r="Q139" s="54">
        <v>10</v>
      </c>
      <c r="R139" s="55">
        <v>0</v>
      </c>
      <c r="S139" s="55">
        <v>0</v>
      </c>
      <c r="T139" s="57">
        <v>6.73</v>
      </c>
      <c r="U139" s="56">
        <v>40</v>
      </c>
      <c r="V139" s="54">
        <v>10</v>
      </c>
      <c r="W139" s="55">
        <v>0</v>
      </c>
      <c r="X139" s="55">
        <v>0</v>
      </c>
      <c r="Y139" s="57">
        <v>16.34</v>
      </c>
      <c r="Z139" s="53">
        <v>39</v>
      </c>
      <c r="AA139" s="54">
        <v>11</v>
      </c>
      <c r="AB139" s="55">
        <v>0</v>
      </c>
      <c r="AC139" s="55">
        <v>0</v>
      </c>
      <c r="AD139" s="57">
        <v>13.26</v>
      </c>
      <c r="AE139" s="56">
        <v>39</v>
      </c>
      <c r="AF139" s="54">
        <v>11</v>
      </c>
      <c r="AG139" s="55">
        <v>0</v>
      </c>
      <c r="AH139" s="55">
        <v>0</v>
      </c>
      <c r="AI139" s="57">
        <v>9.8000000000000007</v>
      </c>
      <c r="AJ139" s="56">
        <v>37</v>
      </c>
      <c r="AK139" s="54">
        <v>11</v>
      </c>
      <c r="AL139" s="54">
        <v>0</v>
      </c>
      <c r="AM139" s="54">
        <v>0</v>
      </c>
      <c r="AN139" s="57">
        <v>9.42</v>
      </c>
      <c r="AO139" s="53">
        <v>35</v>
      </c>
      <c r="AP139" s="54">
        <v>11</v>
      </c>
      <c r="AQ139" s="54">
        <v>180</v>
      </c>
      <c r="AR139" s="54">
        <v>0</v>
      </c>
      <c r="AS139" s="57">
        <v>12.88</v>
      </c>
      <c r="AT139" s="56">
        <v>28</v>
      </c>
      <c r="AU139" s="57">
        <v>140</v>
      </c>
      <c r="AV139" s="56">
        <v>80.3466796875</v>
      </c>
      <c r="AW139" s="57">
        <v>387.48842569986977</v>
      </c>
      <c r="AX139" s="8"/>
      <c r="AZ139" s="1">
        <v>90</v>
      </c>
      <c r="BB139" s="82">
        <f t="shared" si="9"/>
        <v>30.246059999999996</v>
      </c>
    </row>
    <row r="140" spans="3:54" ht="15" customHeight="1" x14ac:dyDescent="0.25">
      <c r="C140" s="42"/>
      <c r="D140" s="43">
        <f>D136</f>
        <v>45727</v>
      </c>
      <c r="E140" s="44">
        <f t="shared" si="15"/>
        <v>10.583333333333339</v>
      </c>
      <c r="F140" s="45">
        <f t="shared" si="10"/>
        <v>45727.583333333634</v>
      </c>
      <c r="G140" s="52">
        <v>41</v>
      </c>
      <c r="H140" s="53">
        <v>42</v>
      </c>
      <c r="I140" s="54">
        <v>10</v>
      </c>
      <c r="J140" s="54">
        <v>250</v>
      </c>
      <c r="K140" s="55">
        <v>0</v>
      </c>
      <c r="L140" s="56">
        <v>43</v>
      </c>
      <c r="M140" s="54">
        <v>10</v>
      </c>
      <c r="N140" s="54">
        <v>200</v>
      </c>
      <c r="O140" s="57">
        <v>0</v>
      </c>
      <c r="P140" s="53">
        <v>37</v>
      </c>
      <c r="Q140" s="54">
        <v>10</v>
      </c>
      <c r="R140" s="55">
        <v>0</v>
      </c>
      <c r="S140" s="55">
        <v>0</v>
      </c>
      <c r="T140" s="57" t="s">
        <v>38</v>
      </c>
      <c r="U140" s="56">
        <v>38</v>
      </c>
      <c r="V140" s="54">
        <v>10</v>
      </c>
      <c r="W140" s="55">
        <v>0</v>
      </c>
      <c r="X140" s="55">
        <v>0</v>
      </c>
      <c r="Y140" s="57">
        <v>16.53</v>
      </c>
      <c r="Z140" s="53">
        <v>38</v>
      </c>
      <c r="AA140" s="54">
        <v>10</v>
      </c>
      <c r="AB140" s="55">
        <v>0</v>
      </c>
      <c r="AC140" s="55">
        <v>0</v>
      </c>
      <c r="AD140" s="57">
        <v>13.26</v>
      </c>
      <c r="AE140" s="56">
        <v>39</v>
      </c>
      <c r="AF140" s="54">
        <v>10</v>
      </c>
      <c r="AG140" s="55">
        <v>0</v>
      </c>
      <c r="AH140" s="55">
        <v>0</v>
      </c>
      <c r="AI140" s="57">
        <v>9.8000000000000007</v>
      </c>
      <c r="AJ140" s="56">
        <v>38</v>
      </c>
      <c r="AK140" s="54">
        <v>10</v>
      </c>
      <c r="AL140" s="54">
        <v>0</v>
      </c>
      <c r="AM140" s="54">
        <v>0</v>
      </c>
      <c r="AN140" s="57">
        <v>9.23</v>
      </c>
      <c r="AO140" s="53">
        <v>36</v>
      </c>
      <c r="AP140" s="54">
        <v>11</v>
      </c>
      <c r="AQ140" s="54">
        <v>170</v>
      </c>
      <c r="AR140" s="54">
        <v>0</v>
      </c>
      <c r="AS140" s="57">
        <v>12.5</v>
      </c>
      <c r="AT140" s="56">
        <v>28</v>
      </c>
      <c r="AU140" s="57">
        <v>140</v>
      </c>
      <c r="AV140" s="56">
        <v>79.756675720214801</v>
      </c>
      <c r="AW140" s="57">
        <v>386.4835299173991</v>
      </c>
      <c r="AX140" s="8"/>
      <c r="AZ140" s="1">
        <v>90</v>
      </c>
      <c r="BB140" s="82" t="e">
        <f t="shared" si="9"/>
        <v>#VALUE!</v>
      </c>
    </row>
    <row r="141" spans="3:54" ht="15" customHeight="1" x14ac:dyDescent="0.25">
      <c r="C141" s="42"/>
      <c r="D141" s="43">
        <f>D136</f>
        <v>45727</v>
      </c>
      <c r="E141" s="44">
        <f t="shared" si="15"/>
        <v>10.666666666666673</v>
      </c>
      <c r="F141" s="45">
        <f t="shared" si="10"/>
        <v>45727.66666666697</v>
      </c>
      <c r="G141" s="52">
        <v>44</v>
      </c>
      <c r="H141" s="53">
        <v>41</v>
      </c>
      <c r="I141" s="54">
        <v>10</v>
      </c>
      <c r="J141" s="54">
        <v>200</v>
      </c>
      <c r="K141" s="55">
        <v>0</v>
      </c>
      <c r="L141" s="56">
        <v>41</v>
      </c>
      <c r="M141" s="54">
        <v>10</v>
      </c>
      <c r="N141" s="54">
        <v>250</v>
      </c>
      <c r="O141" s="57">
        <v>0</v>
      </c>
      <c r="P141" s="53">
        <v>39</v>
      </c>
      <c r="Q141" s="54">
        <v>10</v>
      </c>
      <c r="R141" s="55">
        <v>0</v>
      </c>
      <c r="S141" s="55">
        <v>0</v>
      </c>
      <c r="T141" s="57">
        <v>11.53</v>
      </c>
      <c r="U141" s="56">
        <v>39</v>
      </c>
      <c r="V141" s="54">
        <v>10</v>
      </c>
      <c r="W141" s="55">
        <v>0</v>
      </c>
      <c r="X141" s="55">
        <v>0</v>
      </c>
      <c r="Y141" s="57">
        <v>12.5</v>
      </c>
      <c r="Z141" s="53">
        <v>34</v>
      </c>
      <c r="AA141" s="54">
        <v>10</v>
      </c>
      <c r="AB141" s="55">
        <v>0</v>
      </c>
      <c r="AC141" s="55">
        <v>0</v>
      </c>
      <c r="AD141" s="57">
        <v>13.46</v>
      </c>
      <c r="AE141" s="56">
        <v>38</v>
      </c>
      <c r="AF141" s="54">
        <v>10</v>
      </c>
      <c r="AG141" s="55">
        <v>0</v>
      </c>
      <c r="AH141" s="55">
        <v>0</v>
      </c>
      <c r="AI141" s="57">
        <v>9.61</v>
      </c>
      <c r="AJ141" s="56">
        <v>38</v>
      </c>
      <c r="AK141" s="54">
        <v>10</v>
      </c>
      <c r="AL141" s="54">
        <v>0</v>
      </c>
      <c r="AM141" s="54">
        <v>0</v>
      </c>
      <c r="AN141" s="57">
        <v>9.61</v>
      </c>
      <c r="AO141" s="53">
        <v>38</v>
      </c>
      <c r="AP141" s="54">
        <v>11</v>
      </c>
      <c r="AQ141" s="54">
        <v>150</v>
      </c>
      <c r="AR141" s="54">
        <v>0</v>
      </c>
      <c r="AS141" s="57">
        <v>13.46</v>
      </c>
      <c r="AT141" s="56">
        <v>24</v>
      </c>
      <c r="AU141" s="57">
        <v>110</v>
      </c>
      <c r="AV141" s="56">
        <v>79.5654296875</v>
      </c>
      <c r="AW141" s="57">
        <v>385.80355453491211</v>
      </c>
      <c r="AX141" s="8"/>
      <c r="AZ141" s="1">
        <v>90</v>
      </c>
      <c r="BB141" s="82">
        <f t="shared" si="9"/>
        <v>31.015139999999995</v>
      </c>
    </row>
    <row r="142" spans="3:54" ht="15" customHeight="1" x14ac:dyDescent="0.25">
      <c r="C142" s="42"/>
      <c r="D142" s="43">
        <f>D136</f>
        <v>45727</v>
      </c>
      <c r="E142" s="44">
        <f t="shared" si="15"/>
        <v>10.750000000000007</v>
      </c>
      <c r="F142" s="45">
        <f t="shared" si="10"/>
        <v>45727.750000000306</v>
      </c>
      <c r="G142" s="52">
        <v>41</v>
      </c>
      <c r="H142" s="53">
        <v>42</v>
      </c>
      <c r="I142" s="54">
        <v>10</v>
      </c>
      <c r="J142" s="54">
        <v>200</v>
      </c>
      <c r="K142" s="55">
        <v>0</v>
      </c>
      <c r="L142" s="56">
        <v>42</v>
      </c>
      <c r="M142" s="54">
        <v>10</v>
      </c>
      <c r="N142" s="54">
        <v>250</v>
      </c>
      <c r="O142" s="57">
        <v>0</v>
      </c>
      <c r="P142" s="53">
        <v>40</v>
      </c>
      <c r="Q142" s="54">
        <v>0</v>
      </c>
      <c r="R142" s="55">
        <v>0</v>
      </c>
      <c r="S142" s="55">
        <v>0</v>
      </c>
      <c r="T142" s="57">
        <v>16.34</v>
      </c>
      <c r="U142" s="56">
        <v>40</v>
      </c>
      <c r="V142" s="54">
        <v>10</v>
      </c>
      <c r="W142" s="55">
        <v>0</v>
      </c>
      <c r="X142" s="55">
        <v>0</v>
      </c>
      <c r="Y142" s="57">
        <v>6.34</v>
      </c>
      <c r="Z142" s="53">
        <v>40</v>
      </c>
      <c r="AA142" s="54">
        <v>10</v>
      </c>
      <c r="AB142" s="55">
        <v>0</v>
      </c>
      <c r="AC142" s="55">
        <v>0</v>
      </c>
      <c r="AD142" s="57">
        <v>13.46</v>
      </c>
      <c r="AE142" s="56">
        <v>39</v>
      </c>
      <c r="AF142" s="54">
        <v>10</v>
      </c>
      <c r="AG142" s="55">
        <v>0</v>
      </c>
      <c r="AH142" s="55">
        <v>0</v>
      </c>
      <c r="AI142" s="57">
        <v>9.61</v>
      </c>
      <c r="AJ142" s="56">
        <v>39</v>
      </c>
      <c r="AK142" s="54">
        <v>10</v>
      </c>
      <c r="AL142" s="54">
        <v>0</v>
      </c>
      <c r="AM142" s="54">
        <v>0</v>
      </c>
      <c r="AN142" s="57">
        <v>9.4499999999999993</v>
      </c>
      <c r="AO142" s="53">
        <v>30</v>
      </c>
      <c r="AP142" s="54">
        <v>10</v>
      </c>
      <c r="AQ142" s="54">
        <v>0</v>
      </c>
      <c r="AR142" s="54">
        <v>0</v>
      </c>
      <c r="AS142" s="57">
        <v>13.46</v>
      </c>
      <c r="AT142" s="56">
        <v>0</v>
      </c>
      <c r="AU142" s="57">
        <v>0</v>
      </c>
      <c r="AV142" s="56">
        <v>79.899085998535199</v>
      </c>
      <c r="AW142" s="57">
        <v>388.6997245788574</v>
      </c>
      <c r="AX142" s="8"/>
      <c r="AZ142" s="1">
        <v>90</v>
      </c>
      <c r="BB142" s="82">
        <f t="shared" si="9"/>
        <v>30.347720000000002</v>
      </c>
    </row>
    <row r="143" spans="3:54" ht="15" customHeight="1" x14ac:dyDescent="0.25">
      <c r="C143" s="42"/>
      <c r="D143" s="43">
        <f>D136</f>
        <v>45727</v>
      </c>
      <c r="E143" s="44">
        <f t="shared" si="15"/>
        <v>10.833333333333341</v>
      </c>
      <c r="F143" s="45">
        <f t="shared" si="10"/>
        <v>45727.833333333641</v>
      </c>
      <c r="G143" s="52">
        <v>41</v>
      </c>
      <c r="H143" s="53">
        <v>40</v>
      </c>
      <c r="I143" s="54">
        <v>11</v>
      </c>
      <c r="J143" s="54">
        <v>250</v>
      </c>
      <c r="K143" s="55">
        <v>0</v>
      </c>
      <c r="L143" s="56">
        <v>41</v>
      </c>
      <c r="M143" s="54">
        <v>11</v>
      </c>
      <c r="N143" s="54">
        <v>200</v>
      </c>
      <c r="O143" s="57">
        <v>0</v>
      </c>
      <c r="P143" s="53">
        <v>38</v>
      </c>
      <c r="Q143" s="54">
        <v>0</v>
      </c>
      <c r="R143" s="55">
        <v>0</v>
      </c>
      <c r="S143" s="55">
        <v>0</v>
      </c>
      <c r="T143" s="57">
        <v>16.920000000000002</v>
      </c>
      <c r="U143" s="56">
        <v>39</v>
      </c>
      <c r="V143" s="54">
        <v>0</v>
      </c>
      <c r="W143" s="55">
        <v>0</v>
      </c>
      <c r="X143" s="55">
        <v>0</v>
      </c>
      <c r="Y143" s="57">
        <v>6.73</v>
      </c>
      <c r="Z143" s="53">
        <v>38</v>
      </c>
      <c r="AA143" s="54">
        <v>0</v>
      </c>
      <c r="AB143" s="55">
        <v>0</v>
      </c>
      <c r="AC143" s="55">
        <v>0</v>
      </c>
      <c r="AD143" s="57">
        <v>12.5</v>
      </c>
      <c r="AE143" s="56">
        <v>35</v>
      </c>
      <c r="AF143" s="54">
        <v>0</v>
      </c>
      <c r="AG143" s="55">
        <v>0</v>
      </c>
      <c r="AH143" s="55">
        <v>0</v>
      </c>
      <c r="AI143" s="57">
        <v>11.53</v>
      </c>
      <c r="AJ143" s="56">
        <v>36</v>
      </c>
      <c r="AK143" s="54">
        <v>0</v>
      </c>
      <c r="AL143" s="54">
        <v>0</v>
      </c>
      <c r="AM143" s="54">
        <v>0</v>
      </c>
      <c r="AN143" s="57">
        <v>11.57</v>
      </c>
      <c r="AO143" s="53">
        <v>37</v>
      </c>
      <c r="AP143" s="54">
        <v>11</v>
      </c>
      <c r="AQ143" s="54">
        <v>170</v>
      </c>
      <c r="AR143" s="54">
        <v>0</v>
      </c>
      <c r="AS143" s="57">
        <v>13.38</v>
      </c>
      <c r="AT143" s="56">
        <v>20</v>
      </c>
      <c r="AU143" s="57">
        <v>90</v>
      </c>
      <c r="AV143" s="56">
        <v>65.41748046875</v>
      </c>
      <c r="AW143" s="57">
        <v>364.06635853449501</v>
      </c>
      <c r="AX143" s="8"/>
      <c r="AZ143" s="1">
        <v>90</v>
      </c>
      <c r="BB143" s="82">
        <f t="shared" si="9"/>
        <v>32.102460000000001</v>
      </c>
    </row>
    <row r="144" spans="3:54" ht="15" customHeight="1" x14ac:dyDescent="0.25">
      <c r="C144" s="42"/>
      <c r="D144" s="43">
        <f>D136</f>
        <v>45727</v>
      </c>
      <c r="E144" s="44">
        <f t="shared" si="15"/>
        <v>10.916666666666675</v>
      </c>
      <c r="F144" s="45">
        <f t="shared" si="10"/>
        <v>45727.916666666977</v>
      </c>
      <c r="G144" s="52">
        <v>43</v>
      </c>
      <c r="H144" s="53">
        <v>43</v>
      </c>
      <c r="I144" s="54">
        <v>10</v>
      </c>
      <c r="J144" s="54">
        <v>250</v>
      </c>
      <c r="K144" s="55">
        <v>0</v>
      </c>
      <c r="L144" s="56">
        <v>42</v>
      </c>
      <c r="M144" s="54">
        <v>10</v>
      </c>
      <c r="N144" s="54">
        <v>200</v>
      </c>
      <c r="O144" s="57">
        <v>0</v>
      </c>
      <c r="P144" s="53">
        <v>39</v>
      </c>
      <c r="Q144" s="54">
        <v>0</v>
      </c>
      <c r="R144" s="55">
        <v>0</v>
      </c>
      <c r="S144" s="55">
        <v>0</v>
      </c>
      <c r="T144" s="57">
        <v>18.079999999999998</v>
      </c>
      <c r="U144" s="56">
        <v>38</v>
      </c>
      <c r="V144" s="54">
        <v>0</v>
      </c>
      <c r="W144" s="55">
        <v>0</v>
      </c>
      <c r="X144" s="55">
        <v>0</v>
      </c>
      <c r="Y144" s="57">
        <v>10.57</v>
      </c>
      <c r="Z144" s="53">
        <v>37</v>
      </c>
      <c r="AA144" s="54">
        <v>0</v>
      </c>
      <c r="AB144" s="55">
        <v>0</v>
      </c>
      <c r="AC144" s="55">
        <v>0</v>
      </c>
      <c r="AD144" s="57">
        <v>7.69</v>
      </c>
      <c r="AE144" s="56">
        <v>36</v>
      </c>
      <c r="AF144" s="54">
        <v>0</v>
      </c>
      <c r="AG144" s="55">
        <v>0</v>
      </c>
      <c r="AH144" s="55">
        <v>0</v>
      </c>
      <c r="AI144" s="57">
        <v>11.7</v>
      </c>
      <c r="AJ144" s="56">
        <v>38</v>
      </c>
      <c r="AK144" s="54">
        <v>0</v>
      </c>
      <c r="AL144" s="54">
        <v>0</v>
      </c>
      <c r="AM144" s="54">
        <v>0</v>
      </c>
      <c r="AN144" s="57">
        <v>10.38</v>
      </c>
      <c r="AO144" s="53">
        <v>38</v>
      </c>
      <c r="AP144" s="54">
        <v>11</v>
      </c>
      <c r="AQ144" s="54">
        <v>180</v>
      </c>
      <c r="AR144" s="54">
        <v>0</v>
      </c>
      <c r="AS144" s="57">
        <v>13.6</v>
      </c>
      <c r="AT144" s="56">
        <v>29</v>
      </c>
      <c r="AU144" s="57">
        <v>100</v>
      </c>
      <c r="AV144" s="56">
        <v>61.661785125732401</v>
      </c>
      <c r="AW144" s="57">
        <v>368.22229461669923</v>
      </c>
      <c r="AX144" s="8"/>
      <c r="AZ144" s="1">
        <v>90</v>
      </c>
      <c r="BB144" s="82">
        <f t="shared" si="9"/>
        <v>31.832840000000001</v>
      </c>
    </row>
    <row r="145" spans="3:54" ht="15" customHeight="1" x14ac:dyDescent="0.25">
      <c r="C145" s="42"/>
      <c r="D145" s="43">
        <f>D136</f>
        <v>45727</v>
      </c>
      <c r="E145" s="44">
        <f t="shared" si="15"/>
        <v>11.000000000000009</v>
      </c>
      <c r="F145" s="45">
        <f t="shared" si="10"/>
        <v>45728.000000000313</v>
      </c>
      <c r="G145" s="52">
        <v>42</v>
      </c>
      <c r="H145" s="53">
        <v>41</v>
      </c>
      <c r="I145" s="54">
        <v>10</v>
      </c>
      <c r="J145" s="54">
        <v>200</v>
      </c>
      <c r="K145" s="55">
        <v>0</v>
      </c>
      <c r="L145" s="56">
        <v>42</v>
      </c>
      <c r="M145" s="54">
        <v>10</v>
      </c>
      <c r="N145" s="54">
        <v>200</v>
      </c>
      <c r="O145" s="57">
        <v>0</v>
      </c>
      <c r="P145" s="53">
        <v>40</v>
      </c>
      <c r="Q145" s="54">
        <v>0</v>
      </c>
      <c r="R145" s="55">
        <v>0</v>
      </c>
      <c r="S145" s="55">
        <v>0</v>
      </c>
      <c r="T145" s="57">
        <v>17.3</v>
      </c>
      <c r="U145" s="56">
        <v>39</v>
      </c>
      <c r="V145" s="54">
        <v>0</v>
      </c>
      <c r="W145" s="55">
        <v>0</v>
      </c>
      <c r="X145" s="55">
        <v>0</v>
      </c>
      <c r="Y145" s="57">
        <v>14.42</v>
      </c>
      <c r="Z145" s="53">
        <v>38</v>
      </c>
      <c r="AA145" s="54">
        <v>0</v>
      </c>
      <c r="AB145" s="55">
        <v>0</v>
      </c>
      <c r="AC145" s="55">
        <v>0</v>
      </c>
      <c r="AD145" s="57">
        <v>1.98</v>
      </c>
      <c r="AE145" s="56">
        <v>38</v>
      </c>
      <c r="AF145" s="54">
        <v>0</v>
      </c>
      <c r="AG145" s="55">
        <v>0</v>
      </c>
      <c r="AH145" s="55">
        <v>0</v>
      </c>
      <c r="AI145" s="57">
        <v>11.53</v>
      </c>
      <c r="AJ145" s="56">
        <v>38</v>
      </c>
      <c r="AK145" s="54">
        <v>0</v>
      </c>
      <c r="AL145" s="54">
        <v>0</v>
      </c>
      <c r="AM145" s="54">
        <v>0</v>
      </c>
      <c r="AN145" s="57">
        <v>10.57</v>
      </c>
      <c r="AO145" s="53">
        <v>38</v>
      </c>
      <c r="AP145" s="54">
        <v>10</v>
      </c>
      <c r="AQ145" s="54">
        <v>150</v>
      </c>
      <c r="AR145" s="54">
        <v>0</v>
      </c>
      <c r="AS145" s="57">
        <v>12.6</v>
      </c>
      <c r="AT145" s="56">
        <v>32</v>
      </c>
      <c r="AU145" s="57">
        <v>100</v>
      </c>
      <c r="AV145" s="56">
        <v>62.552898406982401</v>
      </c>
      <c r="AW145" s="57">
        <v>364.95961055755618</v>
      </c>
      <c r="AX145" s="8"/>
      <c r="AZ145" s="1">
        <v>90</v>
      </c>
      <c r="BB145" s="82">
        <f t="shared" ref="BB145:BB208" si="16">((T145*442)+(Y145*442)+(AD145*442)+(AI145*442)+(AN145*442)+(AS145*442))/1000</f>
        <v>30.232800000000001</v>
      </c>
    </row>
    <row r="146" spans="3:54" ht="15" customHeight="1" x14ac:dyDescent="0.25">
      <c r="C146" s="42"/>
      <c r="D146" s="43">
        <f>D136</f>
        <v>45727</v>
      </c>
      <c r="E146" s="44">
        <f t="shared" si="15"/>
        <v>11.083333333333343</v>
      </c>
      <c r="F146" s="45">
        <f t="shared" ref="F146:F209" si="17">F145+(E146-E145)</f>
        <v>45728.083333333649</v>
      </c>
      <c r="G146" s="52">
        <v>41</v>
      </c>
      <c r="H146" s="53">
        <v>41</v>
      </c>
      <c r="I146" s="54">
        <v>10</v>
      </c>
      <c r="J146" s="54">
        <v>200</v>
      </c>
      <c r="K146" s="55">
        <v>0</v>
      </c>
      <c r="L146" s="56">
        <v>40</v>
      </c>
      <c r="M146" s="54">
        <v>10</v>
      </c>
      <c r="N146" s="54">
        <v>200</v>
      </c>
      <c r="O146" s="57">
        <v>0</v>
      </c>
      <c r="P146" s="53">
        <v>40</v>
      </c>
      <c r="Q146" s="54">
        <v>0</v>
      </c>
      <c r="R146" s="55">
        <v>0</v>
      </c>
      <c r="S146" s="55">
        <v>0</v>
      </c>
      <c r="T146" s="57">
        <v>17.5</v>
      </c>
      <c r="U146" s="56">
        <v>39</v>
      </c>
      <c r="V146" s="54">
        <v>0</v>
      </c>
      <c r="W146" s="55">
        <v>0</v>
      </c>
      <c r="X146" s="55">
        <v>0</v>
      </c>
      <c r="Y146" s="57">
        <v>15</v>
      </c>
      <c r="Z146" s="53">
        <v>38</v>
      </c>
      <c r="AA146" s="54">
        <v>0</v>
      </c>
      <c r="AB146" s="55">
        <v>0</v>
      </c>
      <c r="AC146" s="55">
        <v>0</v>
      </c>
      <c r="AD146" s="57">
        <v>8.65</v>
      </c>
      <c r="AE146" s="56">
        <v>37</v>
      </c>
      <c r="AF146" s="54">
        <v>0</v>
      </c>
      <c r="AG146" s="55">
        <v>0</v>
      </c>
      <c r="AH146" s="55">
        <v>0</v>
      </c>
      <c r="AI146" s="57">
        <v>5.76</v>
      </c>
      <c r="AJ146" s="56">
        <v>37</v>
      </c>
      <c r="AK146" s="54">
        <v>0</v>
      </c>
      <c r="AL146" s="54">
        <v>0</v>
      </c>
      <c r="AM146" s="54">
        <v>0</v>
      </c>
      <c r="AN146" s="57">
        <v>10.57</v>
      </c>
      <c r="AO146" s="53">
        <v>37</v>
      </c>
      <c r="AP146" s="54">
        <v>10</v>
      </c>
      <c r="AQ146" s="54">
        <v>150</v>
      </c>
      <c r="AR146" s="54">
        <v>0</v>
      </c>
      <c r="AS146" s="57">
        <v>12.5</v>
      </c>
      <c r="AT146" s="56">
        <v>30</v>
      </c>
      <c r="AU146" s="57">
        <v>100</v>
      </c>
      <c r="AV146" s="56">
        <v>62.813312530517599</v>
      </c>
      <c r="AW146" s="57">
        <v>363.38240254720051</v>
      </c>
      <c r="AX146" s="8"/>
      <c r="AZ146" s="1">
        <v>90</v>
      </c>
      <c r="BB146" s="82">
        <f t="shared" si="16"/>
        <v>30.931160000000002</v>
      </c>
    </row>
    <row r="147" spans="3:54" ht="15" customHeight="1" x14ac:dyDescent="0.25">
      <c r="C147" s="42"/>
      <c r="D147" s="69">
        <f>D136</f>
        <v>45727</v>
      </c>
      <c r="E147" s="70">
        <f t="shared" si="15"/>
        <v>11.166666666666677</v>
      </c>
      <c r="F147" s="71">
        <f t="shared" si="17"/>
        <v>45728.166666666984</v>
      </c>
      <c r="G147" s="60">
        <v>42</v>
      </c>
      <c r="H147" s="61">
        <v>41</v>
      </c>
      <c r="I147" s="62">
        <v>10</v>
      </c>
      <c r="J147" s="62">
        <v>200</v>
      </c>
      <c r="K147" s="63">
        <v>0</v>
      </c>
      <c r="L147" s="64">
        <v>40</v>
      </c>
      <c r="M147" s="62">
        <v>10</v>
      </c>
      <c r="N147" s="62">
        <v>200</v>
      </c>
      <c r="O147" s="65">
        <v>0</v>
      </c>
      <c r="P147" s="61">
        <v>42</v>
      </c>
      <c r="Q147" s="62">
        <v>0</v>
      </c>
      <c r="R147" s="63">
        <v>0</v>
      </c>
      <c r="S147" s="63">
        <v>0</v>
      </c>
      <c r="T147" s="65">
        <v>17.690000000000001</v>
      </c>
      <c r="U147" s="64">
        <v>40</v>
      </c>
      <c r="V147" s="62">
        <v>0</v>
      </c>
      <c r="W147" s="63">
        <v>0</v>
      </c>
      <c r="X147" s="63">
        <v>0</v>
      </c>
      <c r="Y147" s="65">
        <v>14.83</v>
      </c>
      <c r="Z147" s="61">
        <v>39</v>
      </c>
      <c r="AA147" s="62">
        <v>0</v>
      </c>
      <c r="AB147" s="63">
        <v>0</v>
      </c>
      <c r="AC147" s="63">
        <v>0</v>
      </c>
      <c r="AD147" s="65">
        <v>12.5</v>
      </c>
      <c r="AE147" s="64">
        <v>38</v>
      </c>
      <c r="AF147" s="62">
        <v>0</v>
      </c>
      <c r="AG147" s="63">
        <v>0</v>
      </c>
      <c r="AH147" s="63">
        <v>0</v>
      </c>
      <c r="AI147" s="65">
        <v>3.84</v>
      </c>
      <c r="AJ147" s="64">
        <v>38</v>
      </c>
      <c r="AK147" s="62">
        <v>0</v>
      </c>
      <c r="AL147" s="62">
        <v>0</v>
      </c>
      <c r="AM147" s="62">
        <v>0</v>
      </c>
      <c r="AN147" s="65">
        <v>10.38</v>
      </c>
      <c r="AO147" s="61">
        <v>37</v>
      </c>
      <c r="AP147" s="62">
        <v>10</v>
      </c>
      <c r="AQ147" s="62">
        <v>180</v>
      </c>
      <c r="AR147" s="62">
        <v>0</v>
      </c>
      <c r="AS147" s="65">
        <v>12.69</v>
      </c>
      <c r="AT147" s="64">
        <v>31</v>
      </c>
      <c r="AU147" s="65">
        <v>110</v>
      </c>
      <c r="AV147" s="64">
        <v>63.334148406982401</v>
      </c>
      <c r="AW147" s="65">
        <v>362.43561929066976</v>
      </c>
      <c r="AX147" s="8"/>
      <c r="AZ147" s="1">
        <v>90</v>
      </c>
      <c r="BB147" s="82">
        <f t="shared" si="16"/>
        <v>31.793059999999997</v>
      </c>
    </row>
    <row r="148" spans="3:54" ht="15" customHeight="1" x14ac:dyDescent="0.25">
      <c r="C148" s="42">
        <f>C136+1</f>
        <v>12</v>
      </c>
      <c r="D148" s="66">
        <f>DATE([3]Dash!$F$3,VLOOKUP([3]Dash!$E$3,[3]Abb!$C$3:$D$14,2,FALSE),C148)</f>
        <v>45728</v>
      </c>
      <c r="E148" s="67">
        <f>E147+2/24</f>
        <v>11.250000000000011</v>
      </c>
      <c r="F148" s="68">
        <f t="shared" si="17"/>
        <v>45728.25000000032</v>
      </c>
      <c r="G148" s="46">
        <v>43</v>
      </c>
      <c r="H148" s="47">
        <v>41</v>
      </c>
      <c r="I148" s="48">
        <v>9</v>
      </c>
      <c r="J148" s="48">
        <v>150</v>
      </c>
      <c r="K148" s="49">
        <v>0</v>
      </c>
      <c r="L148" s="50">
        <v>40</v>
      </c>
      <c r="M148" s="48">
        <v>10</v>
      </c>
      <c r="N148" s="48">
        <v>200</v>
      </c>
      <c r="O148" s="51">
        <v>0</v>
      </c>
      <c r="P148" s="47">
        <v>40</v>
      </c>
      <c r="Q148" s="48">
        <v>0</v>
      </c>
      <c r="R148" s="49">
        <v>0</v>
      </c>
      <c r="S148" s="49">
        <v>0</v>
      </c>
      <c r="T148" s="51">
        <v>17.3</v>
      </c>
      <c r="U148" s="50">
        <v>39</v>
      </c>
      <c r="V148" s="48">
        <v>0</v>
      </c>
      <c r="W148" s="49">
        <v>0</v>
      </c>
      <c r="X148" s="49">
        <v>0</v>
      </c>
      <c r="Y148" s="51">
        <v>14.03</v>
      </c>
      <c r="Z148" s="47">
        <v>39</v>
      </c>
      <c r="AA148" s="48">
        <v>0</v>
      </c>
      <c r="AB148" s="49">
        <v>0</v>
      </c>
      <c r="AC148" s="49">
        <v>0</v>
      </c>
      <c r="AD148" s="51">
        <v>11.53</v>
      </c>
      <c r="AE148" s="50">
        <v>38</v>
      </c>
      <c r="AF148" s="48">
        <v>0</v>
      </c>
      <c r="AG148" s="49">
        <v>0</v>
      </c>
      <c r="AH148" s="49">
        <v>0</v>
      </c>
      <c r="AI148" s="51">
        <v>8.65</v>
      </c>
      <c r="AJ148" s="50">
        <v>39</v>
      </c>
      <c r="AK148" s="48">
        <v>0</v>
      </c>
      <c r="AL148" s="48">
        <v>0</v>
      </c>
      <c r="AM148" s="48">
        <v>0</v>
      </c>
      <c r="AN148" s="51">
        <v>5.76</v>
      </c>
      <c r="AO148" s="47">
        <v>37</v>
      </c>
      <c r="AP148" s="48">
        <v>10</v>
      </c>
      <c r="AQ148" s="48">
        <v>180</v>
      </c>
      <c r="AR148" s="48">
        <v>0</v>
      </c>
      <c r="AS148" s="51">
        <v>12.5</v>
      </c>
      <c r="AT148" s="50">
        <v>31</v>
      </c>
      <c r="AU148" s="51">
        <v>130</v>
      </c>
      <c r="AV148" s="50">
        <v>63.431804656982401</v>
      </c>
      <c r="AW148" s="51">
        <v>363.51128514607746</v>
      </c>
      <c r="AX148" s="8"/>
      <c r="AZ148" s="1">
        <v>90</v>
      </c>
      <c r="BB148" s="82">
        <f t="shared" si="16"/>
        <v>30.838339999999995</v>
      </c>
    </row>
    <row r="149" spans="3:54" ht="15" customHeight="1" x14ac:dyDescent="0.25">
      <c r="C149" s="42"/>
      <c r="D149" s="43">
        <f>D148</f>
        <v>45728</v>
      </c>
      <c r="E149" s="44">
        <f>E148+2/24</f>
        <v>11.333333333333345</v>
      </c>
      <c r="F149" s="45">
        <f t="shared" si="17"/>
        <v>45728.333333333656</v>
      </c>
      <c r="G149" s="52">
        <v>44</v>
      </c>
      <c r="H149" s="53">
        <v>41</v>
      </c>
      <c r="I149" s="54">
        <v>11</v>
      </c>
      <c r="J149" s="54">
        <v>200</v>
      </c>
      <c r="K149" s="55">
        <v>0</v>
      </c>
      <c r="L149" s="56">
        <v>42</v>
      </c>
      <c r="M149" s="54">
        <v>9.8000000000000007</v>
      </c>
      <c r="N149" s="54">
        <v>200</v>
      </c>
      <c r="O149" s="57">
        <v>0</v>
      </c>
      <c r="P149" s="53">
        <v>41</v>
      </c>
      <c r="Q149" s="54">
        <v>9.9</v>
      </c>
      <c r="R149" s="55">
        <v>0</v>
      </c>
      <c r="S149" s="55">
        <v>0</v>
      </c>
      <c r="T149" s="57">
        <v>17.3</v>
      </c>
      <c r="U149" s="56">
        <v>40</v>
      </c>
      <c r="V149" s="54">
        <v>10</v>
      </c>
      <c r="W149" s="55">
        <v>0</v>
      </c>
      <c r="X149" s="55">
        <v>0</v>
      </c>
      <c r="Y149" s="57">
        <v>15.76</v>
      </c>
      <c r="Z149" s="53">
        <v>39</v>
      </c>
      <c r="AA149" s="54">
        <v>10.199999999999999</v>
      </c>
      <c r="AB149" s="55">
        <v>0</v>
      </c>
      <c r="AC149" s="55">
        <v>0</v>
      </c>
      <c r="AD149" s="57">
        <v>10</v>
      </c>
      <c r="AE149" s="56">
        <v>40</v>
      </c>
      <c r="AF149" s="54">
        <v>10.199999999999999</v>
      </c>
      <c r="AG149" s="55">
        <v>0</v>
      </c>
      <c r="AH149" s="55">
        <v>0</v>
      </c>
      <c r="AI149" s="57">
        <v>7.69</v>
      </c>
      <c r="AJ149" s="56">
        <v>37</v>
      </c>
      <c r="AK149" s="54">
        <v>10.5</v>
      </c>
      <c r="AL149" s="54">
        <v>0</v>
      </c>
      <c r="AM149" s="54">
        <v>0</v>
      </c>
      <c r="AN149" s="57">
        <v>4.42</v>
      </c>
      <c r="AO149" s="53">
        <v>37</v>
      </c>
      <c r="AP149" s="54">
        <v>10.4</v>
      </c>
      <c r="AQ149" s="54">
        <v>160</v>
      </c>
      <c r="AR149" s="54">
        <v>0</v>
      </c>
      <c r="AS149" s="57">
        <v>13.46</v>
      </c>
      <c r="AT149" s="56">
        <v>25</v>
      </c>
      <c r="AU149" s="57">
        <v>150</v>
      </c>
      <c r="AV149" s="56">
        <v>63.43994140625</v>
      </c>
      <c r="AW149" s="57">
        <v>364.05454305013023</v>
      </c>
      <c r="AX149" s="8"/>
      <c r="AZ149" s="1">
        <v>90</v>
      </c>
      <c r="BB149" s="82">
        <f t="shared" si="16"/>
        <v>30.33446</v>
      </c>
    </row>
    <row r="150" spans="3:54" ht="15" customHeight="1" x14ac:dyDescent="0.25">
      <c r="C150" s="42"/>
      <c r="D150" s="43">
        <f>D148</f>
        <v>45728</v>
      </c>
      <c r="E150" s="44">
        <f t="shared" ref="E150:E159" si="18">E149+2/24</f>
        <v>11.416666666666679</v>
      </c>
      <c r="F150" s="45">
        <f t="shared" si="17"/>
        <v>45728.416666666992</v>
      </c>
      <c r="G150" s="52" t="s">
        <v>38</v>
      </c>
      <c r="H150" s="53">
        <v>40</v>
      </c>
      <c r="I150" s="54">
        <v>9.9</v>
      </c>
      <c r="J150" s="54">
        <v>200</v>
      </c>
      <c r="K150" s="55">
        <v>0</v>
      </c>
      <c r="L150" s="56">
        <v>40</v>
      </c>
      <c r="M150" s="54">
        <v>9.6</v>
      </c>
      <c r="N150" s="54">
        <v>200</v>
      </c>
      <c r="O150" s="57">
        <v>0</v>
      </c>
      <c r="P150" s="53">
        <v>40</v>
      </c>
      <c r="Q150" s="54">
        <v>9.9</v>
      </c>
      <c r="R150" s="55">
        <v>0</v>
      </c>
      <c r="S150" s="55">
        <v>0</v>
      </c>
      <c r="T150" s="57">
        <v>17.11</v>
      </c>
      <c r="U150" s="56">
        <v>39</v>
      </c>
      <c r="V150" s="54">
        <v>10</v>
      </c>
      <c r="W150" s="55">
        <v>0</v>
      </c>
      <c r="X150" s="55">
        <v>0</v>
      </c>
      <c r="Y150" s="57">
        <v>15.38</v>
      </c>
      <c r="Z150" s="53">
        <v>39</v>
      </c>
      <c r="AA150" s="54">
        <v>10.199999999999999</v>
      </c>
      <c r="AB150" s="55">
        <v>0</v>
      </c>
      <c r="AC150" s="55">
        <v>0</v>
      </c>
      <c r="AD150" s="57">
        <v>10.57</v>
      </c>
      <c r="AE150" s="56">
        <v>40</v>
      </c>
      <c r="AF150" s="54">
        <v>10.199999999999999</v>
      </c>
      <c r="AG150" s="55">
        <v>0</v>
      </c>
      <c r="AH150" s="55">
        <v>0</v>
      </c>
      <c r="AI150" s="57">
        <v>7.69</v>
      </c>
      <c r="AJ150" s="56">
        <v>38</v>
      </c>
      <c r="AK150" s="54">
        <v>10.5</v>
      </c>
      <c r="AL150" s="54">
        <v>0</v>
      </c>
      <c r="AM150" s="54">
        <v>0</v>
      </c>
      <c r="AN150" s="57">
        <v>4.8</v>
      </c>
      <c r="AO150" s="53">
        <v>38</v>
      </c>
      <c r="AP150" s="54">
        <v>10.4</v>
      </c>
      <c r="AQ150" s="54">
        <v>150</v>
      </c>
      <c r="AR150" s="54">
        <v>0</v>
      </c>
      <c r="AS150" s="57">
        <v>12.5</v>
      </c>
      <c r="AT150" s="56" t="s">
        <v>38</v>
      </c>
      <c r="AU150" s="57" t="s">
        <v>38</v>
      </c>
      <c r="AV150" s="56">
        <v>62.890625</v>
      </c>
      <c r="AW150" s="57">
        <v>363.55589262644452</v>
      </c>
      <c r="AX150" s="8"/>
      <c r="AZ150" s="1">
        <v>90</v>
      </c>
      <c r="BB150" s="82">
        <f t="shared" si="16"/>
        <v>30.078099999999999</v>
      </c>
    </row>
    <row r="151" spans="3:54" ht="15" customHeight="1" x14ac:dyDescent="0.25">
      <c r="C151" s="42"/>
      <c r="D151" s="43">
        <f>D148</f>
        <v>45728</v>
      </c>
      <c r="E151" s="44">
        <f t="shared" si="18"/>
        <v>11.500000000000012</v>
      </c>
      <c r="F151" s="45">
        <f t="shared" si="17"/>
        <v>45728.500000000327</v>
      </c>
      <c r="G151" s="52" t="s">
        <v>38</v>
      </c>
      <c r="H151" s="53">
        <v>40</v>
      </c>
      <c r="I151" s="54">
        <v>9.9</v>
      </c>
      <c r="J151" s="54">
        <v>200</v>
      </c>
      <c r="K151" s="55">
        <v>0</v>
      </c>
      <c r="L151" s="56">
        <v>38</v>
      </c>
      <c r="M151" s="54">
        <v>9.4</v>
      </c>
      <c r="N151" s="54">
        <v>200</v>
      </c>
      <c r="O151" s="57">
        <v>0</v>
      </c>
      <c r="P151" s="53">
        <v>40</v>
      </c>
      <c r="Q151" s="54">
        <v>9.9</v>
      </c>
      <c r="R151" s="55">
        <v>0</v>
      </c>
      <c r="S151" s="55">
        <v>0</v>
      </c>
      <c r="T151" s="57">
        <v>17.3</v>
      </c>
      <c r="U151" s="56">
        <v>38</v>
      </c>
      <c r="V151" s="54">
        <v>10.1</v>
      </c>
      <c r="W151" s="55">
        <v>0</v>
      </c>
      <c r="X151" s="55">
        <v>0</v>
      </c>
      <c r="Y151" s="57">
        <v>15.38</v>
      </c>
      <c r="Z151" s="53">
        <v>38</v>
      </c>
      <c r="AA151" s="54">
        <v>10.199999999999999</v>
      </c>
      <c r="AB151" s="55">
        <v>0</v>
      </c>
      <c r="AC151" s="55">
        <v>0</v>
      </c>
      <c r="AD151" s="57">
        <v>14.42</v>
      </c>
      <c r="AE151" s="56">
        <v>39</v>
      </c>
      <c r="AF151" s="54">
        <v>10.199999999999999</v>
      </c>
      <c r="AG151" s="55">
        <v>0</v>
      </c>
      <c r="AH151" s="55">
        <v>0</v>
      </c>
      <c r="AI151" s="57">
        <v>6.19</v>
      </c>
      <c r="AJ151" s="56">
        <v>37</v>
      </c>
      <c r="AK151" s="54">
        <v>10.6</v>
      </c>
      <c r="AL151" s="54">
        <v>0</v>
      </c>
      <c r="AM151" s="54">
        <v>0</v>
      </c>
      <c r="AN151" s="57">
        <v>4.8</v>
      </c>
      <c r="AO151" s="53">
        <v>36</v>
      </c>
      <c r="AP151" s="54">
        <v>10.5</v>
      </c>
      <c r="AQ151" s="54">
        <v>150</v>
      </c>
      <c r="AR151" s="54">
        <v>0</v>
      </c>
      <c r="AS151" s="57">
        <v>12.5</v>
      </c>
      <c r="AT151" s="56" t="s">
        <v>38</v>
      </c>
      <c r="AU151" s="57" t="s">
        <v>38</v>
      </c>
      <c r="AV151" s="56">
        <v>62.483722686767599</v>
      </c>
      <c r="AW151" s="57">
        <v>365.88553746541339</v>
      </c>
      <c r="AX151" s="8"/>
      <c r="AZ151" s="1">
        <v>90</v>
      </c>
      <c r="BB151" s="82">
        <f t="shared" si="16"/>
        <v>31.200779999999998</v>
      </c>
    </row>
    <row r="152" spans="3:54" ht="15" customHeight="1" x14ac:dyDescent="0.25">
      <c r="C152" s="42"/>
      <c r="D152" s="43">
        <f>D148</f>
        <v>45728</v>
      </c>
      <c r="E152" s="44">
        <f t="shared" si="18"/>
        <v>11.583333333333346</v>
      </c>
      <c r="F152" s="45">
        <f t="shared" si="17"/>
        <v>45728.583333333663</v>
      </c>
      <c r="G152" s="52">
        <v>47</v>
      </c>
      <c r="H152" s="53">
        <v>44</v>
      </c>
      <c r="I152" s="54">
        <v>9.9</v>
      </c>
      <c r="J152" s="54">
        <v>200</v>
      </c>
      <c r="K152" s="55">
        <v>0</v>
      </c>
      <c r="L152" s="56">
        <v>41</v>
      </c>
      <c r="M152" s="54">
        <v>9.5</v>
      </c>
      <c r="N152" s="54">
        <v>200</v>
      </c>
      <c r="O152" s="57">
        <v>0</v>
      </c>
      <c r="P152" s="53">
        <v>40</v>
      </c>
      <c r="Q152" s="54">
        <v>10</v>
      </c>
      <c r="R152" s="55">
        <v>0</v>
      </c>
      <c r="S152" s="55">
        <v>0</v>
      </c>
      <c r="T152" s="57">
        <v>17.5</v>
      </c>
      <c r="U152" s="56">
        <v>39</v>
      </c>
      <c r="V152" s="54">
        <v>10.1</v>
      </c>
      <c r="W152" s="55">
        <v>0</v>
      </c>
      <c r="X152" s="55">
        <v>0</v>
      </c>
      <c r="Y152" s="57">
        <v>15.38</v>
      </c>
      <c r="Z152" s="53">
        <v>39</v>
      </c>
      <c r="AA152" s="54">
        <v>10.199999999999999</v>
      </c>
      <c r="AB152" s="55">
        <v>0</v>
      </c>
      <c r="AC152" s="55">
        <v>0</v>
      </c>
      <c r="AD152" s="57">
        <v>14.42</v>
      </c>
      <c r="AE152" s="56">
        <v>38</v>
      </c>
      <c r="AF152" s="54">
        <v>10.199999999999999</v>
      </c>
      <c r="AG152" s="55">
        <v>0</v>
      </c>
      <c r="AH152" s="55">
        <v>0</v>
      </c>
      <c r="AI152" s="57">
        <v>4.8</v>
      </c>
      <c r="AJ152" s="56">
        <v>38</v>
      </c>
      <c r="AK152" s="54">
        <v>10.6</v>
      </c>
      <c r="AL152" s="54">
        <v>0</v>
      </c>
      <c r="AM152" s="54">
        <v>0</v>
      </c>
      <c r="AN152" s="57">
        <v>4.8</v>
      </c>
      <c r="AO152" s="53">
        <v>39</v>
      </c>
      <c r="AP152" s="54">
        <v>10.3</v>
      </c>
      <c r="AQ152" s="54">
        <v>140</v>
      </c>
      <c r="AR152" s="54">
        <v>0</v>
      </c>
      <c r="AS152" s="57">
        <v>11.92</v>
      </c>
      <c r="AT152" s="56" t="s">
        <v>38</v>
      </c>
      <c r="AU152" s="57" t="s">
        <v>38</v>
      </c>
      <c r="AV152" s="56">
        <v>62.5244140625</v>
      </c>
      <c r="AW152" s="57">
        <v>367.18159205118815</v>
      </c>
      <c r="AX152" s="8"/>
      <c r="AZ152" s="1">
        <v>90</v>
      </c>
      <c r="BB152" s="82">
        <f t="shared" si="16"/>
        <v>30.418439999999997</v>
      </c>
    </row>
    <row r="153" spans="3:54" ht="15" customHeight="1" x14ac:dyDescent="0.25">
      <c r="C153" s="42"/>
      <c r="D153" s="43">
        <f>D148</f>
        <v>45728</v>
      </c>
      <c r="E153" s="44">
        <f t="shared" si="18"/>
        <v>11.66666666666668</v>
      </c>
      <c r="F153" s="45">
        <f t="shared" si="17"/>
        <v>45728.666666666999</v>
      </c>
      <c r="G153" s="52">
        <v>43</v>
      </c>
      <c r="H153" s="53">
        <v>41</v>
      </c>
      <c r="I153" s="54">
        <v>10.1</v>
      </c>
      <c r="J153" s="54">
        <v>200</v>
      </c>
      <c r="K153" s="55">
        <v>0</v>
      </c>
      <c r="L153" s="56">
        <v>40</v>
      </c>
      <c r="M153" s="54">
        <v>9.4</v>
      </c>
      <c r="N153" s="54">
        <v>200</v>
      </c>
      <c r="O153" s="57">
        <v>0</v>
      </c>
      <c r="P153" s="53">
        <v>40</v>
      </c>
      <c r="Q153" s="54">
        <v>9.5</v>
      </c>
      <c r="R153" s="55">
        <v>0</v>
      </c>
      <c r="S153" s="55">
        <v>0</v>
      </c>
      <c r="T153" s="57">
        <v>17.11</v>
      </c>
      <c r="U153" s="56">
        <v>37</v>
      </c>
      <c r="V153" s="54">
        <v>9.6</v>
      </c>
      <c r="W153" s="55">
        <v>0</v>
      </c>
      <c r="X153" s="55">
        <v>0</v>
      </c>
      <c r="Y153" s="57">
        <v>15.19</v>
      </c>
      <c r="Z153" s="53">
        <v>39</v>
      </c>
      <c r="AA153" s="54">
        <v>9.9</v>
      </c>
      <c r="AB153" s="55">
        <v>0</v>
      </c>
      <c r="AC153" s="55">
        <v>0</v>
      </c>
      <c r="AD153" s="57">
        <v>14.42</v>
      </c>
      <c r="AE153" s="56">
        <v>40</v>
      </c>
      <c r="AF153" s="54">
        <v>10</v>
      </c>
      <c r="AG153" s="55">
        <v>0</v>
      </c>
      <c r="AH153" s="55">
        <v>0</v>
      </c>
      <c r="AI153" s="57">
        <v>5.19</v>
      </c>
      <c r="AJ153" s="56">
        <v>38</v>
      </c>
      <c r="AK153" s="54">
        <v>10</v>
      </c>
      <c r="AL153" s="54">
        <v>0</v>
      </c>
      <c r="AM153" s="54">
        <v>0</v>
      </c>
      <c r="AN153" s="57">
        <v>10.57</v>
      </c>
      <c r="AO153" s="53">
        <v>38</v>
      </c>
      <c r="AP153" s="54">
        <v>10.1</v>
      </c>
      <c r="AQ153" s="54">
        <v>130</v>
      </c>
      <c r="AR153" s="54">
        <v>0</v>
      </c>
      <c r="AS153" s="57">
        <v>5.38</v>
      </c>
      <c r="AT153" s="56">
        <v>28</v>
      </c>
      <c r="AU153" s="57">
        <v>100</v>
      </c>
      <c r="AV153" s="56">
        <v>60.555011749267599</v>
      </c>
      <c r="AW153" s="57">
        <v>370.62439765930174</v>
      </c>
      <c r="AX153" s="8"/>
      <c r="AZ153" s="1">
        <v>90</v>
      </c>
      <c r="BB153" s="82">
        <f t="shared" si="16"/>
        <v>29.994119999999995</v>
      </c>
    </row>
    <row r="154" spans="3:54" ht="15" customHeight="1" x14ac:dyDescent="0.25">
      <c r="C154" s="42"/>
      <c r="D154" s="43">
        <f>D148</f>
        <v>45728</v>
      </c>
      <c r="E154" s="44">
        <f t="shared" si="18"/>
        <v>11.750000000000014</v>
      </c>
      <c r="F154" s="45">
        <f t="shared" si="17"/>
        <v>45728.750000000335</v>
      </c>
      <c r="G154" s="52">
        <v>40</v>
      </c>
      <c r="H154" s="53">
        <v>41</v>
      </c>
      <c r="I154" s="54">
        <v>10.7</v>
      </c>
      <c r="J154" s="54">
        <v>250</v>
      </c>
      <c r="K154" s="55">
        <v>0</v>
      </c>
      <c r="L154" s="56">
        <v>41</v>
      </c>
      <c r="M154" s="54">
        <v>10.1</v>
      </c>
      <c r="N154" s="54">
        <v>200</v>
      </c>
      <c r="O154" s="57">
        <v>0</v>
      </c>
      <c r="P154" s="53">
        <v>41</v>
      </c>
      <c r="Q154" s="54">
        <v>10</v>
      </c>
      <c r="R154" s="55">
        <v>0</v>
      </c>
      <c r="S154" s="55">
        <v>0</v>
      </c>
      <c r="T154" s="57">
        <v>17.3</v>
      </c>
      <c r="U154" s="56">
        <v>40</v>
      </c>
      <c r="V154" s="54">
        <v>10.1</v>
      </c>
      <c r="W154" s="55">
        <v>0</v>
      </c>
      <c r="X154" s="55">
        <v>0</v>
      </c>
      <c r="Y154" s="57">
        <v>15.19</v>
      </c>
      <c r="Z154" s="53">
        <v>38</v>
      </c>
      <c r="AA154" s="54">
        <v>10.1</v>
      </c>
      <c r="AB154" s="55">
        <v>0</v>
      </c>
      <c r="AC154" s="55">
        <v>0</v>
      </c>
      <c r="AD154" s="57">
        <v>14.25</v>
      </c>
      <c r="AE154" s="56">
        <v>39</v>
      </c>
      <c r="AF154" s="54">
        <v>10.199999999999999</v>
      </c>
      <c r="AG154" s="55">
        <v>0</v>
      </c>
      <c r="AH154" s="55">
        <v>0</v>
      </c>
      <c r="AI154" s="57">
        <v>5.19</v>
      </c>
      <c r="AJ154" s="56">
        <v>38</v>
      </c>
      <c r="AK154" s="54">
        <v>10.199999999999999</v>
      </c>
      <c r="AL154" s="54">
        <v>0</v>
      </c>
      <c r="AM154" s="54">
        <v>0</v>
      </c>
      <c r="AN154" s="57">
        <v>10.57</v>
      </c>
      <c r="AO154" s="53">
        <v>38</v>
      </c>
      <c r="AP154" s="54">
        <v>10.199999999999999</v>
      </c>
      <c r="AQ154" s="54">
        <v>130</v>
      </c>
      <c r="AR154" s="54">
        <v>0</v>
      </c>
      <c r="AS154" s="57">
        <v>4.8</v>
      </c>
      <c r="AT154" s="56">
        <v>27</v>
      </c>
      <c r="AU154" s="57">
        <v>100</v>
      </c>
      <c r="AV154" s="56">
        <v>61.53564453125</v>
      </c>
      <c r="AW154" s="57">
        <v>371.5722652435303</v>
      </c>
      <c r="AX154" s="8"/>
      <c r="AZ154" s="1">
        <v>90</v>
      </c>
      <c r="BB154" s="82">
        <f t="shared" si="16"/>
        <v>29.746599999999997</v>
      </c>
    </row>
    <row r="155" spans="3:54" ht="15" customHeight="1" x14ac:dyDescent="0.25">
      <c r="C155" s="42"/>
      <c r="D155" s="43">
        <f>D148</f>
        <v>45728</v>
      </c>
      <c r="E155" s="44">
        <f t="shared" si="18"/>
        <v>11.833333333333348</v>
      </c>
      <c r="F155" s="45">
        <f t="shared" si="17"/>
        <v>45728.83333333367</v>
      </c>
      <c r="G155" s="52">
        <v>40</v>
      </c>
      <c r="H155" s="53">
        <v>42</v>
      </c>
      <c r="I155" s="54">
        <v>10.3</v>
      </c>
      <c r="J155" s="54">
        <v>300</v>
      </c>
      <c r="K155" s="55">
        <v>0</v>
      </c>
      <c r="L155" s="56">
        <v>42</v>
      </c>
      <c r="M155" s="54">
        <v>9.9</v>
      </c>
      <c r="N155" s="54">
        <v>200</v>
      </c>
      <c r="O155" s="57">
        <v>0</v>
      </c>
      <c r="P155" s="53">
        <v>43</v>
      </c>
      <c r="Q155" s="54">
        <v>9.8000000000000007</v>
      </c>
      <c r="R155" s="55">
        <v>0</v>
      </c>
      <c r="S155" s="55">
        <v>0</v>
      </c>
      <c r="T155" s="57">
        <v>17.3</v>
      </c>
      <c r="U155" s="56">
        <v>40</v>
      </c>
      <c r="V155" s="54">
        <v>9.6999999999999993</v>
      </c>
      <c r="W155" s="55">
        <v>0</v>
      </c>
      <c r="X155" s="55">
        <v>0</v>
      </c>
      <c r="Y155" s="57">
        <v>15.38</v>
      </c>
      <c r="Z155" s="53">
        <v>40</v>
      </c>
      <c r="AA155" s="54">
        <v>9.8000000000000007</v>
      </c>
      <c r="AB155" s="55">
        <v>0</v>
      </c>
      <c r="AC155" s="55">
        <v>0</v>
      </c>
      <c r="AD155" s="57">
        <v>13.46</v>
      </c>
      <c r="AE155" s="56">
        <v>38</v>
      </c>
      <c r="AF155" s="54">
        <v>9.8000000000000007</v>
      </c>
      <c r="AG155" s="55">
        <v>0</v>
      </c>
      <c r="AH155" s="55">
        <v>0</v>
      </c>
      <c r="AI155" s="57">
        <v>5.76</v>
      </c>
      <c r="AJ155" s="56">
        <v>38</v>
      </c>
      <c r="AK155" s="54">
        <v>10</v>
      </c>
      <c r="AL155" s="54">
        <v>0</v>
      </c>
      <c r="AM155" s="54">
        <v>0</v>
      </c>
      <c r="AN155" s="57">
        <v>11.53</v>
      </c>
      <c r="AO155" s="53">
        <v>39</v>
      </c>
      <c r="AP155" s="54">
        <v>10.1</v>
      </c>
      <c r="AQ155" s="54">
        <v>120</v>
      </c>
      <c r="AR155" s="54">
        <v>0</v>
      </c>
      <c r="AS155" s="57">
        <v>6.73</v>
      </c>
      <c r="AT155" s="56">
        <v>32</v>
      </c>
      <c r="AU155" s="57">
        <v>80</v>
      </c>
      <c r="AV155" s="56">
        <v>61.60888671875</v>
      </c>
      <c r="AW155" s="57">
        <v>373.12451756795247</v>
      </c>
      <c r="AX155" s="8"/>
      <c r="AZ155" s="1">
        <v>90</v>
      </c>
      <c r="BB155" s="82">
        <f t="shared" si="16"/>
        <v>31.010720000000003</v>
      </c>
    </row>
    <row r="156" spans="3:54" ht="15" customHeight="1" x14ac:dyDescent="0.25">
      <c r="C156" s="42"/>
      <c r="D156" s="43">
        <f>D148</f>
        <v>45728</v>
      </c>
      <c r="E156" s="44">
        <f t="shared" si="18"/>
        <v>11.916666666666682</v>
      </c>
      <c r="F156" s="45">
        <f t="shared" si="17"/>
        <v>45728.916666667006</v>
      </c>
      <c r="G156" s="52">
        <v>42</v>
      </c>
      <c r="H156" s="53">
        <v>41</v>
      </c>
      <c r="I156" s="54">
        <v>9.9</v>
      </c>
      <c r="J156" s="54">
        <v>200</v>
      </c>
      <c r="K156" s="55">
        <v>0</v>
      </c>
      <c r="L156" s="56">
        <v>43</v>
      </c>
      <c r="M156" s="54">
        <v>9.9</v>
      </c>
      <c r="N156" s="54">
        <v>200</v>
      </c>
      <c r="O156" s="57">
        <v>0</v>
      </c>
      <c r="P156" s="53">
        <v>42</v>
      </c>
      <c r="Q156" s="54">
        <v>9.9</v>
      </c>
      <c r="R156" s="55">
        <v>0</v>
      </c>
      <c r="S156" s="55">
        <v>0</v>
      </c>
      <c r="T156" s="57">
        <v>18.07</v>
      </c>
      <c r="U156" s="56">
        <v>41</v>
      </c>
      <c r="V156" s="54">
        <v>9.6999999999999993</v>
      </c>
      <c r="W156" s="55">
        <v>0</v>
      </c>
      <c r="X156" s="55">
        <v>0</v>
      </c>
      <c r="Y156" s="57">
        <v>15.96</v>
      </c>
      <c r="Z156" s="53">
        <v>40</v>
      </c>
      <c r="AA156" s="54">
        <v>9.8000000000000007</v>
      </c>
      <c r="AB156" s="55">
        <v>0</v>
      </c>
      <c r="AC156" s="55">
        <v>0</v>
      </c>
      <c r="AD156" s="57">
        <v>14.42</v>
      </c>
      <c r="AE156" s="56">
        <v>40</v>
      </c>
      <c r="AF156" s="54">
        <v>9.8000000000000007</v>
      </c>
      <c r="AG156" s="55">
        <v>0</v>
      </c>
      <c r="AH156" s="55">
        <v>0</v>
      </c>
      <c r="AI156" s="57">
        <v>6.53</v>
      </c>
      <c r="AJ156" s="56">
        <v>39</v>
      </c>
      <c r="AK156" s="54">
        <v>10</v>
      </c>
      <c r="AL156" s="54">
        <v>0</v>
      </c>
      <c r="AM156" s="54">
        <v>0</v>
      </c>
      <c r="AN156" s="57">
        <v>11.34</v>
      </c>
      <c r="AO156" s="53">
        <v>38</v>
      </c>
      <c r="AP156" s="54">
        <v>10.1</v>
      </c>
      <c r="AQ156" s="54">
        <v>120</v>
      </c>
      <c r="AR156" s="54">
        <v>0</v>
      </c>
      <c r="AS156" s="57">
        <v>8.07</v>
      </c>
      <c r="AT156" s="56">
        <v>32</v>
      </c>
      <c r="AU156" s="57">
        <v>90</v>
      </c>
      <c r="AV156" s="56">
        <v>61.344402313232401</v>
      </c>
      <c r="AW156" s="57">
        <v>376.21178092956541</v>
      </c>
      <c r="AX156" s="8"/>
      <c r="AZ156" s="1">
        <v>90</v>
      </c>
      <c r="BB156" s="82">
        <f t="shared" si="16"/>
        <v>32.880380000000002</v>
      </c>
    </row>
    <row r="157" spans="3:54" ht="15" customHeight="1" x14ac:dyDescent="0.25">
      <c r="C157" s="42"/>
      <c r="D157" s="43">
        <f>D148</f>
        <v>45728</v>
      </c>
      <c r="E157" s="44">
        <f t="shared" si="18"/>
        <v>12.000000000000016</v>
      </c>
      <c r="F157" s="45">
        <f t="shared" si="17"/>
        <v>45729.000000000342</v>
      </c>
      <c r="G157" s="52">
        <v>41</v>
      </c>
      <c r="H157" s="53">
        <v>43</v>
      </c>
      <c r="I157" s="54">
        <v>11.1</v>
      </c>
      <c r="J157" s="54">
        <v>250</v>
      </c>
      <c r="K157" s="55">
        <v>0</v>
      </c>
      <c r="L157" s="56">
        <v>43</v>
      </c>
      <c r="M157" s="54">
        <v>10.5</v>
      </c>
      <c r="N157" s="54">
        <v>250</v>
      </c>
      <c r="O157" s="57">
        <v>0</v>
      </c>
      <c r="P157" s="53">
        <v>41</v>
      </c>
      <c r="Q157" s="54">
        <v>10.199999999999999</v>
      </c>
      <c r="R157" s="55">
        <v>0</v>
      </c>
      <c r="S157" s="55">
        <v>0</v>
      </c>
      <c r="T157" s="57">
        <v>18.260000000000002</v>
      </c>
      <c r="U157" s="56">
        <v>40</v>
      </c>
      <c r="V157" s="54">
        <v>10</v>
      </c>
      <c r="W157" s="55">
        <v>0</v>
      </c>
      <c r="X157" s="55">
        <v>0</v>
      </c>
      <c r="Y157" s="57">
        <v>15.57</v>
      </c>
      <c r="Z157" s="53">
        <v>40</v>
      </c>
      <c r="AA157" s="54">
        <v>9.9</v>
      </c>
      <c r="AB157" s="55">
        <v>0</v>
      </c>
      <c r="AC157" s="55">
        <v>0</v>
      </c>
      <c r="AD157" s="57">
        <v>13.26</v>
      </c>
      <c r="AE157" s="56">
        <v>38</v>
      </c>
      <c r="AF157" s="54">
        <v>9.8000000000000007</v>
      </c>
      <c r="AG157" s="55">
        <v>0</v>
      </c>
      <c r="AH157" s="55">
        <v>0</v>
      </c>
      <c r="AI157" s="57">
        <v>6.92</v>
      </c>
      <c r="AJ157" s="56">
        <v>39</v>
      </c>
      <c r="AK157" s="54">
        <v>10</v>
      </c>
      <c r="AL157" s="54">
        <v>0</v>
      </c>
      <c r="AM157" s="54">
        <v>0</v>
      </c>
      <c r="AN157" s="57">
        <v>11.92</v>
      </c>
      <c r="AO157" s="53">
        <v>38</v>
      </c>
      <c r="AP157" s="54">
        <v>10.1</v>
      </c>
      <c r="AQ157" s="54">
        <v>120</v>
      </c>
      <c r="AR157" s="54">
        <v>0</v>
      </c>
      <c r="AS157" s="57">
        <v>14.42</v>
      </c>
      <c r="AT157" s="56">
        <v>33</v>
      </c>
      <c r="AU157" s="57">
        <v>90</v>
      </c>
      <c r="AV157" s="56">
        <v>61.7919921875</v>
      </c>
      <c r="AW157" s="57">
        <v>374.98963152567546</v>
      </c>
      <c r="AX157" s="8"/>
      <c r="AZ157" s="1">
        <v>90</v>
      </c>
      <c r="BB157" s="82">
        <f t="shared" si="16"/>
        <v>35.514699999999998</v>
      </c>
    </row>
    <row r="158" spans="3:54" ht="15" customHeight="1" x14ac:dyDescent="0.25">
      <c r="C158" s="42"/>
      <c r="D158" s="43">
        <f>D148</f>
        <v>45728</v>
      </c>
      <c r="E158" s="44">
        <f t="shared" si="18"/>
        <v>12.08333333333335</v>
      </c>
      <c r="F158" s="45">
        <f t="shared" si="17"/>
        <v>45729.083333333678</v>
      </c>
      <c r="G158" s="52">
        <v>43</v>
      </c>
      <c r="H158" s="53">
        <v>42</v>
      </c>
      <c r="I158" s="54">
        <v>11.1</v>
      </c>
      <c r="J158" s="54">
        <v>250</v>
      </c>
      <c r="K158" s="55">
        <v>0</v>
      </c>
      <c r="L158" s="56">
        <v>40</v>
      </c>
      <c r="M158" s="54">
        <v>10.8</v>
      </c>
      <c r="N158" s="54">
        <v>250</v>
      </c>
      <c r="O158" s="57">
        <v>0</v>
      </c>
      <c r="P158" s="53">
        <v>40</v>
      </c>
      <c r="Q158" s="54">
        <v>10.4</v>
      </c>
      <c r="R158" s="55">
        <v>0</v>
      </c>
      <c r="S158" s="55">
        <v>0</v>
      </c>
      <c r="T158" s="57">
        <v>17.3</v>
      </c>
      <c r="U158" s="56">
        <v>40</v>
      </c>
      <c r="V158" s="54">
        <v>10.199999999999999</v>
      </c>
      <c r="W158" s="55">
        <v>0</v>
      </c>
      <c r="X158" s="55">
        <v>0</v>
      </c>
      <c r="Y158" s="57">
        <v>15.38</v>
      </c>
      <c r="Z158" s="53">
        <v>39</v>
      </c>
      <c r="AA158" s="54">
        <v>9.9</v>
      </c>
      <c r="AB158" s="55">
        <v>0</v>
      </c>
      <c r="AC158" s="55">
        <v>0</v>
      </c>
      <c r="AD158" s="57">
        <v>13.46</v>
      </c>
      <c r="AE158" s="56">
        <v>39</v>
      </c>
      <c r="AF158" s="54">
        <v>9.8000000000000007</v>
      </c>
      <c r="AG158" s="55">
        <v>0</v>
      </c>
      <c r="AH158" s="55">
        <v>0</v>
      </c>
      <c r="AI158" s="57">
        <v>5.76</v>
      </c>
      <c r="AJ158" s="56">
        <v>40</v>
      </c>
      <c r="AK158" s="54">
        <v>9.9</v>
      </c>
      <c r="AL158" s="54">
        <v>0</v>
      </c>
      <c r="AM158" s="54">
        <v>0</v>
      </c>
      <c r="AN158" s="57">
        <v>11.53</v>
      </c>
      <c r="AO158" s="53">
        <v>39</v>
      </c>
      <c r="AP158" s="54">
        <v>9.9</v>
      </c>
      <c r="AQ158" s="54">
        <v>150</v>
      </c>
      <c r="AR158" s="54">
        <v>0</v>
      </c>
      <c r="AS158" s="57">
        <v>15.38</v>
      </c>
      <c r="AT158" s="56">
        <v>34</v>
      </c>
      <c r="AU158" s="57">
        <v>120</v>
      </c>
      <c r="AV158" s="56">
        <v>61.5234375</v>
      </c>
      <c r="AW158" s="57">
        <v>375.32696800231935</v>
      </c>
      <c r="AX158" s="8"/>
      <c r="AZ158" s="1">
        <v>90</v>
      </c>
      <c r="BB158" s="82">
        <f t="shared" si="16"/>
        <v>34.834020000000002</v>
      </c>
    </row>
    <row r="159" spans="3:54" ht="15" customHeight="1" x14ac:dyDescent="0.25">
      <c r="C159" s="42"/>
      <c r="D159" s="69">
        <f>D148</f>
        <v>45728</v>
      </c>
      <c r="E159" s="70">
        <f t="shared" si="18"/>
        <v>12.166666666666684</v>
      </c>
      <c r="F159" s="71">
        <f t="shared" si="17"/>
        <v>45729.166666667013</v>
      </c>
      <c r="G159" s="60">
        <v>45</v>
      </c>
      <c r="H159" s="61">
        <v>40</v>
      </c>
      <c r="I159" s="62">
        <v>11</v>
      </c>
      <c r="J159" s="62">
        <v>300</v>
      </c>
      <c r="K159" s="63">
        <v>0</v>
      </c>
      <c r="L159" s="64">
        <v>41</v>
      </c>
      <c r="M159" s="62">
        <v>10.7</v>
      </c>
      <c r="N159" s="62">
        <v>250</v>
      </c>
      <c r="O159" s="65">
        <v>0</v>
      </c>
      <c r="P159" s="61">
        <v>40</v>
      </c>
      <c r="Q159" s="62">
        <v>10.6</v>
      </c>
      <c r="R159" s="63">
        <v>0</v>
      </c>
      <c r="S159" s="63">
        <v>0</v>
      </c>
      <c r="T159" s="65">
        <v>16.920000000000002</v>
      </c>
      <c r="U159" s="64">
        <v>42</v>
      </c>
      <c r="V159" s="62">
        <v>10.3</v>
      </c>
      <c r="W159" s="63">
        <v>0</v>
      </c>
      <c r="X159" s="63">
        <v>0</v>
      </c>
      <c r="Y159" s="65">
        <v>15.38</v>
      </c>
      <c r="Z159" s="61">
        <v>38</v>
      </c>
      <c r="AA159" s="62">
        <v>9.9</v>
      </c>
      <c r="AB159" s="63">
        <v>0</v>
      </c>
      <c r="AC159" s="63">
        <v>0</v>
      </c>
      <c r="AD159" s="65">
        <v>14.03</v>
      </c>
      <c r="AE159" s="64">
        <v>39</v>
      </c>
      <c r="AF159" s="62">
        <v>9.8000000000000007</v>
      </c>
      <c r="AG159" s="63">
        <v>0</v>
      </c>
      <c r="AH159" s="63">
        <v>0</v>
      </c>
      <c r="AI159" s="65">
        <v>8.65</v>
      </c>
      <c r="AJ159" s="64">
        <v>39</v>
      </c>
      <c r="AK159" s="62">
        <v>9.8000000000000007</v>
      </c>
      <c r="AL159" s="62">
        <v>0</v>
      </c>
      <c r="AM159" s="62">
        <v>0</v>
      </c>
      <c r="AN159" s="65">
        <v>9.0299999999999994</v>
      </c>
      <c r="AO159" s="61">
        <v>40</v>
      </c>
      <c r="AP159" s="62">
        <v>9.9</v>
      </c>
      <c r="AQ159" s="62">
        <v>170</v>
      </c>
      <c r="AR159" s="62">
        <v>0</v>
      </c>
      <c r="AS159" s="65">
        <v>15.57</v>
      </c>
      <c r="AT159" s="64">
        <v>33</v>
      </c>
      <c r="AU159" s="65">
        <v>130</v>
      </c>
      <c r="AV159" s="64">
        <v>61.46240234375</v>
      </c>
      <c r="AW159" s="65">
        <v>374.39332529703773</v>
      </c>
      <c r="AX159" s="8"/>
      <c r="AZ159" s="1">
        <v>90</v>
      </c>
      <c r="BB159" s="82">
        <f t="shared" si="16"/>
        <v>35.17436</v>
      </c>
    </row>
    <row r="160" spans="3:54" ht="15" customHeight="1" x14ac:dyDescent="0.25">
      <c r="C160" s="42">
        <f>C148+1</f>
        <v>13</v>
      </c>
      <c r="D160" s="66">
        <f>DATE([3]Dash!$F$3,VLOOKUP([3]Dash!$E$3,[3]Abb!$C$3:$D$14,2,FALSE),C160)</f>
        <v>45729</v>
      </c>
      <c r="E160" s="67">
        <f>E159+2/24</f>
        <v>12.250000000000018</v>
      </c>
      <c r="F160" s="68">
        <f t="shared" si="17"/>
        <v>45729.250000000349</v>
      </c>
      <c r="G160" s="46">
        <v>43</v>
      </c>
      <c r="H160" s="47">
        <v>43</v>
      </c>
      <c r="I160" s="48">
        <v>11.2</v>
      </c>
      <c r="J160" s="48">
        <v>300</v>
      </c>
      <c r="K160" s="49">
        <v>0</v>
      </c>
      <c r="L160" s="50">
        <v>41</v>
      </c>
      <c r="M160" s="48">
        <v>10.9</v>
      </c>
      <c r="N160" s="48">
        <v>250</v>
      </c>
      <c r="O160" s="51">
        <v>0</v>
      </c>
      <c r="P160" s="47">
        <v>42</v>
      </c>
      <c r="Q160" s="48">
        <v>10.7</v>
      </c>
      <c r="R160" s="49">
        <v>0</v>
      </c>
      <c r="S160" s="49">
        <v>0</v>
      </c>
      <c r="T160" s="51">
        <v>17.3</v>
      </c>
      <c r="U160" s="50">
        <v>40</v>
      </c>
      <c r="V160" s="48">
        <v>10.5</v>
      </c>
      <c r="W160" s="49">
        <v>0</v>
      </c>
      <c r="X160" s="49">
        <v>0</v>
      </c>
      <c r="Y160" s="51">
        <v>15.96</v>
      </c>
      <c r="Z160" s="47">
        <v>39</v>
      </c>
      <c r="AA160" s="48">
        <v>10</v>
      </c>
      <c r="AB160" s="49">
        <v>0</v>
      </c>
      <c r="AC160" s="49">
        <v>0</v>
      </c>
      <c r="AD160" s="51">
        <v>13.46</v>
      </c>
      <c r="AE160" s="50">
        <v>39</v>
      </c>
      <c r="AF160" s="48">
        <v>9.9</v>
      </c>
      <c r="AG160" s="49">
        <v>0</v>
      </c>
      <c r="AH160" s="49">
        <v>0</v>
      </c>
      <c r="AI160" s="51">
        <v>8.84</v>
      </c>
      <c r="AJ160" s="50">
        <v>38</v>
      </c>
      <c r="AK160" s="48">
        <v>9.8000000000000007</v>
      </c>
      <c r="AL160" s="48">
        <v>0</v>
      </c>
      <c r="AM160" s="48">
        <v>0</v>
      </c>
      <c r="AN160" s="51">
        <v>9.23</v>
      </c>
      <c r="AO160" s="47">
        <v>38</v>
      </c>
      <c r="AP160" s="48">
        <v>9.9</v>
      </c>
      <c r="AQ160" s="48">
        <v>180</v>
      </c>
      <c r="AR160" s="48">
        <v>0</v>
      </c>
      <c r="AS160" s="51">
        <v>15.76</v>
      </c>
      <c r="AT160" s="50">
        <v>34</v>
      </c>
      <c r="AU160" s="51">
        <v>130</v>
      </c>
      <c r="AV160" s="50">
        <v>62.08</v>
      </c>
      <c r="AW160" s="51">
        <v>373.2</v>
      </c>
      <c r="AX160" s="8"/>
      <c r="AZ160" s="1">
        <v>90</v>
      </c>
      <c r="BB160" s="82">
        <f t="shared" si="16"/>
        <v>35.603099999999998</v>
      </c>
    </row>
    <row r="161" spans="3:54" ht="15" customHeight="1" x14ac:dyDescent="0.25">
      <c r="C161" s="42"/>
      <c r="D161" s="43">
        <f>D160</f>
        <v>45729</v>
      </c>
      <c r="E161" s="44">
        <f>E160+2/24</f>
        <v>12.333333333333352</v>
      </c>
      <c r="F161" s="45">
        <f t="shared" si="17"/>
        <v>45729.333333333685</v>
      </c>
      <c r="G161" s="52">
        <v>0</v>
      </c>
      <c r="H161" s="53">
        <v>49</v>
      </c>
      <c r="I161" s="54">
        <v>10.7</v>
      </c>
      <c r="J161" s="54">
        <v>500</v>
      </c>
      <c r="K161" s="55">
        <v>0</v>
      </c>
      <c r="L161" s="56">
        <v>42</v>
      </c>
      <c r="M161" s="54">
        <v>10.6</v>
      </c>
      <c r="N161" s="54">
        <v>400</v>
      </c>
      <c r="O161" s="57">
        <v>0</v>
      </c>
      <c r="P161" s="53">
        <v>41</v>
      </c>
      <c r="Q161" s="54">
        <v>10.6</v>
      </c>
      <c r="R161" s="55">
        <v>0</v>
      </c>
      <c r="S161" s="55">
        <v>0</v>
      </c>
      <c r="T161" s="57">
        <v>14.42</v>
      </c>
      <c r="U161" s="56">
        <v>41</v>
      </c>
      <c r="V161" s="54">
        <v>10.5</v>
      </c>
      <c r="W161" s="55">
        <v>0</v>
      </c>
      <c r="X161" s="55">
        <v>0</v>
      </c>
      <c r="Y161" s="57">
        <v>16.34</v>
      </c>
      <c r="Z161" s="53">
        <v>42</v>
      </c>
      <c r="AA161" s="54">
        <v>10.1</v>
      </c>
      <c r="AB161" s="55">
        <v>0</v>
      </c>
      <c r="AC161" s="55">
        <v>0</v>
      </c>
      <c r="AD161" s="57">
        <v>14.47</v>
      </c>
      <c r="AE161" s="56">
        <v>38</v>
      </c>
      <c r="AF161" s="54">
        <v>10.1</v>
      </c>
      <c r="AG161" s="55">
        <v>0</v>
      </c>
      <c r="AH161" s="55">
        <v>0</v>
      </c>
      <c r="AI161" s="57">
        <v>8.6999999999999993</v>
      </c>
      <c r="AJ161" s="56">
        <v>39</v>
      </c>
      <c r="AK161" s="54">
        <v>10</v>
      </c>
      <c r="AL161" s="54">
        <v>0</v>
      </c>
      <c r="AM161" s="54">
        <v>0</v>
      </c>
      <c r="AN161" s="57">
        <v>8.65</v>
      </c>
      <c r="AO161" s="53">
        <v>39</v>
      </c>
      <c r="AP161" s="54">
        <v>9.9</v>
      </c>
      <c r="AQ161" s="54">
        <v>150</v>
      </c>
      <c r="AR161" s="54">
        <v>0</v>
      </c>
      <c r="AS161" s="57">
        <v>15.38</v>
      </c>
      <c r="AT161" s="56">
        <v>34</v>
      </c>
      <c r="AU161" s="57">
        <v>120</v>
      </c>
      <c r="AV161" s="56">
        <v>62.19</v>
      </c>
      <c r="AW161" s="57">
        <v>371.71</v>
      </c>
      <c r="AX161" s="8"/>
      <c r="AZ161" s="1">
        <v>90</v>
      </c>
      <c r="BB161" s="82">
        <f t="shared" si="16"/>
        <v>34.458320000000001</v>
      </c>
    </row>
    <row r="162" spans="3:54" ht="15" customHeight="1" x14ac:dyDescent="0.25">
      <c r="C162" s="42"/>
      <c r="D162" s="43">
        <f>D160</f>
        <v>45729</v>
      </c>
      <c r="E162" s="44">
        <f t="shared" ref="E162:E171" si="19">E161+2/24</f>
        <v>12.416666666666686</v>
      </c>
      <c r="F162" s="45">
        <f t="shared" si="17"/>
        <v>45729.416666667021</v>
      </c>
      <c r="G162" s="52">
        <v>0</v>
      </c>
      <c r="H162" s="53">
        <v>43</v>
      </c>
      <c r="I162" s="54">
        <v>10.6</v>
      </c>
      <c r="J162" s="54">
        <v>350</v>
      </c>
      <c r="K162" s="55">
        <v>0</v>
      </c>
      <c r="L162" s="56">
        <v>41</v>
      </c>
      <c r="M162" s="54">
        <v>10.6</v>
      </c>
      <c r="N162" s="54">
        <v>300</v>
      </c>
      <c r="O162" s="57">
        <v>0</v>
      </c>
      <c r="P162" s="53">
        <v>40</v>
      </c>
      <c r="Q162" s="54">
        <v>10.5</v>
      </c>
      <c r="R162" s="55">
        <v>0</v>
      </c>
      <c r="S162" s="55">
        <v>0</v>
      </c>
      <c r="T162" s="57">
        <v>16.38</v>
      </c>
      <c r="U162" s="56">
        <v>40</v>
      </c>
      <c r="V162" s="54">
        <v>10.4</v>
      </c>
      <c r="W162" s="55">
        <v>0</v>
      </c>
      <c r="X162" s="55">
        <v>0</v>
      </c>
      <c r="Y162" s="57">
        <v>15.76</v>
      </c>
      <c r="Z162" s="53">
        <v>41</v>
      </c>
      <c r="AA162" s="54">
        <v>10.1</v>
      </c>
      <c r="AB162" s="55">
        <v>0</v>
      </c>
      <c r="AC162" s="55">
        <v>0</v>
      </c>
      <c r="AD162" s="57">
        <v>14.8</v>
      </c>
      <c r="AE162" s="56">
        <v>37</v>
      </c>
      <c r="AF162" s="54">
        <v>10.1</v>
      </c>
      <c r="AG162" s="55">
        <v>0</v>
      </c>
      <c r="AH162" s="55">
        <v>0</v>
      </c>
      <c r="AI162" s="57">
        <v>8.0500000000000007</v>
      </c>
      <c r="AJ162" s="56">
        <v>38</v>
      </c>
      <c r="AK162" s="54">
        <v>10</v>
      </c>
      <c r="AL162" s="54">
        <v>0</v>
      </c>
      <c r="AM162" s="54">
        <v>0</v>
      </c>
      <c r="AN162" s="57">
        <v>9.0299999999999994</v>
      </c>
      <c r="AO162" s="53">
        <v>38</v>
      </c>
      <c r="AP162" s="54">
        <v>10</v>
      </c>
      <c r="AQ162" s="54">
        <v>150</v>
      </c>
      <c r="AR162" s="54">
        <v>0</v>
      </c>
      <c r="AS162" s="57">
        <v>15.76</v>
      </c>
      <c r="AT162" s="56">
        <v>31</v>
      </c>
      <c r="AU162" s="57">
        <v>120</v>
      </c>
      <c r="AV162" s="56">
        <v>70.61</v>
      </c>
      <c r="AW162" s="57">
        <v>381.26</v>
      </c>
      <c r="AX162" s="8"/>
      <c r="AZ162" s="1">
        <v>90</v>
      </c>
      <c r="BB162" s="82">
        <f t="shared" si="16"/>
        <v>35.26276</v>
      </c>
    </row>
    <row r="163" spans="3:54" ht="15" customHeight="1" x14ac:dyDescent="0.25">
      <c r="C163" s="42"/>
      <c r="D163" s="43">
        <f>D160</f>
        <v>45729</v>
      </c>
      <c r="E163" s="44">
        <f t="shared" si="19"/>
        <v>12.50000000000002</v>
      </c>
      <c r="F163" s="45">
        <f t="shared" si="17"/>
        <v>45729.500000000357</v>
      </c>
      <c r="G163" s="52">
        <v>0</v>
      </c>
      <c r="H163" s="53">
        <v>41</v>
      </c>
      <c r="I163" s="54">
        <v>10.6</v>
      </c>
      <c r="J163" s="54">
        <v>300</v>
      </c>
      <c r="K163" s="55">
        <v>0</v>
      </c>
      <c r="L163" s="56">
        <v>41</v>
      </c>
      <c r="M163" s="54">
        <v>10.6</v>
      </c>
      <c r="N163" s="54">
        <v>300</v>
      </c>
      <c r="O163" s="57">
        <v>0</v>
      </c>
      <c r="P163" s="53">
        <v>34</v>
      </c>
      <c r="Q163" s="54">
        <v>10.5</v>
      </c>
      <c r="R163" s="55">
        <v>0</v>
      </c>
      <c r="S163" s="55">
        <v>0</v>
      </c>
      <c r="T163" s="57">
        <v>16.38</v>
      </c>
      <c r="U163" s="56">
        <v>38</v>
      </c>
      <c r="V163" s="54">
        <v>10.4</v>
      </c>
      <c r="W163" s="55">
        <v>0</v>
      </c>
      <c r="X163" s="55">
        <v>0</v>
      </c>
      <c r="Y163" s="57">
        <v>15.76</v>
      </c>
      <c r="Z163" s="53">
        <v>38</v>
      </c>
      <c r="AA163" s="54">
        <v>10.1</v>
      </c>
      <c r="AB163" s="55">
        <v>0</v>
      </c>
      <c r="AC163" s="55">
        <v>0</v>
      </c>
      <c r="AD163" s="57">
        <v>14.8</v>
      </c>
      <c r="AE163" s="56">
        <v>38</v>
      </c>
      <c r="AF163" s="54">
        <v>10</v>
      </c>
      <c r="AG163" s="55">
        <v>0</v>
      </c>
      <c r="AH163" s="55">
        <v>0</v>
      </c>
      <c r="AI163" s="57">
        <v>8.07</v>
      </c>
      <c r="AJ163" s="56">
        <v>37</v>
      </c>
      <c r="AK163" s="54">
        <v>10</v>
      </c>
      <c r="AL163" s="54">
        <v>0</v>
      </c>
      <c r="AM163" s="54">
        <v>0</v>
      </c>
      <c r="AN163" s="57">
        <v>8.65</v>
      </c>
      <c r="AO163" s="53">
        <v>37</v>
      </c>
      <c r="AP163" s="54">
        <v>10</v>
      </c>
      <c r="AQ163" s="54">
        <v>150</v>
      </c>
      <c r="AR163" s="54">
        <v>0</v>
      </c>
      <c r="AS163" s="57">
        <v>15.75</v>
      </c>
      <c r="AT163" s="56">
        <v>0</v>
      </c>
      <c r="AU163" s="57">
        <v>0</v>
      </c>
      <c r="AV163" s="56">
        <v>70.61</v>
      </c>
      <c r="AW163" s="57">
        <v>393.88</v>
      </c>
      <c r="AX163" s="8"/>
      <c r="AZ163" s="1">
        <v>90</v>
      </c>
      <c r="BB163" s="82">
        <f t="shared" si="16"/>
        <v>35.099220000000003</v>
      </c>
    </row>
    <row r="164" spans="3:54" ht="15" customHeight="1" x14ac:dyDescent="0.25">
      <c r="C164" s="42"/>
      <c r="D164" s="43">
        <f>D160</f>
        <v>45729</v>
      </c>
      <c r="E164" s="44">
        <f t="shared" si="19"/>
        <v>12.583333333333353</v>
      </c>
      <c r="F164" s="45">
        <f t="shared" si="17"/>
        <v>45729.583333333692</v>
      </c>
      <c r="G164" s="52">
        <v>0</v>
      </c>
      <c r="H164" s="53">
        <v>41</v>
      </c>
      <c r="I164" s="54">
        <v>10.6</v>
      </c>
      <c r="J164" s="54">
        <v>300</v>
      </c>
      <c r="K164" s="55">
        <v>0</v>
      </c>
      <c r="L164" s="56">
        <v>41</v>
      </c>
      <c r="M164" s="54">
        <v>10.6</v>
      </c>
      <c r="N164" s="54">
        <v>300</v>
      </c>
      <c r="O164" s="57">
        <v>0</v>
      </c>
      <c r="P164" s="53">
        <v>39</v>
      </c>
      <c r="Q164" s="54">
        <v>10.5</v>
      </c>
      <c r="R164" s="55">
        <v>0</v>
      </c>
      <c r="S164" s="55">
        <v>0</v>
      </c>
      <c r="T164" s="57">
        <v>16.38</v>
      </c>
      <c r="U164" s="56">
        <v>39</v>
      </c>
      <c r="V164" s="54">
        <v>10.4</v>
      </c>
      <c r="W164" s="55">
        <v>0</v>
      </c>
      <c r="X164" s="55">
        <v>0</v>
      </c>
      <c r="Y164" s="57">
        <v>15.76</v>
      </c>
      <c r="Z164" s="53">
        <v>39</v>
      </c>
      <c r="AA164" s="54">
        <v>10.1</v>
      </c>
      <c r="AB164" s="55">
        <v>0</v>
      </c>
      <c r="AC164" s="55">
        <v>0</v>
      </c>
      <c r="AD164" s="57">
        <v>14.42</v>
      </c>
      <c r="AE164" s="56">
        <v>38</v>
      </c>
      <c r="AF164" s="54">
        <v>10</v>
      </c>
      <c r="AG164" s="55">
        <v>0</v>
      </c>
      <c r="AH164" s="55">
        <v>0</v>
      </c>
      <c r="AI164" s="57">
        <v>8.07</v>
      </c>
      <c r="AJ164" s="56">
        <v>38</v>
      </c>
      <c r="AK164" s="54">
        <v>10</v>
      </c>
      <c r="AL164" s="54">
        <v>0</v>
      </c>
      <c r="AM164" s="54">
        <v>0</v>
      </c>
      <c r="AN164" s="57">
        <v>9.0299999999999994</v>
      </c>
      <c r="AO164" s="53">
        <v>38</v>
      </c>
      <c r="AP164" s="54">
        <v>10</v>
      </c>
      <c r="AQ164" s="54">
        <v>160</v>
      </c>
      <c r="AR164" s="54">
        <v>0</v>
      </c>
      <c r="AS164" s="57">
        <v>15.76</v>
      </c>
      <c r="AT164" s="56">
        <v>0</v>
      </c>
      <c r="AU164" s="57">
        <v>0</v>
      </c>
      <c r="AV164" s="56">
        <v>70.34</v>
      </c>
      <c r="AW164" s="57">
        <v>393.16</v>
      </c>
      <c r="AX164" s="8"/>
      <c r="AZ164" s="1">
        <v>90</v>
      </c>
      <c r="BB164" s="82">
        <f t="shared" si="16"/>
        <v>35.103639999999999</v>
      </c>
    </row>
    <row r="165" spans="3:54" ht="15" customHeight="1" x14ac:dyDescent="0.25">
      <c r="C165" s="42"/>
      <c r="D165" s="43">
        <f>D160</f>
        <v>45729</v>
      </c>
      <c r="E165" s="44">
        <f t="shared" si="19"/>
        <v>12.666666666666687</v>
      </c>
      <c r="F165" s="45">
        <f t="shared" si="17"/>
        <v>45729.666666667028</v>
      </c>
      <c r="G165" s="52">
        <v>0</v>
      </c>
      <c r="H165" s="53">
        <v>41</v>
      </c>
      <c r="I165" s="54">
        <v>10.6</v>
      </c>
      <c r="J165" s="54">
        <v>300</v>
      </c>
      <c r="K165" s="55">
        <v>0</v>
      </c>
      <c r="L165" s="56">
        <v>41</v>
      </c>
      <c r="M165" s="54">
        <v>10.6</v>
      </c>
      <c r="N165" s="54">
        <v>300</v>
      </c>
      <c r="O165" s="57">
        <v>0</v>
      </c>
      <c r="P165" s="53">
        <v>40</v>
      </c>
      <c r="Q165" s="54">
        <v>10.5</v>
      </c>
      <c r="R165" s="55">
        <v>0</v>
      </c>
      <c r="S165" s="55">
        <v>0</v>
      </c>
      <c r="T165" s="57">
        <v>16.54</v>
      </c>
      <c r="U165" s="56">
        <v>39</v>
      </c>
      <c r="V165" s="54">
        <v>10.4</v>
      </c>
      <c r="W165" s="55">
        <v>0</v>
      </c>
      <c r="X165" s="55">
        <v>0</v>
      </c>
      <c r="Y165" s="57">
        <v>16.68</v>
      </c>
      <c r="Z165" s="53">
        <v>39</v>
      </c>
      <c r="AA165" s="54">
        <v>10.1</v>
      </c>
      <c r="AB165" s="55">
        <v>0</v>
      </c>
      <c r="AC165" s="55">
        <v>0</v>
      </c>
      <c r="AD165" s="57">
        <v>14.8</v>
      </c>
      <c r="AE165" s="56">
        <v>38</v>
      </c>
      <c r="AF165" s="54">
        <v>10</v>
      </c>
      <c r="AG165" s="55">
        <v>0</v>
      </c>
      <c r="AH165" s="55">
        <v>0</v>
      </c>
      <c r="AI165" s="57">
        <v>8.65</v>
      </c>
      <c r="AJ165" s="56">
        <v>38</v>
      </c>
      <c r="AK165" s="54">
        <v>10</v>
      </c>
      <c r="AL165" s="54">
        <v>0</v>
      </c>
      <c r="AM165" s="54">
        <v>0</v>
      </c>
      <c r="AN165" s="57">
        <v>8.65</v>
      </c>
      <c r="AO165" s="53">
        <v>38</v>
      </c>
      <c r="AP165" s="54">
        <v>10</v>
      </c>
      <c r="AQ165" s="54">
        <v>160</v>
      </c>
      <c r="AR165" s="54">
        <v>0</v>
      </c>
      <c r="AS165" s="57">
        <v>15.38</v>
      </c>
      <c r="AT165" s="56">
        <v>0</v>
      </c>
      <c r="AU165" s="57">
        <v>0</v>
      </c>
      <c r="AV165" s="56">
        <v>60.7</v>
      </c>
      <c r="AW165" s="57">
        <v>372.46</v>
      </c>
      <c r="AX165" s="8"/>
      <c r="AZ165" s="1">
        <v>90</v>
      </c>
      <c r="BB165" s="82">
        <f t="shared" si="16"/>
        <v>35.669399999999996</v>
      </c>
    </row>
    <row r="166" spans="3:54" ht="15" customHeight="1" x14ac:dyDescent="0.25">
      <c r="C166" s="42"/>
      <c r="D166" s="43">
        <f>D160</f>
        <v>45729</v>
      </c>
      <c r="E166" s="44">
        <f t="shared" si="19"/>
        <v>12.750000000000021</v>
      </c>
      <c r="F166" s="45">
        <f t="shared" si="17"/>
        <v>45729.750000000364</v>
      </c>
      <c r="G166" s="52">
        <v>0</v>
      </c>
      <c r="H166" s="53">
        <v>31</v>
      </c>
      <c r="I166" s="54">
        <v>11.9</v>
      </c>
      <c r="J166" s="54">
        <v>2000</v>
      </c>
      <c r="K166" s="55">
        <v>0</v>
      </c>
      <c r="L166" s="56">
        <v>42</v>
      </c>
      <c r="M166" s="54">
        <v>10.5</v>
      </c>
      <c r="N166" s="54">
        <v>300</v>
      </c>
      <c r="O166" s="57">
        <v>0</v>
      </c>
      <c r="P166" s="53">
        <v>38</v>
      </c>
      <c r="Q166" s="54">
        <v>10.3</v>
      </c>
      <c r="R166" s="55">
        <v>0</v>
      </c>
      <c r="S166" s="55">
        <v>0</v>
      </c>
      <c r="T166" s="57">
        <v>14.42</v>
      </c>
      <c r="U166" s="56">
        <v>39</v>
      </c>
      <c r="V166" s="54">
        <v>10.3</v>
      </c>
      <c r="W166" s="55">
        <v>0</v>
      </c>
      <c r="X166" s="55">
        <v>0</v>
      </c>
      <c r="Y166" s="57">
        <v>17</v>
      </c>
      <c r="Z166" s="53">
        <v>38</v>
      </c>
      <c r="AA166" s="54">
        <v>10.199999999999999</v>
      </c>
      <c r="AB166" s="55">
        <v>0</v>
      </c>
      <c r="AC166" s="55">
        <v>0</v>
      </c>
      <c r="AD166" s="57">
        <v>17</v>
      </c>
      <c r="AE166" s="56">
        <v>38</v>
      </c>
      <c r="AF166" s="54">
        <v>10.199999999999999</v>
      </c>
      <c r="AG166" s="55">
        <v>0</v>
      </c>
      <c r="AH166" s="55">
        <v>0</v>
      </c>
      <c r="AI166" s="57">
        <v>8.4</v>
      </c>
      <c r="AJ166" s="56">
        <v>39</v>
      </c>
      <c r="AK166" s="54">
        <v>10</v>
      </c>
      <c r="AL166" s="54">
        <v>0</v>
      </c>
      <c r="AM166" s="54">
        <v>0</v>
      </c>
      <c r="AN166" s="57">
        <v>9.8000000000000007</v>
      </c>
      <c r="AO166" s="53">
        <v>38</v>
      </c>
      <c r="AP166" s="54">
        <v>9.9</v>
      </c>
      <c r="AQ166" s="54">
        <v>150</v>
      </c>
      <c r="AR166" s="54">
        <v>0</v>
      </c>
      <c r="AS166" s="57">
        <v>15</v>
      </c>
      <c r="AT166" s="56">
        <v>29</v>
      </c>
      <c r="AU166" s="57">
        <v>140</v>
      </c>
      <c r="AV166" s="56">
        <v>61.58</v>
      </c>
      <c r="AW166" s="57">
        <v>375.81</v>
      </c>
      <c r="AX166" s="8"/>
      <c r="AZ166" s="1">
        <v>90</v>
      </c>
      <c r="BB166" s="82">
        <f t="shared" si="16"/>
        <v>36.076039999999999</v>
      </c>
    </row>
    <row r="167" spans="3:54" ht="15" customHeight="1" x14ac:dyDescent="0.25">
      <c r="C167" s="42"/>
      <c r="D167" s="43">
        <f>D160</f>
        <v>45729</v>
      </c>
      <c r="E167" s="44">
        <f t="shared" si="19"/>
        <v>12.833333333333355</v>
      </c>
      <c r="F167" s="45">
        <f t="shared" si="17"/>
        <v>45729.8333333337</v>
      </c>
      <c r="G167" s="52">
        <v>41</v>
      </c>
      <c r="H167" s="53">
        <v>40</v>
      </c>
      <c r="I167" s="54">
        <v>9.5</v>
      </c>
      <c r="J167" s="54">
        <v>350</v>
      </c>
      <c r="K167" s="55">
        <v>0</v>
      </c>
      <c r="L167" s="56">
        <v>41</v>
      </c>
      <c r="M167" s="54">
        <v>10.1</v>
      </c>
      <c r="N167" s="54">
        <v>350</v>
      </c>
      <c r="O167" s="57">
        <v>0</v>
      </c>
      <c r="P167" s="53">
        <v>41</v>
      </c>
      <c r="Q167" s="54">
        <v>10.1</v>
      </c>
      <c r="R167" s="55">
        <v>0</v>
      </c>
      <c r="S167" s="55">
        <v>0</v>
      </c>
      <c r="T167" s="57">
        <v>16.36</v>
      </c>
      <c r="U167" s="56">
        <v>40</v>
      </c>
      <c r="V167" s="54">
        <v>10.199999999999999</v>
      </c>
      <c r="W167" s="55">
        <v>0</v>
      </c>
      <c r="X167" s="55">
        <v>0</v>
      </c>
      <c r="Y167" s="57">
        <v>16.36</v>
      </c>
      <c r="Z167" s="53">
        <v>40</v>
      </c>
      <c r="AA167" s="54">
        <v>10.199999999999999</v>
      </c>
      <c r="AB167" s="55">
        <v>0</v>
      </c>
      <c r="AC167" s="55">
        <v>0</v>
      </c>
      <c r="AD167" s="57">
        <v>14.42</v>
      </c>
      <c r="AE167" s="56">
        <v>40</v>
      </c>
      <c r="AF167" s="54">
        <v>10.1</v>
      </c>
      <c r="AG167" s="55">
        <v>0</v>
      </c>
      <c r="AH167" s="55">
        <v>0</v>
      </c>
      <c r="AI167" s="57">
        <v>7.69</v>
      </c>
      <c r="AJ167" s="56">
        <v>39</v>
      </c>
      <c r="AK167" s="54">
        <v>10.1</v>
      </c>
      <c r="AL167" s="54">
        <v>0</v>
      </c>
      <c r="AM167" s="54">
        <v>0</v>
      </c>
      <c r="AN167" s="57">
        <v>9.61</v>
      </c>
      <c r="AO167" s="53">
        <v>40</v>
      </c>
      <c r="AP167" s="54">
        <v>9.9</v>
      </c>
      <c r="AQ167" s="54">
        <v>120</v>
      </c>
      <c r="AR167" s="54">
        <v>0</v>
      </c>
      <c r="AS167" s="57">
        <v>14.23</v>
      </c>
      <c r="AT167" s="56">
        <v>30</v>
      </c>
      <c r="AU167" s="57">
        <v>90</v>
      </c>
      <c r="AV167" s="56">
        <v>61.79</v>
      </c>
      <c r="AW167" s="57">
        <v>379.75</v>
      </c>
      <c r="AX167" s="8"/>
      <c r="AZ167" s="1">
        <v>90</v>
      </c>
      <c r="BB167" s="82">
        <f t="shared" si="16"/>
        <v>34.77214</v>
      </c>
    </row>
    <row r="168" spans="3:54" ht="15" customHeight="1" x14ac:dyDescent="0.25">
      <c r="C168" s="42"/>
      <c r="D168" s="43">
        <f>D160</f>
        <v>45729</v>
      </c>
      <c r="E168" s="44">
        <f t="shared" si="19"/>
        <v>12.916666666666689</v>
      </c>
      <c r="F168" s="45">
        <f t="shared" si="17"/>
        <v>45729.916666667035</v>
      </c>
      <c r="G168" s="52">
        <v>39</v>
      </c>
      <c r="H168" s="53">
        <v>40</v>
      </c>
      <c r="I168" s="54">
        <v>10.6</v>
      </c>
      <c r="J168" s="54">
        <v>350</v>
      </c>
      <c r="K168" s="55">
        <v>0</v>
      </c>
      <c r="L168" s="56">
        <v>41</v>
      </c>
      <c r="M168" s="54">
        <v>10.199999999999999</v>
      </c>
      <c r="N168" s="54">
        <v>350</v>
      </c>
      <c r="O168" s="57">
        <v>0</v>
      </c>
      <c r="P168" s="53">
        <v>40</v>
      </c>
      <c r="Q168" s="54">
        <v>10.199999999999999</v>
      </c>
      <c r="R168" s="55">
        <v>0</v>
      </c>
      <c r="S168" s="55">
        <v>0</v>
      </c>
      <c r="T168" s="57">
        <v>16.34</v>
      </c>
      <c r="U168" s="56">
        <v>40</v>
      </c>
      <c r="V168" s="54">
        <v>10.199999999999999</v>
      </c>
      <c r="W168" s="55">
        <v>0</v>
      </c>
      <c r="X168" s="55">
        <v>0</v>
      </c>
      <c r="Y168" s="57">
        <v>14.42</v>
      </c>
      <c r="Z168" s="53">
        <v>39</v>
      </c>
      <c r="AA168" s="54">
        <v>10.199999999999999</v>
      </c>
      <c r="AB168" s="55">
        <v>0</v>
      </c>
      <c r="AC168" s="55">
        <v>0</v>
      </c>
      <c r="AD168" s="57">
        <v>13.46</v>
      </c>
      <c r="AE168" s="56">
        <v>39</v>
      </c>
      <c r="AF168" s="54">
        <v>10.1</v>
      </c>
      <c r="AG168" s="55">
        <v>0</v>
      </c>
      <c r="AH168" s="55">
        <v>0</v>
      </c>
      <c r="AI168" s="57">
        <v>5.76</v>
      </c>
      <c r="AJ168" s="56">
        <v>40</v>
      </c>
      <c r="AK168" s="54">
        <v>10.1</v>
      </c>
      <c r="AL168" s="54">
        <v>0</v>
      </c>
      <c r="AM168" s="54">
        <v>0</v>
      </c>
      <c r="AN168" s="57">
        <v>9.61</v>
      </c>
      <c r="AO168" s="53">
        <v>40</v>
      </c>
      <c r="AP168" s="54">
        <v>10</v>
      </c>
      <c r="AQ168" s="54">
        <v>130</v>
      </c>
      <c r="AR168" s="54">
        <v>0</v>
      </c>
      <c r="AS168" s="57">
        <v>13.46</v>
      </c>
      <c r="AT168" s="56">
        <v>29</v>
      </c>
      <c r="AU168" s="57">
        <v>100</v>
      </c>
      <c r="AV168" s="56">
        <v>61.28</v>
      </c>
      <c r="AW168" s="57">
        <v>377.23</v>
      </c>
      <c r="AX168" s="8"/>
      <c r="AZ168" s="1">
        <v>90</v>
      </c>
      <c r="BB168" s="82">
        <f t="shared" si="16"/>
        <v>32.2881</v>
      </c>
    </row>
    <row r="169" spans="3:54" ht="15" customHeight="1" x14ac:dyDescent="0.25">
      <c r="C169" s="42"/>
      <c r="D169" s="43">
        <f>D160</f>
        <v>45729</v>
      </c>
      <c r="E169" s="44">
        <f t="shared" si="19"/>
        <v>13.000000000000023</v>
      </c>
      <c r="F169" s="45">
        <f t="shared" si="17"/>
        <v>45730.000000000371</v>
      </c>
      <c r="G169" s="52">
        <v>39</v>
      </c>
      <c r="H169" s="53">
        <v>43</v>
      </c>
      <c r="I169" s="54">
        <v>10.7</v>
      </c>
      <c r="J169" s="54">
        <v>400</v>
      </c>
      <c r="K169" s="55">
        <v>0</v>
      </c>
      <c r="L169" s="56">
        <v>42</v>
      </c>
      <c r="M169" s="54">
        <v>10.3</v>
      </c>
      <c r="N169" s="54">
        <v>350</v>
      </c>
      <c r="O169" s="57">
        <v>0</v>
      </c>
      <c r="P169" s="53">
        <v>40</v>
      </c>
      <c r="Q169" s="54">
        <v>10.3</v>
      </c>
      <c r="R169" s="55">
        <v>0</v>
      </c>
      <c r="S169" s="55">
        <v>0</v>
      </c>
      <c r="T169" s="57">
        <v>16.149999999999999</v>
      </c>
      <c r="U169" s="56">
        <v>40</v>
      </c>
      <c r="V169" s="54">
        <v>10.3</v>
      </c>
      <c r="W169" s="55">
        <v>0</v>
      </c>
      <c r="X169" s="55">
        <v>0</v>
      </c>
      <c r="Y169" s="57">
        <v>15.38</v>
      </c>
      <c r="Z169" s="53">
        <v>40</v>
      </c>
      <c r="AA169" s="54">
        <v>10.199999999999999</v>
      </c>
      <c r="AB169" s="55">
        <v>0</v>
      </c>
      <c r="AC169" s="55">
        <v>0</v>
      </c>
      <c r="AD169" s="57">
        <v>14.42</v>
      </c>
      <c r="AE169" s="56">
        <v>39</v>
      </c>
      <c r="AF169" s="54">
        <v>10.1</v>
      </c>
      <c r="AG169" s="55">
        <v>0</v>
      </c>
      <c r="AH169" s="55">
        <v>0</v>
      </c>
      <c r="AI169" s="57">
        <v>6.73</v>
      </c>
      <c r="AJ169" s="56">
        <v>39</v>
      </c>
      <c r="AK169" s="54">
        <v>10.1</v>
      </c>
      <c r="AL169" s="54">
        <v>0</v>
      </c>
      <c r="AM169" s="54">
        <v>0</v>
      </c>
      <c r="AN169" s="57">
        <v>8.65</v>
      </c>
      <c r="AO169" s="53">
        <v>39</v>
      </c>
      <c r="AP169" s="54">
        <v>10</v>
      </c>
      <c r="AQ169" s="54">
        <v>170</v>
      </c>
      <c r="AR169" s="54">
        <v>0</v>
      </c>
      <c r="AS169" s="57">
        <v>15.38</v>
      </c>
      <c r="AT169" s="56">
        <v>36</v>
      </c>
      <c r="AU169" s="57">
        <v>120</v>
      </c>
      <c r="AV169" s="56">
        <v>61.32</v>
      </c>
      <c r="AW169" s="57">
        <v>377.65</v>
      </c>
      <c r="AX169" s="8"/>
      <c r="AZ169" s="1">
        <v>90</v>
      </c>
      <c r="BB169" s="82">
        <f t="shared" si="16"/>
        <v>33.905819999999999</v>
      </c>
    </row>
    <row r="170" spans="3:54" ht="15" customHeight="1" x14ac:dyDescent="0.25">
      <c r="C170" s="42"/>
      <c r="D170" s="43">
        <f>D160</f>
        <v>45729</v>
      </c>
      <c r="E170" s="44">
        <f t="shared" si="19"/>
        <v>13.083333333333357</v>
      </c>
      <c r="F170" s="45">
        <f t="shared" si="17"/>
        <v>45730.083333333707</v>
      </c>
      <c r="G170" s="52">
        <v>39</v>
      </c>
      <c r="H170" s="53">
        <v>42</v>
      </c>
      <c r="I170" s="54">
        <v>10.7</v>
      </c>
      <c r="J170" s="54">
        <v>250</v>
      </c>
      <c r="K170" s="55">
        <v>0</v>
      </c>
      <c r="L170" s="56">
        <v>41</v>
      </c>
      <c r="M170" s="54">
        <v>10.3</v>
      </c>
      <c r="N170" s="54">
        <v>300</v>
      </c>
      <c r="O170" s="57">
        <v>0</v>
      </c>
      <c r="P170" s="53">
        <v>41</v>
      </c>
      <c r="Q170" s="54">
        <v>10.3</v>
      </c>
      <c r="R170" s="55">
        <v>0</v>
      </c>
      <c r="S170" s="55">
        <v>0</v>
      </c>
      <c r="T170" s="57">
        <v>16.34</v>
      </c>
      <c r="U170" s="56">
        <v>41</v>
      </c>
      <c r="V170" s="54">
        <v>10.199999999999999</v>
      </c>
      <c r="W170" s="55">
        <v>0</v>
      </c>
      <c r="X170" s="55">
        <v>0</v>
      </c>
      <c r="Y170" s="57">
        <v>16.73</v>
      </c>
      <c r="Z170" s="53">
        <v>41</v>
      </c>
      <c r="AA170" s="54">
        <v>10.199999999999999</v>
      </c>
      <c r="AB170" s="55">
        <v>0</v>
      </c>
      <c r="AC170" s="55">
        <v>0</v>
      </c>
      <c r="AD170" s="57">
        <v>14.42</v>
      </c>
      <c r="AE170" s="56">
        <v>39</v>
      </c>
      <c r="AF170" s="54">
        <v>10.199999999999999</v>
      </c>
      <c r="AG170" s="55">
        <v>0</v>
      </c>
      <c r="AH170" s="55">
        <v>0</v>
      </c>
      <c r="AI170" s="57">
        <v>7.69</v>
      </c>
      <c r="AJ170" s="56">
        <v>40</v>
      </c>
      <c r="AK170" s="54">
        <v>10.1</v>
      </c>
      <c r="AL170" s="54">
        <v>0</v>
      </c>
      <c r="AM170" s="54">
        <v>0</v>
      </c>
      <c r="AN170" s="57">
        <v>9.61</v>
      </c>
      <c r="AO170" s="53">
        <v>40</v>
      </c>
      <c r="AP170" s="54">
        <v>10.1</v>
      </c>
      <c r="AQ170" s="54">
        <v>180</v>
      </c>
      <c r="AR170" s="54">
        <v>0</v>
      </c>
      <c r="AS170" s="57">
        <v>15.38</v>
      </c>
      <c r="AT170" s="56">
        <v>32</v>
      </c>
      <c r="AU170" s="57">
        <v>160</v>
      </c>
      <c r="AV170" s="56">
        <v>61.95</v>
      </c>
      <c r="AW170" s="57">
        <v>378.98</v>
      </c>
      <c r="AX170" s="8"/>
      <c r="AZ170" s="1">
        <v>90</v>
      </c>
      <c r="BB170" s="82">
        <f t="shared" si="16"/>
        <v>35.435139999999997</v>
      </c>
    </row>
    <row r="171" spans="3:54" ht="15" customHeight="1" x14ac:dyDescent="0.25">
      <c r="C171" s="42"/>
      <c r="D171" s="69">
        <f>D160</f>
        <v>45729</v>
      </c>
      <c r="E171" s="70">
        <f t="shared" si="19"/>
        <v>13.166666666666691</v>
      </c>
      <c r="F171" s="71">
        <f t="shared" si="17"/>
        <v>45730.166666667043</v>
      </c>
      <c r="G171" s="60">
        <v>41</v>
      </c>
      <c r="H171" s="61">
        <v>41</v>
      </c>
      <c r="I171" s="62">
        <v>10.9</v>
      </c>
      <c r="J171" s="62">
        <v>200</v>
      </c>
      <c r="K171" s="63">
        <v>0</v>
      </c>
      <c r="L171" s="64">
        <v>41</v>
      </c>
      <c r="M171" s="62">
        <v>10.6</v>
      </c>
      <c r="N171" s="62">
        <v>200</v>
      </c>
      <c r="O171" s="65">
        <v>0</v>
      </c>
      <c r="P171" s="61">
        <v>40</v>
      </c>
      <c r="Q171" s="62">
        <v>10.4</v>
      </c>
      <c r="R171" s="63">
        <v>0</v>
      </c>
      <c r="S171" s="63">
        <v>0</v>
      </c>
      <c r="T171" s="65">
        <v>16.34</v>
      </c>
      <c r="U171" s="64">
        <v>40</v>
      </c>
      <c r="V171" s="62">
        <v>10.3</v>
      </c>
      <c r="W171" s="63">
        <v>0</v>
      </c>
      <c r="X171" s="63">
        <v>0</v>
      </c>
      <c r="Y171" s="65">
        <v>16.53</v>
      </c>
      <c r="Z171" s="61">
        <v>40</v>
      </c>
      <c r="AA171" s="62">
        <v>10.3</v>
      </c>
      <c r="AB171" s="63">
        <v>0</v>
      </c>
      <c r="AC171" s="63">
        <v>0</v>
      </c>
      <c r="AD171" s="65">
        <v>14.23</v>
      </c>
      <c r="AE171" s="64">
        <v>40</v>
      </c>
      <c r="AF171" s="62">
        <v>10.199999999999999</v>
      </c>
      <c r="AG171" s="63">
        <v>0</v>
      </c>
      <c r="AH171" s="63">
        <v>0</v>
      </c>
      <c r="AI171" s="65">
        <v>7.5</v>
      </c>
      <c r="AJ171" s="64">
        <v>38</v>
      </c>
      <c r="AK171" s="62">
        <v>10.1</v>
      </c>
      <c r="AL171" s="62">
        <v>0</v>
      </c>
      <c r="AM171" s="62">
        <v>0</v>
      </c>
      <c r="AN171" s="65">
        <v>9.8000000000000007</v>
      </c>
      <c r="AO171" s="61">
        <v>39</v>
      </c>
      <c r="AP171" s="62">
        <v>10.1</v>
      </c>
      <c r="AQ171" s="62">
        <v>160</v>
      </c>
      <c r="AR171" s="62">
        <v>0</v>
      </c>
      <c r="AS171" s="65">
        <v>14.42</v>
      </c>
      <c r="AT171" s="64">
        <v>34</v>
      </c>
      <c r="AU171" s="65">
        <v>150</v>
      </c>
      <c r="AV171" s="64">
        <v>61.65</v>
      </c>
      <c r="AW171" s="65">
        <v>375.45</v>
      </c>
      <c r="AX171" s="8"/>
      <c r="AZ171" s="1">
        <v>90</v>
      </c>
      <c r="BB171" s="82">
        <f t="shared" si="16"/>
        <v>34.838440000000006</v>
      </c>
    </row>
    <row r="172" spans="3:54" ht="15" customHeight="1" x14ac:dyDescent="0.25">
      <c r="C172" s="42">
        <f>C160+1</f>
        <v>14</v>
      </c>
      <c r="D172" s="66">
        <f>DATE([3]Dash!$F$3,VLOOKUP([3]Dash!$E$3,[3]Abb!$C$3:$D$14,2,FALSE),C172)</f>
        <v>45730</v>
      </c>
      <c r="E172" s="67">
        <f>E171+2/24</f>
        <v>13.250000000000025</v>
      </c>
      <c r="F172" s="68">
        <f t="shared" si="17"/>
        <v>45730.250000000378</v>
      </c>
      <c r="G172" s="46">
        <v>36</v>
      </c>
      <c r="H172" s="47">
        <v>41</v>
      </c>
      <c r="I172" s="48">
        <v>10.8</v>
      </c>
      <c r="J172" s="48">
        <v>200</v>
      </c>
      <c r="K172" s="49">
        <v>0</v>
      </c>
      <c r="L172" s="50">
        <v>42</v>
      </c>
      <c r="M172" s="48">
        <v>10.6</v>
      </c>
      <c r="N172" s="48">
        <v>250</v>
      </c>
      <c r="O172" s="51">
        <v>0</v>
      </c>
      <c r="P172" s="47">
        <v>41</v>
      </c>
      <c r="Q172" s="48">
        <v>10.4</v>
      </c>
      <c r="R172" s="49">
        <v>0</v>
      </c>
      <c r="S172" s="49">
        <v>0</v>
      </c>
      <c r="T172" s="51">
        <v>16.149999999999999</v>
      </c>
      <c r="U172" s="50">
        <v>40</v>
      </c>
      <c r="V172" s="48">
        <v>10.3</v>
      </c>
      <c r="W172" s="49">
        <v>0</v>
      </c>
      <c r="X172" s="49">
        <v>0</v>
      </c>
      <c r="Y172" s="51">
        <v>15.38</v>
      </c>
      <c r="Z172" s="47">
        <v>39</v>
      </c>
      <c r="AA172" s="48">
        <v>10.3</v>
      </c>
      <c r="AB172" s="49">
        <v>0</v>
      </c>
      <c r="AC172" s="49">
        <v>0</v>
      </c>
      <c r="AD172" s="51">
        <v>14.42</v>
      </c>
      <c r="AE172" s="50">
        <v>39</v>
      </c>
      <c r="AF172" s="48">
        <v>10.199999999999999</v>
      </c>
      <c r="AG172" s="49">
        <v>0</v>
      </c>
      <c r="AH172" s="49">
        <v>0</v>
      </c>
      <c r="AI172" s="51">
        <v>6.7</v>
      </c>
      <c r="AJ172" s="50">
        <v>40</v>
      </c>
      <c r="AK172" s="48">
        <v>10.1</v>
      </c>
      <c r="AL172" s="48">
        <v>0</v>
      </c>
      <c r="AM172" s="48">
        <v>0</v>
      </c>
      <c r="AN172" s="51">
        <v>9.6</v>
      </c>
      <c r="AO172" s="47">
        <v>40</v>
      </c>
      <c r="AP172" s="48">
        <v>10.1</v>
      </c>
      <c r="AQ172" s="48">
        <v>150</v>
      </c>
      <c r="AR172" s="48">
        <v>0</v>
      </c>
      <c r="AS172" s="51">
        <v>14.4</v>
      </c>
      <c r="AT172" s="50">
        <v>30</v>
      </c>
      <c r="AU172" s="51">
        <v>130</v>
      </c>
      <c r="AV172" s="50">
        <v>62.150066375732401</v>
      </c>
      <c r="AW172" s="51">
        <v>373.88454920450846</v>
      </c>
      <c r="AX172" s="8"/>
      <c r="AZ172" s="1">
        <v>90</v>
      </c>
      <c r="BB172" s="82">
        <f t="shared" si="16"/>
        <v>33.879300000000001</v>
      </c>
    </row>
    <row r="173" spans="3:54" ht="15" customHeight="1" x14ac:dyDescent="0.25">
      <c r="C173" s="42"/>
      <c r="D173" s="43">
        <f>D172</f>
        <v>45730</v>
      </c>
      <c r="E173" s="44">
        <f>E172+2/24</f>
        <v>13.333333333333359</v>
      </c>
      <c r="F173" s="45">
        <f t="shared" si="17"/>
        <v>45730.333333333714</v>
      </c>
      <c r="G173" s="52">
        <v>40</v>
      </c>
      <c r="H173" s="53">
        <v>39</v>
      </c>
      <c r="I173" s="54">
        <v>10</v>
      </c>
      <c r="J173" s="54">
        <v>200</v>
      </c>
      <c r="K173" s="55">
        <v>0</v>
      </c>
      <c r="L173" s="56">
        <v>46</v>
      </c>
      <c r="M173" s="54">
        <v>10.7</v>
      </c>
      <c r="N173" s="54">
        <v>200</v>
      </c>
      <c r="O173" s="57">
        <v>0</v>
      </c>
      <c r="P173" s="53">
        <v>40</v>
      </c>
      <c r="Q173" s="54">
        <v>10.7</v>
      </c>
      <c r="R173" s="55">
        <v>0</v>
      </c>
      <c r="S173" s="55">
        <v>0</v>
      </c>
      <c r="T173" s="57">
        <v>15.76</v>
      </c>
      <c r="U173" s="56">
        <v>38</v>
      </c>
      <c r="V173" s="54">
        <v>10.5</v>
      </c>
      <c r="W173" s="55">
        <v>0</v>
      </c>
      <c r="X173" s="55">
        <v>0</v>
      </c>
      <c r="Y173" s="57">
        <v>15.76</v>
      </c>
      <c r="Z173" s="53">
        <v>39</v>
      </c>
      <c r="AA173" s="54">
        <v>10.4</v>
      </c>
      <c r="AB173" s="55">
        <v>0</v>
      </c>
      <c r="AC173" s="55">
        <v>0</v>
      </c>
      <c r="AD173" s="57">
        <v>13.46</v>
      </c>
      <c r="AE173" s="56">
        <v>38</v>
      </c>
      <c r="AF173" s="54">
        <v>10.4</v>
      </c>
      <c r="AG173" s="55">
        <v>0</v>
      </c>
      <c r="AH173" s="55">
        <v>0</v>
      </c>
      <c r="AI173" s="57">
        <v>7.11</v>
      </c>
      <c r="AJ173" s="56">
        <v>37</v>
      </c>
      <c r="AK173" s="54">
        <v>10.3</v>
      </c>
      <c r="AL173" s="54">
        <v>0</v>
      </c>
      <c r="AM173" s="54">
        <v>0</v>
      </c>
      <c r="AN173" s="57">
        <v>8.65</v>
      </c>
      <c r="AO173" s="53">
        <v>37</v>
      </c>
      <c r="AP173" s="54">
        <v>10.199999999999999</v>
      </c>
      <c r="AQ173" s="54">
        <v>210</v>
      </c>
      <c r="AR173" s="54">
        <v>0</v>
      </c>
      <c r="AS173" s="57">
        <v>14.42</v>
      </c>
      <c r="AT173" s="56">
        <v>34</v>
      </c>
      <c r="AU173" s="57">
        <v>160</v>
      </c>
      <c r="AV173" s="56">
        <v>62.154132843017599</v>
      </c>
      <c r="AW173" s="57">
        <v>373.48247070312499</v>
      </c>
      <c r="AX173" s="8"/>
      <c r="AZ173" s="1">
        <v>90</v>
      </c>
      <c r="BB173" s="82">
        <f t="shared" si="16"/>
        <v>33.22072</v>
      </c>
    </row>
    <row r="174" spans="3:54" ht="15" customHeight="1" x14ac:dyDescent="0.25">
      <c r="C174" s="42"/>
      <c r="D174" s="43">
        <f>D172</f>
        <v>45730</v>
      </c>
      <c r="E174" s="44">
        <f t="shared" ref="E174:E183" si="20">E173+2/24</f>
        <v>13.416666666666693</v>
      </c>
      <c r="F174" s="45">
        <f t="shared" si="17"/>
        <v>45730.41666666705</v>
      </c>
      <c r="G174" s="52">
        <v>43</v>
      </c>
      <c r="H174" s="53">
        <v>39</v>
      </c>
      <c r="I174" s="54">
        <v>11</v>
      </c>
      <c r="J174" s="54">
        <v>200</v>
      </c>
      <c r="K174" s="55">
        <v>0</v>
      </c>
      <c r="L174" s="56">
        <v>39</v>
      </c>
      <c r="M174" s="54">
        <v>10.5</v>
      </c>
      <c r="N174" s="54">
        <v>200</v>
      </c>
      <c r="O174" s="57">
        <v>0</v>
      </c>
      <c r="P174" s="53">
        <v>39</v>
      </c>
      <c r="Q174" s="54">
        <v>10.5</v>
      </c>
      <c r="R174" s="55">
        <v>0</v>
      </c>
      <c r="S174" s="55">
        <v>0</v>
      </c>
      <c r="T174" s="57">
        <v>15.38</v>
      </c>
      <c r="U174" s="56">
        <v>38</v>
      </c>
      <c r="V174" s="54">
        <v>10.5</v>
      </c>
      <c r="W174" s="55">
        <v>0</v>
      </c>
      <c r="X174" s="55">
        <v>0</v>
      </c>
      <c r="Y174" s="57">
        <v>15.76</v>
      </c>
      <c r="Z174" s="53">
        <v>37</v>
      </c>
      <c r="AA174" s="54">
        <v>10.4</v>
      </c>
      <c r="AB174" s="55">
        <v>0</v>
      </c>
      <c r="AC174" s="55">
        <v>0</v>
      </c>
      <c r="AD174" s="57">
        <v>13.46</v>
      </c>
      <c r="AE174" s="56">
        <v>37</v>
      </c>
      <c r="AF174" s="54">
        <v>10.4</v>
      </c>
      <c r="AG174" s="55">
        <v>0</v>
      </c>
      <c r="AH174" s="55">
        <v>0</v>
      </c>
      <c r="AI174" s="57">
        <v>7.3</v>
      </c>
      <c r="AJ174" s="56">
        <v>38</v>
      </c>
      <c r="AK174" s="54">
        <v>10.4</v>
      </c>
      <c r="AL174" s="54">
        <v>0</v>
      </c>
      <c r="AM174" s="54">
        <v>0</v>
      </c>
      <c r="AN174" s="57">
        <v>6.65</v>
      </c>
      <c r="AO174" s="53">
        <v>38</v>
      </c>
      <c r="AP174" s="54">
        <v>10.199999999999999</v>
      </c>
      <c r="AQ174" s="54">
        <v>200</v>
      </c>
      <c r="AR174" s="54">
        <v>0</v>
      </c>
      <c r="AS174" s="57">
        <v>13.65</v>
      </c>
      <c r="AT174" s="56">
        <v>33</v>
      </c>
      <c r="AU174" s="57">
        <v>170</v>
      </c>
      <c r="AV174" s="56">
        <v>62.141925811767599</v>
      </c>
      <c r="AW174" s="57">
        <v>358.70418612162274</v>
      </c>
      <c r="AX174" s="8"/>
      <c r="AZ174" s="1">
        <v>90</v>
      </c>
      <c r="BB174" s="82">
        <f t="shared" si="16"/>
        <v>31.912399999999998</v>
      </c>
    </row>
    <row r="175" spans="3:54" ht="15" customHeight="1" x14ac:dyDescent="0.25">
      <c r="C175" s="42"/>
      <c r="D175" s="43">
        <f>D172</f>
        <v>45730</v>
      </c>
      <c r="E175" s="44">
        <f t="shared" si="20"/>
        <v>13.500000000000027</v>
      </c>
      <c r="F175" s="45">
        <f t="shared" si="17"/>
        <v>45730.500000000386</v>
      </c>
      <c r="G175" s="52">
        <v>42</v>
      </c>
      <c r="H175" s="53">
        <v>40</v>
      </c>
      <c r="I175" s="54">
        <v>10.9</v>
      </c>
      <c r="J175" s="54">
        <v>250</v>
      </c>
      <c r="K175" s="55">
        <v>0</v>
      </c>
      <c r="L175" s="56">
        <v>41</v>
      </c>
      <c r="M175" s="54">
        <v>10.6</v>
      </c>
      <c r="N175" s="54">
        <v>200</v>
      </c>
      <c r="O175" s="57">
        <v>0</v>
      </c>
      <c r="P175" s="53">
        <v>40</v>
      </c>
      <c r="Q175" s="54">
        <v>10.4</v>
      </c>
      <c r="R175" s="55">
        <v>0</v>
      </c>
      <c r="S175" s="55">
        <v>0</v>
      </c>
      <c r="T175" s="57">
        <v>15.76</v>
      </c>
      <c r="U175" s="56">
        <v>38</v>
      </c>
      <c r="V175" s="54">
        <v>10.5</v>
      </c>
      <c r="W175" s="55">
        <v>0</v>
      </c>
      <c r="X175" s="55">
        <v>0</v>
      </c>
      <c r="Y175" s="57">
        <v>15.76</v>
      </c>
      <c r="Z175" s="53">
        <v>38</v>
      </c>
      <c r="AA175" s="54">
        <v>10.4</v>
      </c>
      <c r="AB175" s="55">
        <v>0</v>
      </c>
      <c r="AC175" s="55">
        <v>0</v>
      </c>
      <c r="AD175" s="57">
        <v>13.46</v>
      </c>
      <c r="AE175" s="56">
        <v>38</v>
      </c>
      <c r="AF175" s="54">
        <v>10.4</v>
      </c>
      <c r="AG175" s="55">
        <v>0</v>
      </c>
      <c r="AH175" s="55">
        <v>0</v>
      </c>
      <c r="AI175" s="57">
        <v>7.11</v>
      </c>
      <c r="AJ175" s="56">
        <v>38</v>
      </c>
      <c r="AK175" s="54">
        <v>10.4</v>
      </c>
      <c r="AL175" s="54">
        <v>0</v>
      </c>
      <c r="AM175" s="54">
        <v>0</v>
      </c>
      <c r="AN175" s="57">
        <v>8.65</v>
      </c>
      <c r="AO175" s="53">
        <v>38</v>
      </c>
      <c r="AP175" s="54">
        <v>10.199999999999999</v>
      </c>
      <c r="AQ175" s="54">
        <v>200</v>
      </c>
      <c r="AR175" s="54">
        <v>0</v>
      </c>
      <c r="AS175" s="57">
        <v>13.65</v>
      </c>
      <c r="AT175" s="56">
        <v>33</v>
      </c>
      <c r="AU175" s="57">
        <v>160</v>
      </c>
      <c r="AV175" s="56">
        <v>62.3291015625</v>
      </c>
      <c r="AW175" s="57">
        <v>369.97251129150391</v>
      </c>
      <c r="AX175" s="8"/>
      <c r="AZ175" s="1">
        <v>90</v>
      </c>
      <c r="BB175" s="82">
        <f t="shared" si="16"/>
        <v>32.880379999999995</v>
      </c>
    </row>
    <row r="176" spans="3:54" ht="15" customHeight="1" x14ac:dyDescent="0.25">
      <c r="C176" s="42"/>
      <c r="D176" s="43">
        <f>D172</f>
        <v>45730</v>
      </c>
      <c r="E176" s="44">
        <f t="shared" si="20"/>
        <v>13.583333333333361</v>
      </c>
      <c r="F176" s="45">
        <f t="shared" si="17"/>
        <v>45730.583333333721</v>
      </c>
      <c r="G176" s="52">
        <v>40</v>
      </c>
      <c r="H176" s="53">
        <v>42</v>
      </c>
      <c r="I176" s="54">
        <v>10.5</v>
      </c>
      <c r="J176" s="54">
        <v>250</v>
      </c>
      <c r="K176" s="55">
        <v>0</v>
      </c>
      <c r="L176" s="56">
        <v>41</v>
      </c>
      <c r="M176" s="54">
        <v>10.5</v>
      </c>
      <c r="N176" s="54">
        <v>200</v>
      </c>
      <c r="O176" s="57">
        <v>0</v>
      </c>
      <c r="P176" s="53">
        <v>41</v>
      </c>
      <c r="Q176" s="54">
        <v>10.6</v>
      </c>
      <c r="R176" s="55">
        <v>0</v>
      </c>
      <c r="S176" s="55">
        <v>0</v>
      </c>
      <c r="T176" s="57">
        <v>16.34</v>
      </c>
      <c r="U176" s="56">
        <v>40</v>
      </c>
      <c r="V176" s="54">
        <v>10.5</v>
      </c>
      <c r="W176" s="55">
        <v>0</v>
      </c>
      <c r="X176" s="55">
        <v>0</v>
      </c>
      <c r="Y176" s="57">
        <v>15.57</v>
      </c>
      <c r="Z176" s="53">
        <v>38</v>
      </c>
      <c r="AA176" s="54">
        <v>10.4</v>
      </c>
      <c r="AB176" s="55">
        <v>0</v>
      </c>
      <c r="AC176" s="55">
        <v>0</v>
      </c>
      <c r="AD176" s="57">
        <v>13.26</v>
      </c>
      <c r="AE176" s="56">
        <v>38</v>
      </c>
      <c r="AF176" s="54">
        <v>10.3</v>
      </c>
      <c r="AG176" s="55">
        <v>0</v>
      </c>
      <c r="AH176" s="55">
        <v>0</v>
      </c>
      <c r="AI176" s="57">
        <v>6.73</v>
      </c>
      <c r="AJ176" s="56">
        <v>38</v>
      </c>
      <c r="AK176" s="54">
        <v>10.3</v>
      </c>
      <c r="AL176" s="54">
        <v>0</v>
      </c>
      <c r="AM176" s="54">
        <v>0</v>
      </c>
      <c r="AN176" s="57">
        <v>7.88</v>
      </c>
      <c r="AO176" s="53">
        <v>39</v>
      </c>
      <c r="AP176" s="54">
        <v>10.199999999999999</v>
      </c>
      <c r="AQ176" s="54">
        <v>200</v>
      </c>
      <c r="AR176" s="54">
        <v>0</v>
      </c>
      <c r="AS176" s="57">
        <v>14.23</v>
      </c>
      <c r="AT176" s="56">
        <v>34</v>
      </c>
      <c r="AU176" s="57">
        <v>160</v>
      </c>
      <c r="AV176" s="56">
        <v>61.9140625</v>
      </c>
      <c r="AW176" s="57">
        <v>371.76806055704753</v>
      </c>
      <c r="AX176" s="8"/>
      <c r="AZ176" s="1">
        <v>90</v>
      </c>
      <c r="BB176" s="82">
        <f t="shared" si="16"/>
        <v>32.712420000000002</v>
      </c>
    </row>
    <row r="177" spans="3:54" ht="15" customHeight="1" x14ac:dyDescent="0.25">
      <c r="C177" s="42"/>
      <c r="D177" s="43">
        <f>D172</f>
        <v>45730</v>
      </c>
      <c r="E177" s="44">
        <f t="shared" si="20"/>
        <v>13.666666666666694</v>
      </c>
      <c r="F177" s="45">
        <f t="shared" si="17"/>
        <v>45730.666666667057</v>
      </c>
      <c r="G177" s="52">
        <v>45</v>
      </c>
      <c r="H177" s="53">
        <v>41</v>
      </c>
      <c r="I177" s="54">
        <v>10</v>
      </c>
      <c r="J177" s="54">
        <v>200</v>
      </c>
      <c r="K177" s="55">
        <v>0</v>
      </c>
      <c r="L177" s="56">
        <v>40</v>
      </c>
      <c r="M177" s="54">
        <v>10.3</v>
      </c>
      <c r="N177" s="54">
        <v>200</v>
      </c>
      <c r="O177" s="57">
        <v>0</v>
      </c>
      <c r="P177" s="53">
        <v>0</v>
      </c>
      <c r="Q177" s="54">
        <v>0</v>
      </c>
      <c r="R177" s="55">
        <v>0</v>
      </c>
      <c r="S177" s="55">
        <v>0</v>
      </c>
      <c r="T177" s="57">
        <v>0</v>
      </c>
      <c r="U177" s="56">
        <v>40</v>
      </c>
      <c r="V177" s="54">
        <v>10.3</v>
      </c>
      <c r="W177" s="55">
        <v>0</v>
      </c>
      <c r="X177" s="55">
        <v>0</v>
      </c>
      <c r="Y177" s="57">
        <v>15.38</v>
      </c>
      <c r="Z177" s="53">
        <v>38</v>
      </c>
      <c r="AA177" s="54">
        <v>10.3</v>
      </c>
      <c r="AB177" s="55">
        <v>0</v>
      </c>
      <c r="AC177" s="55">
        <v>0</v>
      </c>
      <c r="AD177" s="57">
        <v>13.65</v>
      </c>
      <c r="AE177" s="56">
        <v>38</v>
      </c>
      <c r="AF177" s="54">
        <v>10.199999999999999</v>
      </c>
      <c r="AG177" s="55">
        <v>0</v>
      </c>
      <c r="AH177" s="55">
        <v>0</v>
      </c>
      <c r="AI177" s="57">
        <v>7.69</v>
      </c>
      <c r="AJ177" s="56">
        <v>37</v>
      </c>
      <c r="AK177" s="54">
        <v>10.199999999999999</v>
      </c>
      <c r="AL177" s="54">
        <v>0</v>
      </c>
      <c r="AM177" s="54">
        <v>0</v>
      </c>
      <c r="AN177" s="57">
        <v>8.07</v>
      </c>
      <c r="AO177" s="53">
        <v>37</v>
      </c>
      <c r="AP177" s="54">
        <v>10.1</v>
      </c>
      <c r="AQ177" s="54">
        <v>190</v>
      </c>
      <c r="AR177" s="54">
        <v>0</v>
      </c>
      <c r="AS177" s="57">
        <v>13.84</v>
      </c>
      <c r="AT177" s="56">
        <v>31</v>
      </c>
      <c r="AU177" s="57">
        <v>150</v>
      </c>
      <c r="AV177" s="56">
        <v>61.09619140625</v>
      </c>
      <c r="AW177" s="57">
        <v>324.95780270894369</v>
      </c>
      <c r="AX177" s="8"/>
      <c r="AZ177" s="1">
        <v>90</v>
      </c>
      <c r="BB177" s="82">
        <f t="shared" si="16"/>
        <v>25.914459999999998</v>
      </c>
    </row>
    <row r="178" spans="3:54" ht="15" customHeight="1" x14ac:dyDescent="0.25">
      <c r="C178" s="42"/>
      <c r="D178" s="43">
        <f>D172</f>
        <v>45730</v>
      </c>
      <c r="E178" s="44">
        <f t="shared" si="20"/>
        <v>13.750000000000028</v>
      </c>
      <c r="F178" s="45">
        <f t="shared" si="17"/>
        <v>45730.750000000393</v>
      </c>
      <c r="G178" s="52">
        <v>45</v>
      </c>
      <c r="H178" s="53">
        <v>43</v>
      </c>
      <c r="I178" s="54">
        <v>10.3</v>
      </c>
      <c r="J178" s="54">
        <v>250</v>
      </c>
      <c r="K178" s="55">
        <v>0</v>
      </c>
      <c r="L178" s="56">
        <v>41</v>
      </c>
      <c r="M178" s="54">
        <v>10.199999999999999</v>
      </c>
      <c r="N178" s="54">
        <v>0</v>
      </c>
      <c r="O178" s="57">
        <v>0</v>
      </c>
      <c r="P178" s="53">
        <v>0</v>
      </c>
      <c r="Q178" s="54">
        <v>0</v>
      </c>
      <c r="R178" s="55">
        <v>0</v>
      </c>
      <c r="S178" s="55">
        <v>0</v>
      </c>
      <c r="T178" s="57">
        <v>0</v>
      </c>
      <c r="U178" s="56">
        <v>39</v>
      </c>
      <c r="V178" s="54">
        <v>10.199999999999999</v>
      </c>
      <c r="W178" s="55">
        <v>0</v>
      </c>
      <c r="X178" s="55">
        <v>0</v>
      </c>
      <c r="Y178" s="57">
        <v>15.76</v>
      </c>
      <c r="Z178" s="53">
        <v>37</v>
      </c>
      <c r="AA178" s="54">
        <v>10.3</v>
      </c>
      <c r="AB178" s="55">
        <v>0</v>
      </c>
      <c r="AC178" s="55">
        <v>0</v>
      </c>
      <c r="AD178" s="57">
        <v>13.46</v>
      </c>
      <c r="AE178" s="56">
        <v>36</v>
      </c>
      <c r="AF178" s="54">
        <v>10.199999999999999</v>
      </c>
      <c r="AG178" s="55">
        <v>0</v>
      </c>
      <c r="AH178" s="55">
        <v>0</v>
      </c>
      <c r="AI178" s="57">
        <v>7.11</v>
      </c>
      <c r="AJ178" s="56">
        <v>36</v>
      </c>
      <c r="AK178" s="54">
        <v>10.199999999999999</v>
      </c>
      <c r="AL178" s="54">
        <v>0</v>
      </c>
      <c r="AM178" s="54">
        <v>0</v>
      </c>
      <c r="AN178" s="57">
        <v>8.8800000000000008</v>
      </c>
      <c r="AO178" s="53">
        <v>37</v>
      </c>
      <c r="AP178" s="54">
        <v>10.1</v>
      </c>
      <c r="AQ178" s="54">
        <v>190</v>
      </c>
      <c r="AR178" s="54">
        <v>0</v>
      </c>
      <c r="AS178" s="57">
        <v>13.84</v>
      </c>
      <c r="AT178" s="56">
        <v>33</v>
      </c>
      <c r="AU178" s="57">
        <v>160</v>
      </c>
      <c r="AV178" s="56">
        <v>74.308265686035199</v>
      </c>
      <c r="AW178" s="57">
        <v>396.71609751383465</v>
      </c>
      <c r="AX178" s="8"/>
      <c r="AZ178" s="1">
        <v>90</v>
      </c>
      <c r="BB178" s="82">
        <f t="shared" si="16"/>
        <v>26.100100000000001</v>
      </c>
    </row>
    <row r="179" spans="3:54" ht="15" customHeight="1" x14ac:dyDescent="0.25">
      <c r="C179" s="42"/>
      <c r="D179" s="43">
        <f>D172</f>
        <v>45730</v>
      </c>
      <c r="E179" s="44">
        <f t="shared" si="20"/>
        <v>13.833333333333362</v>
      </c>
      <c r="F179" s="45">
        <f t="shared" si="17"/>
        <v>45730.833333333729</v>
      </c>
      <c r="G179" s="52">
        <v>44</v>
      </c>
      <c r="H179" s="53">
        <v>42</v>
      </c>
      <c r="I179" s="54">
        <v>10.199999999999999</v>
      </c>
      <c r="J179" s="54">
        <v>200</v>
      </c>
      <c r="K179" s="55">
        <v>0</v>
      </c>
      <c r="L179" s="56">
        <v>40</v>
      </c>
      <c r="M179" s="54">
        <v>10.199999999999999</v>
      </c>
      <c r="N179" s="54">
        <v>200</v>
      </c>
      <c r="O179" s="57">
        <v>0</v>
      </c>
      <c r="P179" s="53">
        <v>39</v>
      </c>
      <c r="Q179" s="54">
        <v>10.3</v>
      </c>
      <c r="R179" s="55">
        <v>0</v>
      </c>
      <c r="S179" s="55">
        <v>0</v>
      </c>
      <c r="T179" s="57">
        <v>11.92</v>
      </c>
      <c r="U179" s="56">
        <v>38</v>
      </c>
      <c r="V179" s="54">
        <v>10.4</v>
      </c>
      <c r="W179" s="55">
        <v>0</v>
      </c>
      <c r="X179" s="55">
        <v>0</v>
      </c>
      <c r="Y179" s="57">
        <v>18.260000000000002</v>
      </c>
      <c r="Z179" s="53">
        <v>37</v>
      </c>
      <c r="AA179" s="54">
        <v>10.3</v>
      </c>
      <c r="AB179" s="55">
        <v>0</v>
      </c>
      <c r="AC179" s="55">
        <v>0</v>
      </c>
      <c r="AD179" s="57">
        <v>14.42</v>
      </c>
      <c r="AE179" s="56">
        <v>37</v>
      </c>
      <c r="AF179" s="54">
        <v>10.3</v>
      </c>
      <c r="AG179" s="55">
        <v>0</v>
      </c>
      <c r="AH179" s="55">
        <v>0</v>
      </c>
      <c r="AI179" s="57">
        <v>9.23</v>
      </c>
      <c r="AJ179" s="56">
        <v>38</v>
      </c>
      <c r="AK179" s="54">
        <v>10.3</v>
      </c>
      <c r="AL179" s="54">
        <v>0</v>
      </c>
      <c r="AM179" s="54">
        <v>0</v>
      </c>
      <c r="AN179" s="57">
        <v>6.73</v>
      </c>
      <c r="AO179" s="53">
        <v>38</v>
      </c>
      <c r="AP179" s="54">
        <v>10.199999999999999</v>
      </c>
      <c r="AQ179" s="54">
        <v>180</v>
      </c>
      <c r="AR179" s="54">
        <v>0</v>
      </c>
      <c r="AS179" s="57">
        <v>14.42</v>
      </c>
      <c r="AT179" s="56">
        <v>34</v>
      </c>
      <c r="AU179" s="57">
        <v>140</v>
      </c>
      <c r="AV179" s="56">
        <v>73.343910217285199</v>
      </c>
      <c r="AW179" s="57">
        <v>399.30844930013023</v>
      </c>
      <c r="AX179" s="8"/>
      <c r="AZ179" s="1">
        <v>90</v>
      </c>
      <c r="BB179" s="82">
        <f t="shared" si="16"/>
        <v>33.141160000000006</v>
      </c>
    </row>
    <row r="180" spans="3:54" ht="15" customHeight="1" x14ac:dyDescent="0.25">
      <c r="C180" s="42"/>
      <c r="D180" s="43">
        <f>D172</f>
        <v>45730</v>
      </c>
      <c r="E180" s="44">
        <f t="shared" si="20"/>
        <v>13.916666666666696</v>
      </c>
      <c r="F180" s="45">
        <f t="shared" si="17"/>
        <v>45730.916666667064</v>
      </c>
      <c r="G180" s="52">
        <v>40</v>
      </c>
      <c r="H180" s="53">
        <v>40</v>
      </c>
      <c r="I180" s="54">
        <v>10.6</v>
      </c>
      <c r="J180" s="54">
        <v>200</v>
      </c>
      <c r="K180" s="55">
        <v>0</v>
      </c>
      <c r="L180" s="56">
        <v>37</v>
      </c>
      <c r="M180" s="54">
        <v>10.3</v>
      </c>
      <c r="N180" s="54">
        <v>150</v>
      </c>
      <c r="O180" s="57">
        <v>0</v>
      </c>
      <c r="P180" s="53">
        <v>38</v>
      </c>
      <c r="Q180" s="54">
        <v>10.4</v>
      </c>
      <c r="R180" s="55">
        <v>0</v>
      </c>
      <c r="S180" s="55">
        <v>0</v>
      </c>
      <c r="T180" s="57">
        <v>11.56</v>
      </c>
      <c r="U180" s="56">
        <v>38</v>
      </c>
      <c r="V180" s="54">
        <v>10.4</v>
      </c>
      <c r="W180" s="55">
        <v>0</v>
      </c>
      <c r="X180" s="55">
        <v>0</v>
      </c>
      <c r="Y180" s="57">
        <v>18.46</v>
      </c>
      <c r="Z180" s="53">
        <v>37</v>
      </c>
      <c r="AA180" s="54">
        <v>10.3</v>
      </c>
      <c r="AB180" s="55">
        <v>0</v>
      </c>
      <c r="AC180" s="55">
        <v>0</v>
      </c>
      <c r="AD180" s="57">
        <v>14.42</v>
      </c>
      <c r="AE180" s="56">
        <v>38</v>
      </c>
      <c r="AF180" s="54">
        <v>10.3</v>
      </c>
      <c r="AG180" s="55">
        <v>0</v>
      </c>
      <c r="AH180" s="55">
        <v>0</v>
      </c>
      <c r="AI180" s="57">
        <v>9.61</v>
      </c>
      <c r="AJ180" s="56">
        <v>38</v>
      </c>
      <c r="AK180" s="54">
        <v>10.3</v>
      </c>
      <c r="AL180" s="54">
        <v>0</v>
      </c>
      <c r="AM180" s="54">
        <v>0</v>
      </c>
      <c r="AN180" s="57">
        <v>7.11</v>
      </c>
      <c r="AO180" s="53">
        <v>39</v>
      </c>
      <c r="AP180" s="54">
        <v>10.199999999999999</v>
      </c>
      <c r="AQ180" s="54">
        <v>140</v>
      </c>
      <c r="AR180" s="54">
        <v>0</v>
      </c>
      <c r="AS180" s="57">
        <v>15.38</v>
      </c>
      <c r="AT180" s="56">
        <v>32</v>
      </c>
      <c r="AU180" s="57">
        <v>120</v>
      </c>
      <c r="AV180" s="56">
        <v>73.0712890625</v>
      </c>
      <c r="AW180" s="57">
        <v>399.14460347493491</v>
      </c>
      <c r="AX180" s="8"/>
      <c r="AZ180" s="1">
        <v>90</v>
      </c>
      <c r="BB180" s="82">
        <f t="shared" si="16"/>
        <v>33.830680000000001</v>
      </c>
    </row>
    <row r="181" spans="3:54" ht="15" customHeight="1" x14ac:dyDescent="0.25">
      <c r="C181" s="42"/>
      <c r="D181" s="43">
        <f>D172</f>
        <v>45730</v>
      </c>
      <c r="E181" s="44">
        <f t="shared" si="20"/>
        <v>14.00000000000003</v>
      </c>
      <c r="F181" s="45">
        <f t="shared" si="17"/>
        <v>45731.0000000004</v>
      </c>
      <c r="G181" s="52">
        <v>40</v>
      </c>
      <c r="H181" s="53">
        <v>40</v>
      </c>
      <c r="I181" s="54">
        <v>10.9</v>
      </c>
      <c r="J181" s="54">
        <v>200</v>
      </c>
      <c r="K181" s="55">
        <v>0</v>
      </c>
      <c r="L181" s="56">
        <v>39</v>
      </c>
      <c r="M181" s="54">
        <v>10.4</v>
      </c>
      <c r="N181" s="54">
        <v>200</v>
      </c>
      <c r="O181" s="57">
        <v>0</v>
      </c>
      <c r="P181" s="53">
        <v>39</v>
      </c>
      <c r="Q181" s="54">
        <v>10.199999999999999</v>
      </c>
      <c r="R181" s="55">
        <v>0</v>
      </c>
      <c r="S181" s="55">
        <v>0</v>
      </c>
      <c r="T181" s="57">
        <v>14.03</v>
      </c>
      <c r="U181" s="56">
        <v>39</v>
      </c>
      <c r="V181" s="54">
        <v>10.5</v>
      </c>
      <c r="W181" s="55">
        <v>0</v>
      </c>
      <c r="X181" s="55">
        <v>0</v>
      </c>
      <c r="Y181" s="57">
        <v>17.3</v>
      </c>
      <c r="Z181" s="53">
        <v>38</v>
      </c>
      <c r="AA181" s="54">
        <v>10.199999999999999</v>
      </c>
      <c r="AB181" s="55">
        <v>0</v>
      </c>
      <c r="AC181" s="55">
        <v>0</v>
      </c>
      <c r="AD181" s="57">
        <v>14.03</v>
      </c>
      <c r="AE181" s="56">
        <v>39</v>
      </c>
      <c r="AF181" s="54">
        <v>10.3</v>
      </c>
      <c r="AG181" s="55">
        <v>0</v>
      </c>
      <c r="AH181" s="55">
        <v>0</v>
      </c>
      <c r="AI181" s="57">
        <v>9.0299999999999994</v>
      </c>
      <c r="AJ181" s="56">
        <v>38</v>
      </c>
      <c r="AK181" s="54">
        <v>10.199999999999999</v>
      </c>
      <c r="AL181" s="54">
        <v>0</v>
      </c>
      <c r="AM181" s="54">
        <v>0</v>
      </c>
      <c r="AN181" s="57">
        <v>9.23</v>
      </c>
      <c r="AO181" s="53">
        <v>39</v>
      </c>
      <c r="AP181" s="54">
        <v>10.1</v>
      </c>
      <c r="AQ181" s="54">
        <v>150</v>
      </c>
      <c r="AR181" s="54">
        <v>0</v>
      </c>
      <c r="AS181" s="57">
        <v>15.38</v>
      </c>
      <c r="AT181" s="56">
        <v>32</v>
      </c>
      <c r="AU181" s="57">
        <v>130</v>
      </c>
      <c r="AV181" s="56">
        <v>73.27880859375</v>
      </c>
      <c r="AW181" s="57">
        <v>398.35419082641602</v>
      </c>
      <c r="AX181" s="8"/>
      <c r="AZ181" s="1">
        <v>90</v>
      </c>
      <c r="BB181" s="82">
        <f t="shared" si="16"/>
        <v>34.917999999999999</v>
      </c>
    </row>
    <row r="182" spans="3:54" ht="15" customHeight="1" x14ac:dyDescent="0.25">
      <c r="C182" s="42"/>
      <c r="D182" s="43">
        <f>D172</f>
        <v>45730</v>
      </c>
      <c r="E182" s="44">
        <f t="shared" si="20"/>
        <v>14.083333333333364</v>
      </c>
      <c r="F182" s="45">
        <f t="shared" si="17"/>
        <v>45731.083333333736</v>
      </c>
      <c r="G182" s="52">
        <v>40</v>
      </c>
      <c r="H182" s="53">
        <v>41</v>
      </c>
      <c r="I182" s="54">
        <v>11.2</v>
      </c>
      <c r="J182" s="54">
        <v>200</v>
      </c>
      <c r="K182" s="55">
        <v>0</v>
      </c>
      <c r="L182" s="56">
        <v>41</v>
      </c>
      <c r="M182" s="54">
        <v>10.6</v>
      </c>
      <c r="N182" s="54">
        <v>250</v>
      </c>
      <c r="O182" s="57">
        <v>0</v>
      </c>
      <c r="P182" s="53">
        <v>39</v>
      </c>
      <c r="Q182" s="54">
        <v>10.199999999999999</v>
      </c>
      <c r="R182" s="55">
        <v>0</v>
      </c>
      <c r="S182" s="55">
        <v>0</v>
      </c>
      <c r="T182" s="57">
        <v>14.42</v>
      </c>
      <c r="U182" s="56">
        <v>39</v>
      </c>
      <c r="V182" s="54">
        <v>10.3</v>
      </c>
      <c r="W182" s="55">
        <v>0</v>
      </c>
      <c r="X182" s="55">
        <v>0</v>
      </c>
      <c r="Y182" s="57">
        <v>16.34</v>
      </c>
      <c r="Z182" s="53">
        <v>39</v>
      </c>
      <c r="AA182" s="54">
        <v>10.3</v>
      </c>
      <c r="AB182" s="55">
        <v>0</v>
      </c>
      <c r="AC182" s="55">
        <v>0</v>
      </c>
      <c r="AD182" s="57">
        <v>14.42</v>
      </c>
      <c r="AE182" s="56">
        <v>40</v>
      </c>
      <c r="AF182" s="54">
        <v>10.3</v>
      </c>
      <c r="AG182" s="55">
        <v>0</v>
      </c>
      <c r="AH182" s="55">
        <v>0</v>
      </c>
      <c r="AI182" s="57">
        <v>7.69</v>
      </c>
      <c r="AJ182" s="56">
        <v>40</v>
      </c>
      <c r="AK182" s="54">
        <v>10.199999999999999</v>
      </c>
      <c r="AL182" s="54">
        <v>0</v>
      </c>
      <c r="AM182" s="54">
        <v>0</v>
      </c>
      <c r="AN182" s="57">
        <v>9.61</v>
      </c>
      <c r="AO182" s="53">
        <v>40</v>
      </c>
      <c r="AP182" s="54">
        <v>10.1</v>
      </c>
      <c r="AQ182" s="54">
        <v>150</v>
      </c>
      <c r="AR182" s="54">
        <v>0</v>
      </c>
      <c r="AS182" s="57">
        <v>15.38</v>
      </c>
      <c r="AT182" s="56">
        <v>34</v>
      </c>
      <c r="AU182" s="57">
        <v>120</v>
      </c>
      <c r="AV182" s="56">
        <v>73.250320434570298</v>
      </c>
      <c r="AW182" s="57">
        <v>398.1841967264811</v>
      </c>
      <c r="AX182" s="8"/>
      <c r="AZ182" s="1">
        <v>90</v>
      </c>
      <c r="BB182" s="82">
        <f t="shared" si="16"/>
        <v>34.414120000000004</v>
      </c>
    </row>
    <row r="183" spans="3:54" ht="15" customHeight="1" x14ac:dyDescent="0.25">
      <c r="C183" s="42"/>
      <c r="D183" s="69">
        <f>D172</f>
        <v>45730</v>
      </c>
      <c r="E183" s="70">
        <f t="shared" si="20"/>
        <v>14.166666666666698</v>
      </c>
      <c r="F183" s="71">
        <f t="shared" si="17"/>
        <v>45731.166666667072</v>
      </c>
      <c r="G183" s="60">
        <v>39</v>
      </c>
      <c r="H183" s="61">
        <v>40</v>
      </c>
      <c r="I183" s="62">
        <v>11</v>
      </c>
      <c r="J183" s="62">
        <v>200</v>
      </c>
      <c r="K183" s="63">
        <v>0</v>
      </c>
      <c r="L183" s="64">
        <v>41</v>
      </c>
      <c r="M183" s="62">
        <v>10.6</v>
      </c>
      <c r="N183" s="62">
        <v>250</v>
      </c>
      <c r="O183" s="65">
        <v>0</v>
      </c>
      <c r="P183" s="61">
        <v>39</v>
      </c>
      <c r="Q183" s="62">
        <v>10.199999999999999</v>
      </c>
      <c r="R183" s="63">
        <v>0</v>
      </c>
      <c r="S183" s="63">
        <v>0</v>
      </c>
      <c r="T183" s="65">
        <v>14.23</v>
      </c>
      <c r="U183" s="64">
        <v>40</v>
      </c>
      <c r="V183" s="62">
        <v>10.4</v>
      </c>
      <c r="W183" s="63">
        <v>0</v>
      </c>
      <c r="X183" s="63">
        <v>0</v>
      </c>
      <c r="Y183" s="65">
        <v>17.11</v>
      </c>
      <c r="Z183" s="61">
        <v>39</v>
      </c>
      <c r="AA183" s="62">
        <v>10.3</v>
      </c>
      <c r="AB183" s="63">
        <v>0</v>
      </c>
      <c r="AC183" s="63">
        <v>0</v>
      </c>
      <c r="AD183" s="65">
        <v>14.42</v>
      </c>
      <c r="AE183" s="64">
        <v>39</v>
      </c>
      <c r="AF183" s="62">
        <v>10.4</v>
      </c>
      <c r="AG183" s="63">
        <v>0</v>
      </c>
      <c r="AH183" s="63">
        <v>0</v>
      </c>
      <c r="AI183" s="65">
        <v>9.61</v>
      </c>
      <c r="AJ183" s="64">
        <v>40</v>
      </c>
      <c r="AK183" s="62">
        <v>10.3</v>
      </c>
      <c r="AL183" s="62">
        <v>0</v>
      </c>
      <c r="AM183" s="62">
        <v>0</v>
      </c>
      <c r="AN183" s="65">
        <v>8.65</v>
      </c>
      <c r="AO183" s="61">
        <v>39</v>
      </c>
      <c r="AP183" s="62">
        <v>10.1</v>
      </c>
      <c r="AQ183" s="62">
        <v>140</v>
      </c>
      <c r="AR183" s="62">
        <v>0</v>
      </c>
      <c r="AS183" s="65">
        <v>15.38</v>
      </c>
      <c r="AT183" s="64">
        <v>33</v>
      </c>
      <c r="AU183" s="65">
        <v>100</v>
      </c>
      <c r="AV183" s="64">
        <v>73.665359497070298</v>
      </c>
      <c r="AW183" s="65">
        <v>397.72533289591473</v>
      </c>
      <c r="AX183" s="8"/>
      <c r="AZ183" s="1">
        <v>90</v>
      </c>
      <c r="BB183" s="82">
        <f t="shared" si="16"/>
        <v>35.094799999999992</v>
      </c>
    </row>
    <row r="184" spans="3:54" ht="15" customHeight="1" x14ac:dyDescent="0.25">
      <c r="C184" s="42">
        <f>C172+1</f>
        <v>15</v>
      </c>
      <c r="D184" s="66">
        <f>DATE([3]Dash!$F$3,VLOOKUP([3]Dash!$E$3,[3]Abb!$C$3:$D$14,2,FALSE),C184)</f>
        <v>45731</v>
      </c>
      <c r="E184" s="67">
        <f>E183+2/24</f>
        <v>14.250000000000032</v>
      </c>
      <c r="F184" s="68">
        <f t="shared" si="17"/>
        <v>45731.250000000407</v>
      </c>
      <c r="G184" s="46">
        <v>38</v>
      </c>
      <c r="H184" s="47">
        <v>38</v>
      </c>
      <c r="I184" s="48">
        <v>11.4</v>
      </c>
      <c r="J184" s="48">
        <v>250</v>
      </c>
      <c r="K184" s="49">
        <v>0</v>
      </c>
      <c r="L184" s="50">
        <v>39</v>
      </c>
      <c r="M184" s="48">
        <v>11</v>
      </c>
      <c r="N184" s="48">
        <v>250</v>
      </c>
      <c r="O184" s="51">
        <v>0</v>
      </c>
      <c r="P184" s="47">
        <v>38</v>
      </c>
      <c r="Q184" s="48">
        <v>10.199999999999999</v>
      </c>
      <c r="R184" s="49">
        <v>0</v>
      </c>
      <c r="S184" s="49">
        <v>0</v>
      </c>
      <c r="T184" s="51">
        <v>13.46</v>
      </c>
      <c r="U184" s="50">
        <v>39</v>
      </c>
      <c r="V184" s="48">
        <v>10.6</v>
      </c>
      <c r="W184" s="49">
        <v>0</v>
      </c>
      <c r="X184" s="49">
        <v>0</v>
      </c>
      <c r="Y184" s="51">
        <v>17.3</v>
      </c>
      <c r="Z184" s="47">
        <v>38</v>
      </c>
      <c r="AA184" s="48">
        <v>10.4</v>
      </c>
      <c r="AB184" s="49">
        <v>0</v>
      </c>
      <c r="AC184" s="49">
        <v>0</v>
      </c>
      <c r="AD184" s="51">
        <v>14.23</v>
      </c>
      <c r="AE184" s="50">
        <v>38</v>
      </c>
      <c r="AF184" s="48">
        <v>10.4</v>
      </c>
      <c r="AG184" s="49">
        <v>0</v>
      </c>
      <c r="AH184" s="49">
        <v>0</v>
      </c>
      <c r="AI184" s="51">
        <v>11.07</v>
      </c>
      <c r="AJ184" s="50">
        <v>39</v>
      </c>
      <c r="AK184" s="48">
        <v>10.3</v>
      </c>
      <c r="AL184" s="48">
        <v>0</v>
      </c>
      <c r="AM184" s="48">
        <v>0</v>
      </c>
      <c r="AN184" s="51">
        <v>9.23</v>
      </c>
      <c r="AO184" s="47">
        <v>39</v>
      </c>
      <c r="AP184" s="48">
        <v>10.199999999999999</v>
      </c>
      <c r="AQ184" s="48">
        <v>140</v>
      </c>
      <c r="AR184" s="48">
        <v>0</v>
      </c>
      <c r="AS184" s="51">
        <v>15</v>
      </c>
      <c r="AT184" s="50">
        <v>35</v>
      </c>
      <c r="AU184" s="51">
        <v>90</v>
      </c>
      <c r="AV184" s="50">
        <v>73.738601684570298</v>
      </c>
      <c r="AW184" s="51">
        <v>396.70295613606771</v>
      </c>
      <c r="AX184" s="8"/>
      <c r="AZ184" s="1">
        <v>90</v>
      </c>
      <c r="BB184" s="82">
        <f t="shared" si="16"/>
        <v>35.488180000000007</v>
      </c>
    </row>
    <row r="185" spans="3:54" ht="15" customHeight="1" x14ac:dyDescent="0.25">
      <c r="C185" s="42"/>
      <c r="D185" s="43">
        <f>D184</f>
        <v>45731</v>
      </c>
      <c r="E185" s="44">
        <f>E184+2/24</f>
        <v>14.333333333333366</v>
      </c>
      <c r="F185" s="45">
        <f t="shared" si="17"/>
        <v>45731.333333333743</v>
      </c>
      <c r="G185" s="52">
        <v>35</v>
      </c>
      <c r="H185" s="53">
        <v>38</v>
      </c>
      <c r="I185" s="54">
        <v>11.3</v>
      </c>
      <c r="J185" s="54">
        <v>250</v>
      </c>
      <c r="K185" s="55">
        <v>0</v>
      </c>
      <c r="L185" s="56">
        <v>40</v>
      </c>
      <c r="M185" s="54">
        <v>11.3</v>
      </c>
      <c r="N185" s="54">
        <v>250</v>
      </c>
      <c r="O185" s="57">
        <v>0</v>
      </c>
      <c r="P185" s="53">
        <v>0</v>
      </c>
      <c r="Q185" s="54">
        <v>0</v>
      </c>
      <c r="R185" s="55">
        <v>0</v>
      </c>
      <c r="S185" s="55">
        <v>0</v>
      </c>
      <c r="T185" s="57">
        <v>0</v>
      </c>
      <c r="U185" s="56">
        <v>40</v>
      </c>
      <c r="V185" s="54">
        <v>11</v>
      </c>
      <c r="W185" s="55">
        <v>0</v>
      </c>
      <c r="X185" s="55">
        <v>0</v>
      </c>
      <c r="Y185" s="57">
        <v>16.920000000000002</v>
      </c>
      <c r="Z185" s="53">
        <v>39</v>
      </c>
      <c r="AA185" s="54">
        <v>10.6</v>
      </c>
      <c r="AB185" s="55">
        <v>0</v>
      </c>
      <c r="AC185" s="55">
        <v>0</v>
      </c>
      <c r="AD185" s="57">
        <v>14.03</v>
      </c>
      <c r="AE185" s="56">
        <v>36</v>
      </c>
      <c r="AF185" s="54">
        <v>10.4</v>
      </c>
      <c r="AG185" s="55">
        <v>0</v>
      </c>
      <c r="AH185" s="55">
        <v>0</v>
      </c>
      <c r="AI185" s="57">
        <v>8.26</v>
      </c>
      <c r="AJ185" s="56">
        <v>36</v>
      </c>
      <c r="AK185" s="54">
        <v>10.4</v>
      </c>
      <c r="AL185" s="54">
        <v>0</v>
      </c>
      <c r="AM185" s="54">
        <v>0</v>
      </c>
      <c r="AN185" s="57">
        <v>9.61</v>
      </c>
      <c r="AO185" s="53">
        <v>38</v>
      </c>
      <c r="AP185" s="54">
        <v>10.1</v>
      </c>
      <c r="AQ185" s="54">
        <v>170</v>
      </c>
      <c r="AR185" s="54">
        <v>0</v>
      </c>
      <c r="AS185" s="57">
        <v>14.42</v>
      </c>
      <c r="AT185" s="56">
        <v>30</v>
      </c>
      <c r="AU185" s="57">
        <v>150</v>
      </c>
      <c r="AV185" s="56">
        <v>74.2919921875</v>
      </c>
      <c r="AW185" s="57">
        <v>396.65099334716797</v>
      </c>
      <c r="AX185" s="8"/>
      <c r="AZ185" s="1">
        <v>90</v>
      </c>
      <c r="BB185" s="82">
        <f t="shared" si="16"/>
        <v>27.952079999999999</v>
      </c>
    </row>
    <row r="186" spans="3:54" ht="15" customHeight="1" x14ac:dyDescent="0.25">
      <c r="C186" s="42"/>
      <c r="D186" s="43">
        <f>D184</f>
        <v>45731</v>
      </c>
      <c r="E186" s="44">
        <f t="shared" ref="E186:E195" si="21">E185+2/24</f>
        <v>14.4166666666667</v>
      </c>
      <c r="F186" s="45">
        <f t="shared" si="17"/>
        <v>45731.416666667079</v>
      </c>
      <c r="G186" s="52">
        <v>0</v>
      </c>
      <c r="H186" s="53">
        <v>39</v>
      </c>
      <c r="I186" s="54">
        <v>11.3</v>
      </c>
      <c r="J186" s="54">
        <v>200</v>
      </c>
      <c r="K186" s="55">
        <v>0</v>
      </c>
      <c r="L186" s="56">
        <v>40</v>
      </c>
      <c r="M186" s="54">
        <v>11.3</v>
      </c>
      <c r="N186" s="54">
        <v>250</v>
      </c>
      <c r="O186" s="57">
        <v>0</v>
      </c>
      <c r="P186" s="53">
        <v>0</v>
      </c>
      <c r="Q186" s="54">
        <v>0</v>
      </c>
      <c r="R186" s="55">
        <v>0</v>
      </c>
      <c r="S186" s="55">
        <v>0</v>
      </c>
      <c r="T186" s="57">
        <v>0</v>
      </c>
      <c r="U186" s="56">
        <v>38</v>
      </c>
      <c r="V186" s="54">
        <v>11</v>
      </c>
      <c r="W186" s="55">
        <v>0</v>
      </c>
      <c r="X186" s="55">
        <v>0</v>
      </c>
      <c r="Y186" s="57">
        <v>15.57</v>
      </c>
      <c r="Z186" s="53">
        <v>38</v>
      </c>
      <c r="AA186" s="54">
        <v>10.6</v>
      </c>
      <c r="AB186" s="55">
        <v>0</v>
      </c>
      <c r="AC186" s="55">
        <v>0</v>
      </c>
      <c r="AD186" s="57">
        <v>13.46</v>
      </c>
      <c r="AE186" s="56">
        <v>37</v>
      </c>
      <c r="AF186" s="54">
        <v>10.5</v>
      </c>
      <c r="AG186" s="55">
        <v>0</v>
      </c>
      <c r="AH186" s="55">
        <v>0</v>
      </c>
      <c r="AI186" s="57">
        <v>8.26</v>
      </c>
      <c r="AJ186" s="56">
        <v>36</v>
      </c>
      <c r="AK186" s="54">
        <v>10.5</v>
      </c>
      <c r="AL186" s="54">
        <v>0</v>
      </c>
      <c r="AM186" s="54">
        <v>0</v>
      </c>
      <c r="AN186" s="57">
        <v>10.57</v>
      </c>
      <c r="AO186" s="53">
        <v>38</v>
      </c>
      <c r="AP186" s="54">
        <v>10.1</v>
      </c>
      <c r="AQ186" s="54">
        <v>170</v>
      </c>
      <c r="AR186" s="54">
        <v>0</v>
      </c>
      <c r="AS186" s="57">
        <v>13.65</v>
      </c>
      <c r="AT186" s="56">
        <v>0</v>
      </c>
      <c r="AU186" s="57">
        <v>0</v>
      </c>
      <c r="AV186" s="56">
        <v>73.2177734375</v>
      </c>
      <c r="AW186" s="57">
        <v>396.03744812011718</v>
      </c>
      <c r="AX186" s="8"/>
      <c r="AZ186" s="1">
        <v>90</v>
      </c>
      <c r="BB186" s="82">
        <f t="shared" si="16"/>
        <v>27.187420000000003</v>
      </c>
    </row>
    <row r="187" spans="3:54" ht="15" customHeight="1" x14ac:dyDescent="0.25">
      <c r="C187" s="42"/>
      <c r="D187" s="43">
        <f>D184</f>
        <v>45731</v>
      </c>
      <c r="E187" s="44">
        <f t="shared" si="21"/>
        <v>14.500000000000034</v>
      </c>
      <c r="F187" s="45">
        <f t="shared" si="17"/>
        <v>45731.500000000415</v>
      </c>
      <c r="G187" s="52">
        <v>0</v>
      </c>
      <c r="H187" s="53">
        <v>39</v>
      </c>
      <c r="I187" s="54">
        <v>11</v>
      </c>
      <c r="J187" s="54">
        <v>250</v>
      </c>
      <c r="K187" s="55">
        <v>0</v>
      </c>
      <c r="L187" s="56">
        <v>40</v>
      </c>
      <c r="M187" s="54">
        <v>11.1</v>
      </c>
      <c r="N187" s="54">
        <v>250</v>
      </c>
      <c r="O187" s="57">
        <v>0</v>
      </c>
      <c r="P187" s="53">
        <v>0</v>
      </c>
      <c r="Q187" s="54">
        <v>0</v>
      </c>
      <c r="R187" s="55">
        <v>0</v>
      </c>
      <c r="S187" s="55">
        <v>0</v>
      </c>
      <c r="T187" s="57">
        <v>0</v>
      </c>
      <c r="U187" s="56">
        <v>38</v>
      </c>
      <c r="V187" s="54">
        <v>10.9</v>
      </c>
      <c r="W187" s="55">
        <v>0</v>
      </c>
      <c r="X187" s="55">
        <v>0</v>
      </c>
      <c r="Y187" s="57">
        <v>15.57</v>
      </c>
      <c r="Z187" s="53">
        <v>38</v>
      </c>
      <c r="AA187" s="54">
        <v>10.6</v>
      </c>
      <c r="AB187" s="55">
        <v>0</v>
      </c>
      <c r="AC187" s="55">
        <v>0</v>
      </c>
      <c r="AD187" s="57">
        <v>13.46</v>
      </c>
      <c r="AE187" s="56">
        <v>37</v>
      </c>
      <c r="AF187" s="54">
        <v>10.5</v>
      </c>
      <c r="AG187" s="55">
        <v>0</v>
      </c>
      <c r="AH187" s="55">
        <v>0</v>
      </c>
      <c r="AI187" s="57">
        <v>8.26</v>
      </c>
      <c r="AJ187" s="56">
        <v>36</v>
      </c>
      <c r="AK187" s="54">
        <v>10.5</v>
      </c>
      <c r="AL187" s="54">
        <v>0</v>
      </c>
      <c r="AM187" s="54">
        <v>0</v>
      </c>
      <c r="AN187" s="57">
        <v>10.57</v>
      </c>
      <c r="AO187" s="53">
        <v>37</v>
      </c>
      <c r="AP187" s="54">
        <v>10.199999999999999</v>
      </c>
      <c r="AQ187" s="54">
        <v>160</v>
      </c>
      <c r="AR187" s="54">
        <v>0</v>
      </c>
      <c r="AS187" s="57">
        <v>12.5</v>
      </c>
      <c r="AT187" s="56">
        <v>0</v>
      </c>
      <c r="AU187" s="57">
        <v>0</v>
      </c>
      <c r="AV187" s="56">
        <v>74.267578125</v>
      </c>
      <c r="AW187" s="57">
        <v>397.32819798787438</v>
      </c>
      <c r="AX187" s="8"/>
      <c r="AZ187" s="1">
        <v>90</v>
      </c>
      <c r="BB187" s="82">
        <f t="shared" si="16"/>
        <v>26.679120000000001</v>
      </c>
    </row>
    <row r="188" spans="3:54" ht="15" customHeight="1" x14ac:dyDescent="0.25">
      <c r="C188" s="42"/>
      <c r="D188" s="43">
        <f>D184</f>
        <v>45731</v>
      </c>
      <c r="E188" s="44">
        <f t="shared" si="21"/>
        <v>14.583333333333368</v>
      </c>
      <c r="F188" s="45">
        <f t="shared" si="17"/>
        <v>45731.58333333375</v>
      </c>
      <c r="G188" s="52">
        <v>0</v>
      </c>
      <c r="H188" s="53">
        <v>0</v>
      </c>
      <c r="I188" s="54">
        <v>0</v>
      </c>
      <c r="J188" s="54">
        <v>0</v>
      </c>
      <c r="K188" s="55">
        <v>0</v>
      </c>
      <c r="L188" s="56">
        <v>0</v>
      </c>
      <c r="M188" s="54">
        <v>0</v>
      </c>
      <c r="N188" s="54">
        <v>0</v>
      </c>
      <c r="O188" s="57">
        <v>0</v>
      </c>
      <c r="P188" s="53">
        <v>0</v>
      </c>
      <c r="Q188" s="54">
        <v>0</v>
      </c>
      <c r="R188" s="55">
        <v>0</v>
      </c>
      <c r="S188" s="55">
        <v>0</v>
      </c>
      <c r="T188" s="57">
        <v>0</v>
      </c>
      <c r="U188" s="56">
        <v>0</v>
      </c>
      <c r="V188" s="54">
        <v>0</v>
      </c>
      <c r="W188" s="55">
        <v>0</v>
      </c>
      <c r="X188" s="55">
        <v>0</v>
      </c>
      <c r="Y188" s="57">
        <v>0</v>
      </c>
      <c r="Z188" s="53">
        <v>0</v>
      </c>
      <c r="AA188" s="54">
        <v>0</v>
      </c>
      <c r="AB188" s="55">
        <v>0</v>
      </c>
      <c r="AC188" s="55">
        <v>0</v>
      </c>
      <c r="AD188" s="57">
        <v>0</v>
      </c>
      <c r="AE188" s="56">
        <v>0</v>
      </c>
      <c r="AF188" s="54">
        <v>0</v>
      </c>
      <c r="AG188" s="55">
        <v>0</v>
      </c>
      <c r="AH188" s="55">
        <v>0</v>
      </c>
      <c r="AI188" s="57">
        <v>0</v>
      </c>
      <c r="AJ188" s="56">
        <v>0</v>
      </c>
      <c r="AK188" s="54">
        <v>0</v>
      </c>
      <c r="AL188" s="54">
        <v>0</v>
      </c>
      <c r="AM188" s="54">
        <v>0</v>
      </c>
      <c r="AN188" s="57">
        <v>0</v>
      </c>
      <c r="AO188" s="53">
        <v>0</v>
      </c>
      <c r="AP188" s="54">
        <v>0</v>
      </c>
      <c r="AQ188" s="54">
        <v>0</v>
      </c>
      <c r="AR188" s="54">
        <v>0</v>
      </c>
      <c r="AS188" s="57">
        <v>0</v>
      </c>
      <c r="AT188" s="56">
        <v>0</v>
      </c>
      <c r="AU188" s="57">
        <v>0</v>
      </c>
      <c r="AV188" s="56">
        <v>74.332679748535199</v>
      </c>
      <c r="AW188" s="57">
        <v>395.11489690144856</v>
      </c>
      <c r="AX188" s="8"/>
      <c r="AZ188" s="1">
        <v>90</v>
      </c>
      <c r="BB188" s="82">
        <f t="shared" si="16"/>
        <v>0</v>
      </c>
    </row>
    <row r="189" spans="3:54" ht="15" customHeight="1" x14ac:dyDescent="0.25">
      <c r="C189" s="42"/>
      <c r="D189" s="43">
        <f>D184</f>
        <v>45731</v>
      </c>
      <c r="E189" s="44">
        <f t="shared" si="21"/>
        <v>14.666666666666702</v>
      </c>
      <c r="F189" s="45">
        <f t="shared" si="17"/>
        <v>45731.666666667086</v>
      </c>
      <c r="G189" s="52">
        <v>0</v>
      </c>
      <c r="H189" s="53">
        <v>0</v>
      </c>
      <c r="I189" s="54">
        <v>0</v>
      </c>
      <c r="J189" s="54">
        <v>0</v>
      </c>
      <c r="K189" s="55">
        <v>0</v>
      </c>
      <c r="L189" s="56">
        <v>0</v>
      </c>
      <c r="M189" s="54">
        <v>0</v>
      </c>
      <c r="N189" s="54">
        <v>0</v>
      </c>
      <c r="O189" s="57">
        <v>0</v>
      </c>
      <c r="P189" s="53">
        <v>0</v>
      </c>
      <c r="Q189" s="54">
        <v>0</v>
      </c>
      <c r="R189" s="55">
        <v>0</v>
      </c>
      <c r="S189" s="55">
        <v>0</v>
      </c>
      <c r="T189" s="57">
        <v>0</v>
      </c>
      <c r="U189" s="56">
        <v>0</v>
      </c>
      <c r="V189" s="54">
        <v>0</v>
      </c>
      <c r="W189" s="55">
        <v>0</v>
      </c>
      <c r="X189" s="55">
        <v>0</v>
      </c>
      <c r="Y189" s="57">
        <v>0</v>
      </c>
      <c r="Z189" s="53">
        <v>0</v>
      </c>
      <c r="AA189" s="54">
        <v>0</v>
      </c>
      <c r="AB189" s="55">
        <v>0</v>
      </c>
      <c r="AC189" s="55">
        <v>0</v>
      </c>
      <c r="AD189" s="57">
        <v>0</v>
      </c>
      <c r="AE189" s="56">
        <v>0</v>
      </c>
      <c r="AF189" s="54">
        <v>0</v>
      </c>
      <c r="AG189" s="55">
        <v>0</v>
      </c>
      <c r="AH189" s="55">
        <v>0</v>
      </c>
      <c r="AI189" s="57">
        <v>0</v>
      </c>
      <c r="AJ189" s="56">
        <v>0</v>
      </c>
      <c r="AK189" s="54">
        <v>0</v>
      </c>
      <c r="AL189" s="54">
        <v>0</v>
      </c>
      <c r="AM189" s="54">
        <v>0</v>
      </c>
      <c r="AN189" s="57">
        <v>0</v>
      </c>
      <c r="AO189" s="53">
        <v>0</v>
      </c>
      <c r="AP189" s="54">
        <v>0</v>
      </c>
      <c r="AQ189" s="54">
        <v>0</v>
      </c>
      <c r="AR189" s="54">
        <v>0</v>
      </c>
      <c r="AS189" s="57">
        <v>0</v>
      </c>
      <c r="AT189" s="56">
        <v>0</v>
      </c>
      <c r="AU189" s="57">
        <v>0</v>
      </c>
      <c r="AV189" s="56">
        <v>74.5849609375</v>
      </c>
      <c r="AW189" s="57">
        <v>394.24201863606771</v>
      </c>
      <c r="AX189" s="8"/>
      <c r="AZ189" s="1">
        <v>90</v>
      </c>
      <c r="BB189" s="82">
        <f t="shared" si="16"/>
        <v>0</v>
      </c>
    </row>
    <row r="190" spans="3:54" ht="15" customHeight="1" x14ac:dyDescent="0.25">
      <c r="C190" s="42"/>
      <c r="D190" s="43">
        <f>D184</f>
        <v>45731</v>
      </c>
      <c r="E190" s="44">
        <f t="shared" si="21"/>
        <v>14.750000000000036</v>
      </c>
      <c r="F190" s="45">
        <f t="shared" si="17"/>
        <v>45731.750000000422</v>
      </c>
      <c r="G190" s="52">
        <v>0</v>
      </c>
      <c r="H190" s="53">
        <v>38</v>
      </c>
      <c r="I190" s="54">
        <v>11</v>
      </c>
      <c r="J190" s="54">
        <v>200</v>
      </c>
      <c r="K190" s="55">
        <v>0</v>
      </c>
      <c r="L190" s="56">
        <v>38</v>
      </c>
      <c r="M190" s="54">
        <v>10.9</v>
      </c>
      <c r="N190" s="54">
        <v>200</v>
      </c>
      <c r="O190" s="57">
        <v>0</v>
      </c>
      <c r="P190" s="53">
        <v>36</v>
      </c>
      <c r="Q190" s="54">
        <v>10.9</v>
      </c>
      <c r="R190" s="55">
        <v>0</v>
      </c>
      <c r="S190" s="55">
        <v>0</v>
      </c>
      <c r="T190" s="57">
        <v>15</v>
      </c>
      <c r="U190" s="56">
        <v>37</v>
      </c>
      <c r="V190" s="54">
        <v>10.8</v>
      </c>
      <c r="W190" s="55">
        <v>0</v>
      </c>
      <c r="X190" s="55">
        <v>0</v>
      </c>
      <c r="Y190" s="57">
        <v>15.76</v>
      </c>
      <c r="Z190" s="53">
        <v>38</v>
      </c>
      <c r="AA190" s="54">
        <v>10.4</v>
      </c>
      <c r="AB190" s="55">
        <v>0</v>
      </c>
      <c r="AC190" s="55">
        <v>0</v>
      </c>
      <c r="AD190" s="57">
        <v>13.65</v>
      </c>
      <c r="AE190" s="56">
        <v>38</v>
      </c>
      <c r="AF190" s="54">
        <v>10.199999999999999</v>
      </c>
      <c r="AG190" s="55">
        <v>0</v>
      </c>
      <c r="AH190" s="55">
        <v>0</v>
      </c>
      <c r="AI190" s="57">
        <v>7.69</v>
      </c>
      <c r="AJ190" s="56">
        <v>36</v>
      </c>
      <c r="AK190" s="54">
        <v>10.199999999999999</v>
      </c>
      <c r="AL190" s="54">
        <v>0</v>
      </c>
      <c r="AM190" s="54">
        <v>0</v>
      </c>
      <c r="AN190" s="57">
        <v>10.96</v>
      </c>
      <c r="AO190" s="53">
        <v>35</v>
      </c>
      <c r="AP190" s="54">
        <v>10</v>
      </c>
      <c r="AQ190" s="54">
        <v>150</v>
      </c>
      <c r="AR190" s="54">
        <v>0</v>
      </c>
      <c r="AS190" s="57">
        <v>12.11</v>
      </c>
      <c r="AT190" s="56">
        <v>0</v>
      </c>
      <c r="AU190" s="57">
        <v>0</v>
      </c>
      <c r="AV190" s="56">
        <v>73.69384765625</v>
      </c>
      <c r="AW190" s="57">
        <v>393.40494766235349</v>
      </c>
      <c r="AX190" s="8"/>
      <c r="AZ190" s="1">
        <v>90</v>
      </c>
      <c r="BB190" s="82">
        <f t="shared" si="16"/>
        <v>33.225139999999996</v>
      </c>
    </row>
    <row r="191" spans="3:54" ht="15" customHeight="1" x14ac:dyDescent="0.25">
      <c r="C191" s="42"/>
      <c r="D191" s="43">
        <f>D184</f>
        <v>45731</v>
      </c>
      <c r="E191" s="44">
        <f t="shared" si="21"/>
        <v>14.833333333333369</v>
      </c>
      <c r="F191" s="45">
        <f t="shared" si="17"/>
        <v>45731.833333333758</v>
      </c>
      <c r="G191" s="52">
        <v>39</v>
      </c>
      <c r="H191" s="53">
        <v>39</v>
      </c>
      <c r="I191" s="54">
        <v>11.2</v>
      </c>
      <c r="J191" s="54">
        <v>250</v>
      </c>
      <c r="K191" s="55">
        <v>0</v>
      </c>
      <c r="L191" s="56">
        <v>40</v>
      </c>
      <c r="M191" s="54">
        <v>11.1</v>
      </c>
      <c r="N191" s="54">
        <v>250</v>
      </c>
      <c r="O191" s="57">
        <v>0</v>
      </c>
      <c r="P191" s="53">
        <v>39</v>
      </c>
      <c r="Q191" s="54">
        <v>10.8</v>
      </c>
      <c r="R191" s="55">
        <v>0</v>
      </c>
      <c r="S191" s="55">
        <v>0</v>
      </c>
      <c r="T191" s="57">
        <v>16.34</v>
      </c>
      <c r="U191" s="56">
        <v>38</v>
      </c>
      <c r="V191" s="54">
        <v>10.8</v>
      </c>
      <c r="W191" s="55">
        <v>0</v>
      </c>
      <c r="X191" s="55">
        <v>0</v>
      </c>
      <c r="Y191" s="57">
        <v>17.3</v>
      </c>
      <c r="Z191" s="53">
        <v>39</v>
      </c>
      <c r="AA191" s="54">
        <v>10.7</v>
      </c>
      <c r="AB191" s="55">
        <v>0</v>
      </c>
      <c r="AC191" s="55">
        <v>0</v>
      </c>
      <c r="AD191" s="57">
        <v>14.42</v>
      </c>
      <c r="AE191" s="56">
        <v>36</v>
      </c>
      <c r="AF191" s="54">
        <v>10.5</v>
      </c>
      <c r="AG191" s="55">
        <v>0</v>
      </c>
      <c r="AH191" s="55">
        <v>0</v>
      </c>
      <c r="AI191" s="57">
        <v>7.69</v>
      </c>
      <c r="AJ191" s="56">
        <v>37</v>
      </c>
      <c r="AK191" s="54">
        <v>10.4</v>
      </c>
      <c r="AL191" s="54">
        <v>0</v>
      </c>
      <c r="AM191" s="54">
        <v>0</v>
      </c>
      <c r="AN191" s="57">
        <v>10.57</v>
      </c>
      <c r="AO191" s="53">
        <v>37</v>
      </c>
      <c r="AP191" s="54">
        <v>10.199999999999999</v>
      </c>
      <c r="AQ191" s="54">
        <v>140</v>
      </c>
      <c r="AR191" s="54">
        <v>0</v>
      </c>
      <c r="AS191" s="57">
        <v>13.46</v>
      </c>
      <c r="AT191" s="56">
        <v>33</v>
      </c>
      <c r="AU191" s="57">
        <v>80</v>
      </c>
      <c r="AV191" s="56">
        <v>74.69482421875</v>
      </c>
      <c r="AW191" s="57">
        <v>394.90801086425779</v>
      </c>
      <c r="AX191" s="8"/>
      <c r="AZ191" s="1">
        <v>90</v>
      </c>
      <c r="BB191" s="82">
        <f t="shared" si="16"/>
        <v>35.26276</v>
      </c>
    </row>
    <row r="192" spans="3:54" ht="15" customHeight="1" x14ac:dyDescent="0.25">
      <c r="C192" s="42"/>
      <c r="D192" s="43">
        <f>D184</f>
        <v>45731</v>
      </c>
      <c r="E192" s="44">
        <f t="shared" si="21"/>
        <v>14.916666666666703</v>
      </c>
      <c r="F192" s="45">
        <f t="shared" si="17"/>
        <v>45731.916666667094</v>
      </c>
      <c r="G192" s="52">
        <v>40</v>
      </c>
      <c r="H192" s="53">
        <v>38</v>
      </c>
      <c r="I192" s="54">
        <v>11.5</v>
      </c>
      <c r="J192" s="54">
        <v>250</v>
      </c>
      <c r="K192" s="55">
        <v>0</v>
      </c>
      <c r="L192" s="56">
        <v>39</v>
      </c>
      <c r="M192" s="54">
        <v>11.5</v>
      </c>
      <c r="N192" s="54">
        <v>250</v>
      </c>
      <c r="O192" s="57">
        <v>0</v>
      </c>
      <c r="P192" s="53">
        <v>39</v>
      </c>
      <c r="Q192" s="54">
        <v>11</v>
      </c>
      <c r="R192" s="55">
        <v>0</v>
      </c>
      <c r="S192" s="55">
        <v>0</v>
      </c>
      <c r="T192" s="57">
        <v>16.920000000000002</v>
      </c>
      <c r="U192" s="56">
        <v>38</v>
      </c>
      <c r="V192" s="54">
        <v>10.9</v>
      </c>
      <c r="W192" s="55">
        <v>0</v>
      </c>
      <c r="X192" s="55">
        <v>0</v>
      </c>
      <c r="Y192" s="57">
        <v>17.690000000000001</v>
      </c>
      <c r="Z192" s="53">
        <v>39</v>
      </c>
      <c r="AA192" s="54">
        <v>10.8</v>
      </c>
      <c r="AB192" s="55">
        <v>0</v>
      </c>
      <c r="AC192" s="55">
        <v>0</v>
      </c>
      <c r="AD192" s="57">
        <v>14.61</v>
      </c>
      <c r="AE192" s="56">
        <v>39</v>
      </c>
      <c r="AF192" s="54">
        <v>10.7</v>
      </c>
      <c r="AG192" s="55">
        <v>0</v>
      </c>
      <c r="AH192" s="55">
        <v>0</v>
      </c>
      <c r="AI192" s="57">
        <v>8.26</v>
      </c>
      <c r="AJ192" s="56">
        <v>38</v>
      </c>
      <c r="AK192" s="54">
        <v>10.5</v>
      </c>
      <c r="AL192" s="54">
        <v>0</v>
      </c>
      <c r="AM192" s="54">
        <v>0</v>
      </c>
      <c r="AN192" s="57">
        <v>12.5</v>
      </c>
      <c r="AO192" s="53">
        <v>39</v>
      </c>
      <c r="AP192" s="54">
        <v>10.3</v>
      </c>
      <c r="AQ192" s="54">
        <v>120</v>
      </c>
      <c r="AR192" s="54">
        <v>0</v>
      </c>
      <c r="AS192" s="57">
        <v>12.88</v>
      </c>
      <c r="AT192" s="56">
        <v>31</v>
      </c>
      <c r="AU192" s="57">
        <v>100</v>
      </c>
      <c r="AV192" s="56">
        <v>74.458824157714801</v>
      </c>
      <c r="AW192" s="57">
        <v>394.50243555704753</v>
      </c>
      <c r="AX192" s="8"/>
      <c r="AZ192" s="1">
        <v>90</v>
      </c>
      <c r="BB192" s="82">
        <f t="shared" si="16"/>
        <v>36.624120000000005</v>
      </c>
    </row>
    <row r="193" spans="3:54" ht="15" customHeight="1" x14ac:dyDescent="0.25">
      <c r="C193" s="42"/>
      <c r="D193" s="43">
        <f>D184</f>
        <v>45731</v>
      </c>
      <c r="E193" s="44">
        <f t="shared" si="21"/>
        <v>15.000000000000037</v>
      </c>
      <c r="F193" s="45">
        <f t="shared" si="17"/>
        <v>45732.000000000429</v>
      </c>
      <c r="G193" s="52">
        <v>39</v>
      </c>
      <c r="H193" s="53">
        <v>39</v>
      </c>
      <c r="I193" s="54">
        <v>11.3</v>
      </c>
      <c r="J193" s="54">
        <v>250</v>
      </c>
      <c r="K193" s="55">
        <v>0</v>
      </c>
      <c r="L193" s="56">
        <v>39</v>
      </c>
      <c r="M193" s="54">
        <v>11.2</v>
      </c>
      <c r="N193" s="54">
        <v>250</v>
      </c>
      <c r="O193" s="57">
        <v>0</v>
      </c>
      <c r="P193" s="53">
        <v>39</v>
      </c>
      <c r="Q193" s="54">
        <v>10.9</v>
      </c>
      <c r="R193" s="55">
        <v>0</v>
      </c>
      <c r="S193" s="55">
        <v>0</v>
      </c>
      <c r="T193" s="57">
        <v>16.149999999999999</v>
      </c>
      <c r="U193" s="56">
        <v>39</v>
      </c>
      <c r="V193" s="54">
        <v>10.8</v>
      </c>
      <c r="W193" s="55">
        <v>0</v>
      </c>
      <c r="X193" s="55">
        <v>0</v>
      </c>
      <c r="Y193" s="57">
        <v>17.3</v>
      </c>
      <c r="Z193" s="53">
        <v>38</v>
      </c>
      <c r="AA193" s="54">
        <v>10.7</v>
      </c>
      <c r="AB193" s="55">
        <v>0</v>
      </c>
      <c r="AC193" s="55">
        <v>0</v>
      </c>
      <c r="AD193" s="57">
        <v>14.23</v>
      </c>
      <c r="AE193" s="56">
        <v>38</v>
      </c>
      <c r="AF193" s="54">
        <v>10.7</v>
      </c>
      <c r="AG193" s="55">
        <v>0</v>
      </c>
      <c r="AH193" s="55">
        <v>0</v>
      </c>
      <c r="AI193" s="57">
        <v>7.69</v>
      </c>
      <c r="AJ193" s="56">
        <v>38</v>
      </c>
      <c r="AK193" s="54">
        <v>10.4</v>
      </c>
      <c r="AL193" s="54">
        <v>0</v>
      </c>
      <c r="AM193" s="54">
        <v>0</v>
      </c>
      <c r="AN193" s="57">
        <v>9.61</v>
      </c>
      <c r="AO193" s="53">
        <v>38</v>
      </c>
      <c r="AP193" s="54">
        <v>10.1</v>
      </c>
      <c r="AQ193" s="54">
        <v>130</v>
      </c>
      <c r="AR193" s="54">
        <v>0</v>
      </c>
      <c r="AS193" s="57">
        <v>14.23</v>
      </c>
      <c r="AT193" s="56">
        <v>30</v>
      </c>
      <c r="AU193" s="57">
        <v>90</v>
      </c>
      <c r="AV193" s="56">
        <v>74.422203063964801</v>
      </c>
      <c r="AW193" s="57">
        <v>393.83764928181967</v>
      </c>
      <c r="AX193" s="8"/>
      <c r="AZ193" s="1">
        <v>90</v>
      </c>
      <c r="BB193" s="82">
        <f t="shared" si="16"/>
        <v>35.010819999999995</v>
      </c>
    </row>
    <row r="194" spans="3:54" ht="15" customHeight="1" x14ac:dyDescent="0.25">
      <c r="C194" s="42"/>
      <c r="D194" s="43">
        <f>D184</f>
        <v>45731</v>
      </c>
      <c r="E194" s="44">
        <f t="shared" si="21"/>
        <v>15.083333333333371</v>
      </c>
      <c r="F194" s="45">
        <f t="shared" si="17"/>
        <v>45732.083333333765</v>
      </c>
      <c r="G194" s="52">
        <v>40</v>
      </c>
      <c r="H194" s="53">
        <v>39</v>
      </c>
      <c r="I194" s="54">
        <v>11.4</v>
      </c>
      <c r="J194" s="54">
        <v>250</v>
      </c>
      <c r="K194" s="55">
        <v>0</v>
      </c>
      <c r="L194" s="56">
        <v>40</v>
      </c>
      <c r="M194" s="54">
        <v>11.3</v>
      </c>
      <c r="N194" s="54">
        <v>300</v>
      </c>
      <c r="O194" s="57">
        <v>0</v>
      </c>
      <c r="P194" s="53">
        <v>39</v>
      </c>
      <c r="Q194" s="54">
        <v>11.2</v>
      </c>
      <c r="R194" s="55">
        <v>0</v>
      </c>
      <c r="S194" s="55">
        <v>0</v>
      </c>
      <c r="T194" s="57">
        <v>17.3</v>
      </c>
      <c r="U194" s="56">
        <v>37</v>
      </c>
      <c r="V194" s="54">
        <v>11</v>
      </c>
      <c r="W194" s="55">
        <v>0</v>
      </c>
      <c r="X194" s="55">
        <v>0</v>
      </c>
      <c r="Y194" s="57">
        <v>17.690000000000001</v>
      </c>
      <c r="Z194" s="53">
        <v>38</v>
      </c>
      <c r="AA194" s="54">
        <v>10.9</v>
      </c>
      <c r="AB194" s="55">
        <v>0</v>
      </c>
      <c r="AC194" s="55">
        <v>0</v>
      </c>
      <c r="AD194" s="57">
        <v>13.84</v>
      </c>
      <c r="AE194" s="56">
        <v>39</v>
      </c>
      <c r="AF194" s="54">
        <v>10.8</v>
      </c>
      <c r="AG194" s="55">
        <v>0</v>
      </c>
      <c r="AH194" s="55">
        <v>0</v>
      </c>
      <c r="AI194" s="57">
        <v>8.07</v>
      </c>
      <c r="AJ194" s="56">
        <v>38</v>
      </c>
      <c r="AK194" s="54">
        <v>10.7</v>
      </c>
      <c r="AL194" s="54">
        <v>0</v>
      </c>
      <c r="AM194" s="54">
        <v>0</v>
      </c>
      <c r="AN194" s="57">
        <v>11.34</v>
      </c>
      <c r="AO194" s="53">
        <v>38</v>
      </c>
      <c r="AP194" s="54">
        <v>10.5</v>
      </c>
      <c r="AQ194" s="54">
        <v>130</v>
      </c>
      <c r="AR194" s="54">
        <v>0</v>
      </c>
      <c r="AS194" s="57">
        <v>14.42</v>
      </c>
      <c r="AT194" s="56">
        <v>30</v>
      </c>
      <c r="AU194" s="57">
        <v>100</v>
      </c>
      <c r="AV194" s="56">
        <v>74.96337890625</v>
      </c>
      <c r="AW194" s="57">
        <v>393.43701833089193</v>
      </c>
      <c r="AX194" s="8"/>
      <c r="AZ194" s="1">
        <v>90</v>
      </c>
      <c r="BB194" s="82">
        <f t="shared" si="16"/>
        <v>36.535719999999998</v>
      </c>
    </row>
    <row r="195" spans="3:54" ht="15" customHeight="1" x14ac:dyDescent="0.25">
      <c r="C195" s="42"/>
      <c r="D195" s="69">
        <f>D184</f>
        <v>45731</v>
      </c>
      <c r="E195" s="70">
        <f t="shared" si="21"/>
        <v>15.166666666666705</v>
      </c>
      <c r="F195" s="71">
        <f t="shared" si="17"/>
        <v>45732.166666667101</v>
      </c>
      <c r="G195" s="60">
        <v>41</v>
      </c>
      <c r="H195" s="61">
        <v>40</v>
      </c>
      <c r="I195" s="62">
        <v>11.2</v>
      </c>
      <c r="J195" s="62">
        <v>250</v>
      </c>
      <c r="K195" s="63">
        <v>0</v>
      </c>
      <c r="L195" s="64">
        <v>40</v>
      </c>
      <c r="M195" s="62">
        <v>11.1</v>
      </c>
      <c r="N195" s="62">
        <v>300</v>
      </c>
      <c r="O195" s="65">
        <v>0</v>
      </c>
      <c r="P195" s="61">
        <v>40</v>
      </c>
      <c r="Q195" s="62">
        <v>11</v>
      </c>
      <c r="R195" s="63">
        <v>0</v>
      </c>
      <c r="S195" s="63">
        <v>0</v>
      </c>
      <c r="T195" s="65">
        <v>16.34</v>
      </c>
      <c r="U195" s="64">
        <v>39</v>
      </c>
      <c r="V195" s="62">
        <v>10.9</v>
      </c>
      <c r="W195" s="63">
        <v>0</v>
      </c>
      <c r="X195" s="63">
        <v>0</v>
      </c>
      <c r="Y195" s="65">
        <v>17.690000000000001</v>
      </c>
      <c r="Z195" s="61">
        <v>39</v>
      </c>
      <c r="AA195" s="62">
        <v>10.7</v>
      </c>
      <c r="AB195" s="63">
        <v>0</v>
      </c>
      <c r="AC195" s="63">
        <v>0</v>
      </c>
      <c r="AD195" s="65">
        <v>14.42</v>
      </c>
      <c r="AE195" s="64">
        <v>38</v>
      </c>
      <c r="AF195" s="62">
        <v>10.7</v>
      </c>
      <c r="AG195" s="63">
        <v>0</v>
      </c>
      <c r="AH195" s="63">
        <v>0</v>
      </c>
      <c r="AI195" s="65">
        <v>8.26</v>
      </c>
      <c r="AJ195" s="64">
        <v>37</v>
      </c>
      <c r="AK195" s="62">
        <v>10.6</v>
      </c>
      <c r="AL195" s="62">
        <v>0</v>
      </c>
      <c r="AM195" s="62">
        <v>0</v>
      </c>
      <c r="AN195" s="65">
        <v>10.57</v>
      </c>
      <c r="AO195" s="61">
        <v>38</v>
      </c>
      <c r="AP195" s="62">
        <v>10.4</v>
      </c>
      <c r="AQ195" s="62">
        <v>140</v>
      </c>
      <c r="AR195" s="62">
        <v>0</v>
      </c>
      <c r="AS195" s="65">
        <v>13.46</v>
      </c>
      <c r="AT195" s="64">
        <v>29</v>
      </c>
      <c r="AU195" s="65">
        <v>100</v>
      </c>
      <c r="AV195" s="64">
        <v>75.146484375</v>
      </c>
      <c r="AW195" s="65">
        <v>393.25472640991211</v>
      </c>
      <c r="AX195" s="8"/>
      <c r="AZ195" s="1">
        <v>90</v>
      </c>
      <c r="BB195" s="82">
        <f t="shared" si="16"/>
        <v>35.687080000000002</v>
      </c>
    </row>
    <row r="196" spans="3:54" ht="15" customHeight="1" x14ac:dyDescent="0.25">
      <c r="C196" s="42">
        <f>C184+1</f>
        <v>16</v>
      </c>
      <c r="D196" s="66">
        <f>DATE([3]Dash!$F$3,VLOOKUP([3]Dash!$E$3,[3]Abb!$C$3:$D$14,2,FALSE),C196)</f>
        <v>45732</v>
      </c>
      <c r="E196" s="67">
        <f>E195+2/24</f>
        <v>15.250000000000039</v>
      </c>
      <c r="F196" s="68">
        <f t="shared" si="17"/>
        <v>45732.250000000437</v>
      </c>
      <c r="G196" s="46">
        <v>39</v>
      </c>
      <c r="H196" s="47">
        <v>40</v>
      </c>
      <c r="I196" s="48">
        <v>11.5</v>
      </c>
      <c r="J196" s="48">
        <v>250</v>
      </c>
      <c r="K196" s="49">
        <v>0</v>
      </c>
      <c r="L196" s="50">
        <v>39</v>
      </c>
      <c r="M196" s="48">
        <v>11.2</v>
      </c>
      <c r="N196" s="48">
        <v>250</v>
      </c>
      <c r="O196" s="51">
        <v>0</v>
      </c>
      <c r="P196" s="47">
        <v>39</v>
      </c>
      <c r="Q196" s="48">
        <v>11.1</v>
      </c>
      <c r="R196" s="49">
        <v>0</v>
      </c>
      <c r="S196" s="49">
        <v>0</v>
      </c>
      <c r="T196" s="51">
        <v>16.34</v>
      </c>
      <c r="U196" s="50">
        <v>39</v>
      </c>
      <c r="V196" s="48">
        <v>11</v>
      </c>
      <c r="W196" s="49">
        <v>0</v>
      </c>
      <c r="X196" s="49">
        <v>0</v>
      </c>
      <c r="Y196" s="51">
        <v>17.3</v>
      </c>
      <c r="Z196" s="47">
        <v>38</v>
      </c>
      <c r="AA196" s="48">
        <v>10.8</v>
      </c>
      <c r="AB196" s="49">
        <v>0</v>
      </c>
      <c r="AC196" s="49">
        <v>0</v>
      </c>
      <c r="AD196" s="51">
        <v>13.84</v>
      </c>
      <c r="AE196" s="50">
        <v>38</v>
      </c>
      <c r="AF196" s="48">
        <v>10.8</v>
      </c>
      <c r="AG196" s="49">
        <v>0</v>
      </c>
      <c r="AH196" s="49">
        <v>0</v>
      </c>
      <c r="AI196" s="51">
        <v>7.69</v>
      </c>
      <c r="AJ196" s="50">
        <v>38</v>
      </c>
      <c r="AK196" s="48">
        <v>10.7</v>
      </c>
      <c r="AL196" s="48">
        <v>0</v>
      </c>
      <c r="AM196" s="48">
        <v>0</v>
      </c>
      <c r="AN196" s="51">
        <v>9.61</v>
      </c>
      <c r="AO196" s="47">
        <v>38</v>
      </c>
      <c r="AP196" s="48">
        <v>10.5</v>
      </c>
      <c r="AQ196" s="48">
        <v>120</v>
      </c>
      <c r="AR196" s="48">
        <v>0</v>
      </c>
      <c r="AS196" s="51">
        <v>14.42</v>
      </c>
      <c r="AT196" s="50">
        <v>30</v>
      </c>
      <c r="AU196" s="51">
        <v>100</v>
      </c>
      <c r="AV196" s="50">
        <v>74.45068359375</v>
      </c>
      <c r="AW196" s="51">
        <v>393.2411023457845</v>
      </c>
      <c r="AX196" s="8"/>
      <c r="AZ196" s="1">
        <v>90</v>
      </c>
      <c r="BB196" s="82">
        <f t="shared" si="16"/>
        <v>35.006399999999999</v>
      </c>
    </row>
    <row r="197" spans="3:54" ht="15" customHeight="1" x14ac:dyDescent="0.25">
      <c r="C197" s="42"/>
      <c r="D197" s="43">
        <f>D196</f>
        <v>45732</v>
      </c>
      <c r="E197" s="44">
        <f>E196+2/24</f>
        <v>15.333333333333373</v>
      </c>
      <c r="F197" s="45">
        <f t="shared" si="17"/>
        <v>45732.333333333772</v>
      </c>
      <c r="G197" s="52">
        <v>40</v>
      </c>
      <c r="H197" s="53">
        <v>39</v>
      </c>
      <c r="I197" s="54">
        <v>11.4</v>
      </c>
      <c r="J197" s="54">
        <v>200</v>
      </c>
      <c r="K197" s="55">
        <v>0</v>
      </c>
      <c r="L197" s="56">
        <v>40</v>
      </c>
      <c r="M197" s="54">
        <v>11.5</v>
      </c>
      <c r="N197" s="54">
        <v>250</v>
      </c>
      <c r="O197" s="57">
        <v>0</v>
      </c>
      <c r="P197" s="53">
        <v>40</v>
      </c>
      <c r="Q197" s="54">
        <v>11.3</v>
      </c>
      <c r="R197" s="55">
        <v>0</v>
      </c>
      <c r="S197" s="55">
        <v>0</v>
      </c>
      <c r="T197" s="57">
        <v>14.61</v>
      </c>
      <c r="U197" s="56">
        <v>39</v>
      </c>
      <c r="V197" s="54">
        <v>11.3</v>
      </c>
      <c r="W197" s="55">
        <v>0</v>
      </c>
      <c r="X197" s="55">
        <v>0</v>
      </c>
      <c r="Y197" s="57">
        <v>16.34</v>
      </c>
      <c r="Z197" s="53">
        <v>36</v>
      </c>
      <c r="AA197" s="54">
        <v>11.9</v>
      </c>
      <c r="AB197" s="55">
        <v>0</v>
      </c>
      <c r="AC197" s="55">
        <v>0</v>
      </c>
      <c r="AD197" s="57">
        <v>19.46</v>
      </c>
      <c r="AE197" s="56">
        <v>37</v>
      </c>
      <c r="AF197" s="54">
        <v>10.9</v>
      </c>
      <c r="AG197" s="55">
        <v>0</v>
      </c>
      <c r="AH197" s="55">
        <v>0</v>
      </c>
      <c r="AI197" s="57">
        <v>7.69</v>
      </c>
      <c r="AJ197" s="56">
        <v>37</v>
      </c>
      <c r="AK197" s="54">
        <v>10.9</v>
      </c>
      <c r="AL197" s="54">
        <v>0</v>
      </c>
      <c r="AM197" s="54">
        <v>0</v>
      </c>
      <c r="AN197" s="57">
        <v>10.57</v>
      </c>
      <c r="AO197" s="53">
        <v>37</v>
      </c>
      <c r="AP197" s="54">
        <v>11</v>
      </c>
      <c r="AQ197" s="54">
        <v>100</v>
      </c>
      <c r="AR197" s="54">
        <v>0</v>
      </c>
      <c r="AS197" s="57">
        <v>11.08</v>
      </c>
      <c r="AT197" s="56">
        <v>30</v>
      </c>
      <c r="AU197" s="57">
        <v>100</v>
      </c>
      <c r="AV197" s="56">
        <v>75.1220703125</v>
      </c>
      <c r="AW197" s="57">
        <v>393.48741353352864</v>
      </c>
      <c r="AX197" s="8"/>
      <c r="AZ197" s="1">
        <v>90</v>
      </c>
      <c r="BB197" s="82">
        <f t="shared" si="16"/>
        <v>35.249499999999998</v>
      </c>
    </row>
    <row r="198" spans="3:54" ht="15" customHeight="1" x14ac:dyDescent="0.25">
      <c r="C198" s="42"/>
      <c r="D198" s="43">
        <f>D196</f>
        <v>45732</v>
      </c>
      <c r="E198" s="44">
        <f t="shared" ref="E198:E207" si="22">E197+2/24</f>
        <v>15.416666666666707</v>
      </c>
      <c r="F198" s="45">
        <f t="shared" si="17"/>
        <v>45732.416666667108</v>
      </c>
      <c r="G198" s="52">
        <v>40</v>
      </c>
      <c r="H198" s="53">
        <v>40</v>
      </c>
      <c r="I198" s="54">
        <v>0</v>
      </c>
      <c r="J198" s="54">
        <v>250</v>
      </c>
      <c r="K198" s="55">
        <v>0</v>
      </c>
      <c r="L198" s="56">
        <v>41</v>
      </c>
      <c r="M198" s="54">
        <v>0</v>
      </c>
      <c r="N198" s="54">
        <v>200</v>
      </c>
      <c r="O198" s="57">
        <v>0</v>
      </c>
      <c r="P198" s="53">
        <v>39</v>
      </c>
      <c r="Q198" s="54">
        <v>0</v>
      </c>
      <c r="R198" s="55">
        <v>0</v>
      </c>
      <c r="S198" s="55">
        <v>0</v>
      </c>
      <c r="T198" s="57">
        <v>11.34</v>
      </c>
      <c r="U198" s="56">
        <v>39</v>
      </c>
      <c r="V198" s="54">
        <v>0</v>
      </c>
      <c r="W198" s="55">
        <v>0</v>
      </c>
      <c r="X198" s="55">
        <v>0</v>
      </c>
      <c r="Y198" s="57">
        <v>16.53</v>
      </c>
      <c r="Z198" s="53">
        <v>36</v>
      </c>
      <c r="AA198" s="54">
        <v>0</v>
      </c>
      <c r="AB198" s="55">
        <v>0</v>
      </c>
      <c r="AC198" s="55">
        <v>0</v>
      </c>
      <c r="AD198" s="57">
        <v>13.19</v>
      </c>
      <c r="AE198" s="56">
        <v>38</v>
      </c>
      <c r="AF198" s="54">
        <v>0</v>
      </c>
      <c r="AG198" s="55">
        <v>0</v>
      </c>
      <c r="AH198" s="55">
        <v>0</v>
      </c>
      <c r="AI198" s="57">
        <v>7.69</v>
      </c>
      <c r="AJ198" s="56">
        <v>38</v>
      </c>
      <c r="AK198" s="54">
        <v>0</v>
      </c>
      <c r="AL198" s="54">
        <v>0</v>
      </c>
      <c r="AM198" s="54">
        <v>0</v>
      </c>
      <c r="AN198" s="57">
        <v>10.3</v>
      </c>
      <c r="AO198" s="53">
        <v>38</v>
      </c>
      <c r="AP198" s="54">
        <v>0</v>
      </c>
      <c r="AQ198" s="54">
        <v>140</v>
      </c>
      <c r="AR198" s="54">
        <v>0</v>
      </c>
      <c r="AS198" s="57">
        <v>12.11</v>
      </c>
      <c r="AT198" s="56">
        <v>32</v>
      </c>
      <c r="AU198" s="57">
        <v>100</v>
      </c>
      <c r="AV198" s="56">
        <v>75.105796813964801</v>
      </c>
      <c r="AW198" s="57">
        <v>392.9299285888672</v>
      </c>
      <c r="AX198" s="8"/>
      <c r="AZ198" s="1">
        <v>90</v>
      </c>
      <c r="BB198" s="82">
        <f t="shared" si="16"/>
        <v>31.452719999999996</v>
      </c>
    </row>
    <row r="199" spans="3:54" ht="15" customHeight="1" x14ac:dyDescent="0.25">
      <c r="C199" s="42"/>
      <c r="D199" s="43">
        <f>D196</f>
        <v>45732</v>
      </c>
      <c r="E199" s="44">
        <f t="shared" si="22"/>
        <v>15.500000000000041</v>
      </c>
      <c r="F199" s="45">
        <f t="shared" si="17"/>
        <v>45732.500000000444</v>
      </c>
      <c r="G199" s="52">
        <v>41</v>
      </c>
      <c r="H199" s="53">
        <v>40</v>
      </c>
      <c r="I199" s="54">
        <v>0</v>
      </c>
      <c r="J199" s="54">
        <v>250</v>
      </c>
      <c r="K199" s="55">
        <v>0</v>
      </c>
      <c r="L199" s="56">
        <v>40</v>
      </c>
      <c r="M199" s="54">
        <v>0</v>
      </c>
      <c r="N199" s="54">
        <v>200</v>
      </c>
      <c r="O199" s="57">
        <v>0</v>
      </c>
      <c r="P199" s="53">
        <v>39</v>
      </c>
      <c r="Q199" s="54">
        <v>0</v>
      </c>
      <c r="R199" s="55">
        <v>0</v>
      </c>
      <c r="S199" s="55">
        <v>0</v>
      </c>
      <c r="T199" s="57">
        <v>10</v>
      </c>
      <c r="U199" s="56">
        <v>39</v>
      </c>
      <c r="V199" s="54">
        <v>0</v>
      </c>
      <c r="W199" s="55">
        <v>0</v>
      </c>
      <c r="X199" s="55">
        <v>0</v>
      </c>
      <c r="Y199" s="57">
        <v>16.149999999999999</v>
      </c>
      <c r="Z199" s="53">
        <v>37</v>
      </c>
      <c r="AA199" s="54">
        <v>0</v>
      </c>
      <c r="AB199" s="55">
        <v>0</v>
      </c>
      <c r="AC199" s="55">
        <v>0</v>
      </c>
      <c r="AD199" s="57">
        <v>14.03</v>
      </c>
      <c r="AE199" s="56">
        <v>37</v>
      </c>
      <c r="AF199" s="54">
        <v>0</v>
      </c>
      <c r="AG199" s="55">
        <v>0</v>
      </c>
      <c r="AH199" s="55">
        <v>0</v>
      </c>
      <c r="AI199" s="57">
        <v>8.07</v>
      </c>
      <c r="AJ199" s="56">
        <v>37</v>
      </c>
      <c r="AK199" s="54">
        <v>0</v>
      </c>
      <c r="AL199" s="54">
        <v>0</v>
      </c>
      <c r="AM199" s="54">
        <v>0</v>
      </c>
      <c r="AN199" s="57">
        <v>9.61</v>
      </c>
      <c r="AO199" s="53">
        <v>37</v>
      </c>
      <c r="AP199" s="54">
        <v>0</v>
      </c>
      <c r="AQ199" s="54">
        <v>140</v>
      </c>
      <c r="AR199" s="54">
        <v>0</v>
      </c>
      <c r="AS199" s="57">
        <v>11.03</v>
      </c>
      <c r="AT199" s="56">
        <v>34</v>
      </c>
      <c r="AU199" s="57">
        <v>110</v>
      </c>
      <c r="AV199" s="56">
        <v>74.312339782714801</v>
      </c>
      <c r="AW199" s="57">
        <v>390.79306488037111</v>
      </c>
      <c r="AX199" s="8"/>
      <c r="AZ199" s="1">
        <v>90</v>
      </c>
      <c r="BB199" s="82">
        <f t="shared" si="16"/>
        <v>30.449379999999994</v>
      </c>
    </row>
    <row r="200" spans="3:54" ht="15" customHeight="1" x14ac:dyDescent="0.25">
      <c r="C200" s="42"/>
      <c r="D200" s="43">
        <f>D196</f>
        <v>45732</v>
      </c>
      <c r="E200" s="44">
        <f t="shared" si="22"/>
        <v>15.583333333333375</v>
      </c>
      <c r="F200" s="45">
        <f t="shared" si="17"/>
        <v>45732.58333333378</v>
      </c>
      <c r="G200" s="52">
        <v>39</v>
      </c>
      <c r="H200" s="53">
        <v>40</v>
      </c>
      <c r="I200" s="54">
        <v>10.6</v>
      </c>
      <c r="J200" s="54">
        <v>250</v>
      </c>
      <c r="K200" s="55">
        <v>0</v>
      </c>
      <c r="L200" s="56">
        <v>39</v>
      </c>
      <c r="M200" s="54">
        <v>11</v>
      </c>
      <c r="N200" s="54">
        <v>200</v>
      </c>
      <c r="O200" s="57">
        <v>0</v>
      </c>
      <c r="P200" s="53">
        <v>39</v>
      </c>
      <c r="Q200" s="54">
        <v>11.1</v>
      </c>
      <c r="R200" s="55">
        <v>0</v>
      </c>
      <c r="S200" s="55">
        <v>0</v>
      </c>
      <c r="T200" s="57">
        <v>6.07</v>
      </c>
      <c r="U200" s="56">
        <v>38</v>
      </c>
      <c r="V200" s="54">
        <v>11</v>
      </c>
      <c r="W200" s="55">
        <v>0</v>
      </c>
      <c r="X200" s="55">
        <v>0</v>
      </c>
      <c r="Y200" s="57">
        <v>16.12</v>
      </c>
      <c r="Z200" s="53">
        <v>37</v>
      </c>
      <c r="AA200" s="54">
        <v>11.8</v>
      </c>
      <c r="AB200" s="55">
        <v>0</v>
      </c>
      <c r="AC200" s="55">
        <v>0</v>
      </c>
      <c r="AD200" s="57">
        <v>13.06</v>
      </c>
      <c r="AE200" s="56">
        <v>38</v>
      </c>
      <c r="AF200" s="54">
        <v>10.3</v>
      </c>
      <c r="AG200" s="55">
        <v>0</v>
      </c>
      <c r="AH200" s="55">
        <v>0</v>
      </c>
      <c r="AI200" s="57">
        <v>7.88</v>
      </c>
      <c r="AJ200" s="56">
        <v>38</v>
      </c>
      <c r="AK200" s="54">
        <v>10.3</v>
      </c>
      <c r="AL200" s="54">
        <v>0</v>
      </c>
      <c r="AM200" s="54">
        <v>0</v>
      </c>
      <c r="AN200" s="57">
        <v>10.38</v>
      </c>
      <c r="AO200" s="53">
        <v>38</v>
      </c>
      <c r="AP200" s="54">
        <v>10.4</v>
      </c>
      <c r="AQ200" s="54">
        <v>160</v>
      </c>
      <c r="AR200" s="54">
        <v>0</v>
      </c>
      <c r="AS200" s="57">
        <v>11.92</v>
      </c>
      <c r="AT200" s="56">
        <v>32</v>
      </c>
      <c r="AU200" s="57">
        <v>110</v>
      </c>
      <c r="AV200" s="56">
        <v>74.6826171875</v>
      </c>
      <c r="AW200" s="57">
        <v>391.74623794555663</v>
      </c>
      <c r="AX200" s="8"/>
      <c r="AZ200" s="1">
        <v>90</v>
      </c>
      <c r="BB200" s="82">
        <f t="shared" si="16"/>
        <v>28.920060000000003</v>
      </c>
    </row>
    <row r="201" spans="3:54" ht="15" customHeight="1" x14ac:dyDescent="0.25">
      <c r="C201" s="42"/>
      <c r="D201" s="43">
        <f>D196</f>
        <v>45732</v>
      </c>
      <c r="E201" s="44">
        <f t="shared" si="22"/>
        <v>15.666666666666709</v>
      </c>
      <c r="F201" s="45">
        <f t="shared" si="17"/>
        <v>45732.666666667115</v>
      </c>
      <c r="G201" s="52">
        <v>37</v>
      </c>
      <c r="H201" s="53">
        <v>41</v>
      </c>
      <c r="I201" s="54">
        <v>10.4</v>
      </c>
      <c r="J201" s="54">
        <v>250</v>
      </c>
      <c r="K201" s="55">
        <v>0</v>
      </c>
      <c r="L201" s="56">
        <v>38</v>
      </c>
      <c r="M201" s="54">
        <v>11.9</v>
      </c>
      <c r="N201" s="54">
        <v>250</v>
      </c>
      <c r="O201" s="57">
        <v>0</v>
      </c>
      <c r="P201" s="53">
        <v>37</v>
      </c>
      <c r="Q201" s="54">
        <v>11</v>
      </c>
      <c r="R201" s="55">
        <v>0</v>
      </c>
      <c r="S201" s="55">
        <v>0</v>
      </c>
      <c r="T201" s="57">
        <v>5.76</v>
      </c>
      <c r="U201" s="56">
        <v>38</v>
      </c>
      <c r="V201" s="54">
        <v>11</v>
      </c>
      <c r="W201" s="55">
        <v>0</v>
      </c>
      <c r="X201" s="55">
        <v>0</v>
      </c>
      <c r="Y201" s="57">
        <v>16.170000000000002</v>
      </c>
      <c r="Z201" s="53">
        <v>38</v>
      </c>
      <c r="AA201" s="54">
        <v>11.2</v>
      </c>
      <c r="AB201" s="55">
        <v>0</v>
      </c>
      <c r="AC201" s="55">
        <v>0</v>
      </c>
      <c r="AD201" s="57">
        <v>13.46</v>
      </c>
      <c r="AE201" s="56">
        <v>36</v>
      </c>
      <c r="AF201" s="54">
        <v>10.7</v>
      </c>
      <c r="AG201" s="55">
        <v>0</v>
      </c>
      <c r="AH201" s="55">
        <v>0</v>
      </c>
      <c r="AI201" s="57">
        <v>8.4600000000000009</v>
      </c>
      <c r="AJ201" s="56">
        <v>36</v>
      </c>
      <c r="AK201" s="54">
        <v>10.7</v>
      </c>
      <c r="AL201" s="54">
        <v>0</v>
      </c>
      <c r="AM201" s="54">
        <v>0</v>
      </c>
      <c r="AN201" s="57">
        <v>10.19</v>
      </c>
      <c r="AO201" s="53">
        <v>38</v>
      </c>
      <c r="AP201" s="54">
        <v>10.199999999999999</v>
      </c>
      <c r="AQ201" s="54">
        <v>170</v>
      </c>
      <c r="AR201" s="54">
        <v>0</v>
      </c>
      <c r="AS201" s="57">
        <v>12.11</v>
      </c>
      <c r="AT201" s="56">
        <v>35</v>
      </c>
      <c r="AU201" s="57">
        <v>130</v>
      </c>
      <c r="AV201" s="56">
        <v>74.702964782714801</v>
      </c>
      <c r="AW201" s="57">
        <v>392.76692733764651</v>
      </c>
      <c r="AX201" s="8"/>
      <c r="AZ201" s="1">
        <v>90</v>
      </c>
      <c r="BB201" s="82">
        <f t="shared" si="16"/>
        <v>29.238299999999999</v>
      </c>
    </row>
    <row r="202" spans="3:54" ht="15" customHeight="1" x14ac:dyDescent="0.25">
      <c r="C202" s="42"/>
      <c r="D202" s="43">
        <f>D196</f>
        <v>45732</v>
      </c>
      <c r="E202" s="44">
        <f t="shared" si="22"/>
        <v>15.750000000000043</v>
      </c>
      <c r="F202" s="45">
        <f t="shared" si="17"/>
        <v>45732.750000000451</v>
      </c>
      <c r="G202" s="52">
        <v>38</v>
      </c>
      <c r="H202" s="53">
        <v>39</v>
      </c>
      <c r="I202" s="54">
        <v>10.1</v>
      </c>
      <c r="J202" s="54">
        <v>250</v>
      </c>
      <c r="K202" s="55">
        <v>0</v>
      </c>
      <c r="L202" s="56">
        <v>40</v>
      </c>
      <c r="M202" s="54">
        <v>10.1</v>
      </c>
      <c r="N202" s="54">
        <v>250</v>
      </c>
      <c r="O202" s="57">
        <v>0</v>
      </c>
      <c r="P202" s="53">
        <v>38</v>
      </c>
      <c r="Q202" s="54">
        <v>10.9</v>
      </c>
      <c r="R202" s="55">
        <v>0</v>
      </c>
      <c r="S202" s="55">
        <v>0</v>
      </c>
      <c r="T202" s="57">
        <v>5.76</v>
      </c>
      <c r="U202" s="56">
        <v>39</v>
      </c>
      <c r="V202" s="54">
        <v>11</v>
      </c>
      <c r="W202" s="55">
        <v>0</v>
      </c>
      <c r="X202" s="55">
        <v>0</v>
      </c>
      <c r="Y202" s="57">
        <v>16.59</v>
      </c>
      <c r="Z202" s="53">
        <v>39</v>
      </c>
      <c r="AA202" s="54">
        <v>11.1</v>
      </c>
      <c r="AB202" s="55">
        <v>0</v>
      </c>
      <c r="AC202" s="55">
        <v>0</v>
      </c>
      <c r="AD202" s="57">
        <v>13.26</v>
      </c>
      <c r="AE202" s="56">
        <v>37</v>
      </c>
      <c r="AF202" s="54">
        <v>11.2</v>
      </c>
      <c r="AG202" s="55">
        <v>0</v>
      </c>
      <c r="AH202" s="55">
        <v>0</v>
      </c>
      <c r="AI202" s="57">
        <v>8.6</v>
      </c>
      <c r="AJ202" s="56">
        <v>36</v>
      </c>
      <c r="AK202" s="54">
        <v>10.3</v>
      </c>
      <c r="AL202" s="54">
        <v>0</v>
      </c>
      <c r="AM202" s="54">
        <v>0</v>
      </c>
      <c r="AN202" s="57">
        <v>10.57</v>
      </c>
      <c r="AO202" s="53">
        <v>37</v>
      </c>
      <c r="AP202" s="54">
        <v>10.199999999999999</v>
      </c>
      <c r="AQ202" s="54">
        <v>0</v>
      </c>
      <c r="AR202" s="54">
        <v>0</v>
      </c>
      <c r="AS202" s="57">
        <v>11.92</v>
      </c>
      <c r="AT202" s="56">
        <v>34</v>
      </c>
      <c r="AU202" s="57">
        <v>130</v>
      </c>
      <c r="AV202" s="56">
        <v>74.161781311035199</v>
      </c>
      <c r="AW202" s="57">
        <v>392.92161000569661</v>
      </c>
      <c r="AX202" s="8"/>
      <c r="AZ202" s="1">
        <v>90</v>
      </c>
      <c r="BB202" s="82">
        <f t="shared" si="16"/>
        <v>29.481400000000001</v>
      </c>
    </row>
    <row r="203" spans="3:54" ht="15" customHeight="1" x14ac:dyDescent="0.25">
      <c r="C203" s="42"/>
      <c r="D203" s="43">
        <f>D196</f>
        <v>45732</v>
      </c>
      <c r="E203" s="44">
        <f t="shared" si="22"/>
        <v>15.833333333333377</v>
      </c>
      <c r="F203" s="45">
        <f t="shared" si="17"/>
        <v>45732.833333333787</v>
      </c>
      <c r="G203" s="52">
        <v>43</v>
      </c>
      <c r="H203" s="53">
        <v>40</v>
      </c>
      <c r="I203" s="54">
        <v>10.5</v>
      </c>
      <c r="J203" s="54">
        <v>200</v>
      </c>
      <c r="K203" s="55">
        <v>0</v>
      </c>
      <c r="L203" s="56">
        <v>39</v>
      </c>
      <c r="M203" s="54">
        <v>10.8</v>
      </c>
      <c r="N203" s="54">
        <v>250</v>
      </c>
      <c r="O203" s="57">
        <v>0</v>
      </c>
      <c r="P203" s="53">
        <v>38</v>
      </c>
      <c r="Q203" s="54">
        <v>10.9</v>
      </c>
      <c r="R203" s="55">
        <v>0</v>
      </c>
      <c r="S203" s="55">
        <v>0</v>
      </c>
      <c r="T203" s="57">
        <v>4.8</v>
      </c>
      <c r="U203" s="56">
        <v>37</v>
      </c>
      <c r="V203" s="54">
        <v>11</v>
      </c>
      <c r="W203" s="55">
        <v>0</v>
      </c>
      <c r="X203" s="55">
        <v>0</v>
      </c>
      <c r="Y203" s="57">
        <v>16.3</v>
      </c>
      <c r="Z203" s="53">
        <v>37</v>
      </c>
      <c r="AA203" s="54">
        <v>11</v>
      </c>
      <c r="AB203" s="55">
        <v>0</v>
      </c>
      <c r="AC203" s="55">
        <v>0</v>
      </c>
      <c r="AD203" s="57">
        <v>12.5</v>
      </c>
      <c r="AE203" s="56">
        <v>36</v>
      </c>
      <c r="AF203" s="54">
        <v>11</v>
      </c>
      <c r="AG203" s="55">
        <v>0</v>
      </c>
      <c r="AH203" s="55">
        <v>0</v>
      </c>
      <c r="AI203" s="57">
        <v>8.6</v>
      </c>
      <c r="AJ203" s="56">
        <v>37</v>
      </c>
      <c r="AK203" s="54">
        <v>11</v>
      </c>
      <c r="AL203" s="54">
        <v>0</v>
      </c>
      <c r="AM203" s="54">
        <v>0</v>
      </c>
      <c r="AN203" s="57">
        <v>10.5</v>
      </c>
      <c r="AO203" s="53">
        <v>37</v>
      </c>
      <c r="AP203" s="54">
        <v>11.1</v>
      </c>
      <c r="AQ203" s="54">
        <v>150</v>
      </c>
      <c r="AR203" s="54">
        <v>0</v>
      </c>
      <c r="AS203" s="57">
        <v>14.4</v>
      </c>
      <c r="AT203" s="56">
        <v>28</v>
      </c>
      <c r="AU203" s="57">
        <v>100</v>
      </c>
      <c r="AV203" s="56">
        <v>74.96337890625</v>
      </c>
      <c r="AW203" s="57">
        <v>393.45377604166669</v>
      </c>
      <c r="AX203" s="8"/>
      <c r="AZ203" s="1">
        <v>90</v>
      </c>
      <c r="BB203" s="82">
        <f t="shared" si="16"/>
        <v>29.658200000000001</v>
      </c>
    </row>
    <row r="204" spans="3:54" ht="15" customHeight="1" x14ac:dyDescent="0.25">
      <c r="C204" s="42"/>
      <c r="D204" s="43">
        <f>D196</f>
        <v>45732</v>
      </c>
      <c r="E204" s="44">
        <f t="shared" si="22"/>
        <v>15.91666666666671</v>
      </c>
      <c r="F204" s="45">
        <f t="shared" si="17"/>
        <v>45732.916666667123</v>
      </c>
      <c r="G204" s="52">
        <v>42</v>
      </c>
      <c r="H204" s="53">
        <v>41</v>
      </c>
      <c r="I204" s="54">
        <v>10.5</v>
      </c>
      <c r="J204" s="54">
        <v>200</v>
      </c>
      <c r="K204" s="55">
        <v>0</v>
      </c>
      <c r="L204" s="56">
        <v>40</v>
      </c>
      <c r="M204" s="54">
        <v>10.8</v>
      </c>
      <c r="N204" s="54">
        <v>250</v>
      </c>
      <c r="O204" s="57">
        <v>0</v>
      </c>
      <c r="P204" s="53">
        <v>39</v>
      </c>
      <c r="Q204" s="54">
        <v>10.9</v>
      </c>
      <c r="R204" s="55">
        <v>0</v>
      </c>
      <c r="S204" s="55">
        <v>0</v>
      </c>
      <c r="T204" s="57">
        <v>9.6</v>
      </c>
      <c r="U204" s="56">
        <v>38</v>
      </c>
      <c r="V204" s="54">
        <v>11</v>
      </c>
      <c r="W204" s="55">
        <v>0</v>
      </c>
      <c r="X204" s="55">
        <v>0</v>
      </c>
      <c r="Y204" s="57">
        <v>10.5</v>
      </c>
      <c r="Z204" s="53">
        <v>37</v>
      </c>
      <c r="AA204" s="54">
        <v>11</v>
      </c>
      <c r="AB204" s="55">
        <v>0</v>
      </c>
      <c r="AC204" s="55">
        <v>0</v>
      </c>
      <c r="AD204" s="57">
        <v>13.4</v>
      </c>
      <c r="AE204" s="56">
        <v>37</v>
      </c>
      <c r="AF204" s="54">
        <v>11</v>
      </c>
      <c r="AG204" s="55">
        <v>0</v>
      </c>
      <c r="AH204" s="55">
        <v>0</v>
      </c>
      <c r="AI204" s="57">
        <v>9.6</v>
      </c>
      <c r="AJ204" s="56">
        <v>37</v>
      </c>
      <c r="AK204" s="54">
        <v>11</v>
      </c>
      <c r="AL204" s="54">
        <v>0</v>
      </c>
      <c r="AM204" s="54">
        <v>0</v>
      </c>
      <c r="AN204" s="57">
        <v>10.5</v>
      </c>
      <c r="AO204" s="53">
        <v>35</v>
      </c>
      <c r="AP204" s="54">
        <v>11.1</v>
      </c>
      <c r="AQ204" s="54">
        <v>160</v>
      </c>
      <c r="AR204" s="54">
        <v>0</v>
      </c>
      <c r="AS204" s="57">
        <v>14.4</v>
      </c>
      <c r="AT204" s="56">
        <v>28</v>
      </c>
      <c r="AU204" s="57">
        <v>130</v>
      </c>
      <c r="AV204" s="56">
        <v>75.0244140625</v>
      </c>
      <c r="AW204" s="57">
        <v>394.50665537516278</v>
      </c>
      <c r="AX204" s="8"/>
      <c r="AZ204" s="1">
        <v>90</v>
      </c>
      <c r="BB204" s="82">
        <f t="shared" si="16"/>
        <v>30.056000000000001</v>
      </c>
    </row>
    <row r="205" spans="3:54" ht="15" customHeight="1" x14ac:dyDescent="0.25">
      <c r="C205" s="42"/>
      <c r="D205" s="43">
        <f>D196</f>
        <v>45732</v>
      </c>
      <c r="E205" s="44">
        <f t="shared" si="22"/>
        <v>16.000000000000043</v>
      </c>
      <c r="F205" s="45">
        <f t="shared" si="17"/>
        <v>45733.000000000458</v>
      </c>
      <c r="G205" s="52">
        <v>41</v>
      </c>
      <c r="H205" s="53">
        <v>41</v>
      </c>
      <c r="I205" s="54">
        <v>10.5</v>
      </c>
      <c r="J205" s="54">
        <v>200</v>
      </c>
      <c r="K205" s="55">
        <v>0</v>
      </c>
      <c r="L205" s="56">
        <v>40</v>
      </c>
      <c r="M205" s="54">
        <v>10.7</v>
      </c>
      <c r="N205" s="54">
        <v>250</v>
      </c>
      <c r="O205" s="57">
        <v>0</v>
      </c>
      <c r="P205" s="53">
        <v>38</v>
      </c>
      <c r="Q205" s="54">
        <v>10.9</v>
      </c>
      <c r="R205" s="55">
        <v>0</v>
      </c>
      <c r="S205" s="55">
        <v>0</v>
      </c>
      <c r="T205" s="57">
        <v>16.100000000000001</v>
      </c>
      <c r="U205" s="56">
        <v>38</v>
      </c>
      <c r="V205" s="54">
        <v>10.9</v>
      </c>
      <c r="W205" s="55">
        <v>0</v>
      </c>
      <c r="X205" s="55">
        <v>0</v>
      </c>
      <c r="Y205" s="57">
        <v>8.8000000000000007</v>
      </c>
      <c r="Z205" s="53">
        <v>38</v>
      </c>
      <c r="AA205" s="54">
        <v>10.9</v>
      </c>
      <c r="AB205" s="55">
        <v>0</v>
      </c>
      <c r="AC205" s="55">
        <v>0</v>
      </c>
      <c r="AD205" s="57">
        <v>14.4</v>
      </c>
      <c r="AE205" s="56">
        <v>38</v>
      </c>
      <c r="AF205" s="54">
        <v>11</v>
      </c>
      <c r="AG205" s="55">
        <v>0</v>
      </c>
      <c r="AH205" s="55">
        <v>0</v>
      </c>
      <c r="AI205" s="57">
        <v>8.6</v>
      </c>
      <c r="AJ205" s="56">
        <v>36</v>
      </c>
      <c r="AK205" s="54">
        <v>11.1</v>
      </c>
      <c r="AL205" s="54">
        <v>0</v>
      </c>
      <c r="AM205" s="54">
        <v>0</v>
      </c>
      <c r="AN205" s="57">
        <v>10.5</v>
      </c>
      <c r="AO205" s="53">
        <v>35</v>
      </c>
      <c r="AP205" s="54">
        <v>11.1</v>
      </c>
      <c r="AQ205" s="54">
        <v>140</v>
      </c>
      <c r="AR205" s="54">
        <v>0</v>
      </c>
      <c r="AS205" s="57">
        <v>14.4</v>
      </c>
      <c r="AT205" s="56">
        <v>29</v>
      </c>
      <c r="AU205" s="57">
        <v>130</v>
      </c>
      <c r="AV205" s="56">
        <v>74.5849609375</v>
      </c>
      <c r="AW205" s="57">
        <v>394.20657323201499</v>
      </c>
      <c r="AX205" s="8"/>
      <c r="AZ205" s="1">
        <v>90</v>
      </c>
      <c r="BB205" s="82">
        <f t="shared" si="16"/>
        <v>32.177600000000005</v>
      </c>
    </row>
    <row r="206" spans="3:54" ht="15" customHeight="1" x14ac:dyDescent="0.25">
      <c r="C206" s="42"/>
      <c r="D206" s="43">
        <f>D196</f>
        <v>45732</v>
      </c>
      <c r="E206" s="44">
        <f t="shared" si="22"/>
        <v>16.083333333333375</v>
      </c>
      <c r="F206" s="45">
        <f t="shared" si="17"/>
        <v>45733.083333333794</v>
      </c>
      <c r="G206" s="52">
        <v>41</v>
      </c>
      <c r="H206" s="53">
        <v>41</v>
      </c>
      <c r="I206" s="54">
        <v>10.5</v>
      </c>
      <c r="J206" s="54">
        <v>200</v>
      </c>
      <c r="K206" s="55">
        <v>0</v>
      </c>
      <c r="L206" s="56">
        <v>41</v>
      </c>
      <c r="M206" s="54">
        <v>10.5</v>
      </c>
      <c r="N206" s="54">
        <v>200</v>
      </c>
      <c r="O206" s="57">
        <v>0</v>
      </c>
      <c r="P206" s="53">
        <v>39</v>
      </c>
      <c r="Q206" s="54">
        <v>10.6</v>
      </c>
      <c r="R206" s="55">
        <v>0</v>
      </c>
      <c r="S206" s="55">
        <v>0</v>
      </c>
      <c r="T206" s="57">
        <v>16.3</v>
      </c>
      <c r="U206" s="56">
        <v>39</v>
      </c>
      <c r="V206" s="54">
        <v>10.6</v>
      </c>
      <c r="W206" s="55">
        <v>0</v>
      </c>
      <c r="X206" s="55">
        <v>0</v>
      </c>
      <c r="Y206" s="57">
        <v>11.5</v>
      </c>
      <c r="Z206" s="53">
        <v>37</v>
      </c>
      <c r="AA206" s="54">
        <v>10.7</v>
      </c>
      <c r="AB206" s="55">
        <v>0</v>
      </c>
      <c r="AC206" s="55">
        <v>0</v>
      </c>
      <c r="AD206" s="57">
        <v>9.6</v>
      </c>
      <c r="AE206" s="56">
        <v>37</v>
      </c>
      <c r="AF206" s="54">
        <v>10.8</v>
      </c>
      <c r="AG206" s="55">
        <v>0</v>
      </c>
      <c r="AH206" s="55">
        <v>0</v>
      </c>
      <c r="AI206" s="57">
        <v>9.6</v>
      </c>
      <c r="AJ206" s="56">
        <v>36</v>
      </c>
      <c r="AK206" s="54">
        <v>10.9</v>
      </c>
      <c r="AL206" s="54">
        <v>0</v>
      </c>
      <c r="AM206" s="54">
        <v>0</v>
      </c>
      <c r="AN206" s="57">
        <v>10.3</v>
      </c>
      <c r="AO206" s="53">
        <v>36</v>
      </c>
      <c r="AP206" s="54">
        <v>10.9</v>
      </c>
      <c r="AQ206" s="54">
        <v>150</v>
      </c>
      <c r="AR206" s="54">
        <v>0</v>
      </c>
      <c r="AS206" s="57">
        <v>13.4</v>
      </c>
      <c r="AT206" s="56">
        <v>31</v>
      </c>
      <c r="AU206" s="57">
        <v>130</v>
      </c>
      <c r="AV206" s="56">
        <v>74.873863220214801</v>
      </c>
      <c r="AW206" s="57">
        <v>393.95194346110026</v>
      </c>
      <c r="AX206" s="8"/>
      <c r="AZ206" s="1">
        <v>90</v>
      </c>
      <c r="BB206" s="82">
        <f t="shared" si="16"/>
        <v>31.249399999999998</v>
      </c>
    </row>
    <row r="207" spans="3:54" ht="15" customHeight="1" x14ac:dyDescent="0.25">
      <c r="C207" s="42"/>
      <c r="D207" s="69">
        <f>D196</f>
        <v>45732</v>
      </c>
      <c r="E207" s="70">
        <f t="shared" si="22"/>
        <v>16.166666666666707</v>
      </c>
      <c r="F207" s="71">
        <f t="shared" si="17"/>
        <v>45733.16666666713</v>
      </c>
      <c r="G207" s="60">
        <v>38</v>
      </c>
      <c r="H207" s="61">
        <v>41</v>
      </c>
      <c r="I207" s="62">
        <v>10.6</v>
      </c>
      <c r="J207" s="62">
        <v>200</v>
      </c>
      <c r="K207" s="63">
        <v>0</v>
      </c>
      <c r="L207" s="64">
        <v>41</v>
      </c>
      <c r="M207" s="62">
        <v>10.5</v>
      </c>
      <c r="N207" s="62">
        <v>200</v>
      </c>
      <c r="O207" s="65">
        <v>0</v>
      </c>
      <c r="P207" s="61">
        <v>40</v>
      </c>
      <c r="Q207" s="62">
        <v>10.6</v>
      </c>
      <c r="R207" s="63">
        <v>0</v>
      </c>
      <c r="S207" s="63">
        <v>0</v>
      </c>
      <c r="T207" s="65">
        <v>17.3</v>
      </c>
      <c r="U207" s="64">
        <v>40</v>
      </c>
      <c r="V207" s="62">
        <v>10.7</v>
      </c>
      <c r="W207" s="63">
        <v>0</v>
      </c>
      <c r="X207" s="63">
        <v>0</v>
      </c>
      <c r="Y207" s="65">
        <v>11.5</v>
      </c>
      <c r="Z207" s="61">
        <v>39</v>
      </c>
      <c r="AA207" s="62">
        <v>10.8</v>
      </c>
      <c r="AB207" s="63">
        <v>0</v>
      </c>
      <c r="AC207" s="63">
        <v>0</v>
      </c>
      <c r="AD207" s="65">
        <v>9.1999999999999993</v>
      </c>
      <c r="AE207" s="64">
        <v>38</v>
      </c>
      <c r="AF207" s="62">
        <v>10.8</v>
      </c>
      <c r="AG207" s="63">
        <v>0</v>
      </c>
      <c r="AH207" s="63">
        <v>0</v>
      </c>
      <c r="AI207" s="65">
        <v>4.8</v>
      </c>
      <c r="AJ207" s="64">
        <v>37</v>
      </c>
      <c r="AK207" s="62">
        <v>10.9</v>
      </c>
      <c r="AL207" s="62">
        <v>0</v>
      </c>
      <c r="AM207" s="62">
        <v>0</v>
      </c>
      <c r="AN207" s="65">
        <v>9.6</v>
      </c>
      <c r="AO207" s="61">
        <v>36</v>
      </c>
      <c r="AP207" s="62">
        <v>11</v>
      </c>
      <c r="AQ207" s="62">
        <v>150</v>
      </c>
      <c r="AR207" s="62">
        <v>0</v>
      </c>
      <c r="AS207" s="65">
        <v>14</v>
      </c>
      <c r="AT207" s="64">
        <v>30</v>
      </c>
      <c r="AU207" s="65">
        <v>120</v>
      </c>
      <c r="AV207" s="64">
        <v>74.654136657714801</v>
      </c>
      <c r="AW207" s="65">
        <v>394.30917231241864</v>
      </c>
      <c r="AX207" s="8"/>
      <c r="AZ207" s="1">
        <v>90</v>
      </c>
      <c r="BB207" s="82">
        <f t="shared" si="16"/>
        <v>29.348800000000001</v>
      </c>
    </row>
    <row r="208" spans="3:54" ht="15" customHeight="1" x14ac:dyDescent="0.25">
      <c r="C208" s="42">
        <f>C196+1</f>
        <v>17</v>
      </c>
      <c r="D208" s="66">
        <f>DATE([3]Dash!$F$3,VLOOKUP([3]Dash!$E$3,[3]Abb!$C$3:$D$14,2,FALSE),C208)</f>
        <v>45733</v>
      </c>
      <c r="E208" s="67">
        <f>E207+2/24</f>
        <v>16.250000000000039</v>
      </c>
      <c r="F208" s="68">
        <f t="shared" si="17"/>
        <v>45733.250000000466</v>
      </c>
      <c r="G208" s="46">
        <v>40</v>
      </c>
      <c r="H208" s="47">
        <v>41</v>
      </c>
      <c r="I208" s="48">
        <v>10.6</v>
      </c>
      <c r="J208" s="48">
        <v>200</v>
      </c>
      <c r="K208" s="49">
        <v>0</v>
      </c>
      <c r="L208" s="50">
        <v>40</v>
      </c>
      <c r="M208" s="48">
        <v>10.5</v>
      </c>
      <c r="N208" s="48">
        <v>200</v>
      </c>
      <c r="O208" s="51">
        <v>0</v>
      </c>
      <c r="P208" s="47">
        <v>40</v>
      </c>
      <c r="Q208" s="48">
        <v>10.6</v>
      </c>
      <c r="R208" s="49">
        <v>0</v>
      </c>
      <c r="S208" s="49">
        <v>0</v>
      </c>
      <c r="T208" s="51">
        <v>17.3</v>
      </c>
      <c r="U208" s="50">
        <v>40</v>
      </c>
      <c r="V208" s="48">
        <v>10.7</v>
      </c>
      <c r="W208" s="49">
        <v>0</v>
      </c>
      <c r="X208" s="49">
        <v>0</v>
      </c>
      <c r="Y208" s="51">
        <v>15.38</v>
      </c>
      <c r="Z208" s="47">
        <v>39</v>
      </c>
      <c r="AA208" s="48">
        <v>10.8</v>
      </c>
      <c r="AB208" s="49">
        <v>0</v>
      </c>
      <c r="AC208" s="49">
        <v>0</v>
      </c>
      <c r="AD208" s="51">
        <v>4.8</v>
      </c>
      <c r="AE208" s="50">
        <v>38</v>
      </c>
      <c r="AF208" s="48">
        <v>10.8</v>
      </c>
      <c r="AG208" s="49">
        <v>0</v>
      </c>
      <c r="AH208" s="49">
        <v>0</v>
      </c>
      <c r="AI208" s="51">
        <v>8.65</v>
      </c>
      <c r="AJ208" s="50">
        <v>37</v>
      </c>
      <c r="AK208" s="48">
        <v>10.9</v>
      </c>
      <c r="AL208" s="48">
        <v>0</v>
      </c>
      <c r="AM208" s="48">
        <v>0</v>
      </c>
      <c r="AN208" s="51">
        <v>13.46</v>
      </c>
      <c r="AO208" s="47">
        <v>36</v>
      </c>
      <c r="AP208" s="48">
        <v>11</v>
      </c>
      <c r="AQ208" s="48">
        <v>150</v>
      </c>
      <c r="AR208" s="48">
        <v>0</v>
      </c>
      <c r="AS208" s="51">
        <v>8.65</v>
      </c>
      <c r="AT208" s="50">
        <v>31</v>
      </c>
      <c r="AU208" s="51">
        <v>110</v>
      </c>
      <c r="AV208" s="50">
        <v>73.79150390625</v>
      </c>
      <c r="AW208" s="51">
        <v>395.47417551676432</v>
      </c>
      <c r="AX208" s="8"/>
      <c r="AZ208" s="1">
        <v>90</v>
      </c>
      <c r="BB208" s="82">
        <f t="shared" si="16"/>
        <v>30.16208</v>
      </c>
    </row>
    <row r="209" spans="3:54" ht="15" customHeight="1" x14ac:dyDescent="0.25">
      <c r="C209" s="42"/>
      <c r="D209" s="43">
        <f>D208</f>
        <v>45733</v>
      </c>
      <c r="E209" s="44">
        <f>E208+2/24</f>
        <v>16.333333333333371</v>
      </c>
      <c r="F209" s="45">
        <f t="shared" si="17"/>
        <v>45733.333333333801</v>
      </c>
      <c r="G209" s="52">
        <v>36</v>
      </c>
      <c r="H209" s="53">
        <v>38</v>
      </c>
      <c r="I209" s="54">
        <v>10.199999999999999</v>
      </c>
      <c r="J209" s="54">
        <v>250</v>
      </c>
      <c r="K209" s="55">
        <v>0</v>
      </c>
      <c r="L209" s="56">
        <v>39</v>
      </c>
      <c r="M209" s="54">
        <v>10.6</v>
      </c>
      <c r="N209" s="54">
        <v>250</v>
      </c>
      <c r="O209" s="57">
        <v>0</v>
      </c>
      <c r="P209" s="53">
        <v>42</v>
      </c>
      <c r="Q209" s="54">
        <v>10.6</v>
      </c>
      <c r="R209" s="55">
        <v>0</v>
      </c>
      <c r="S209" s="55">
        <v>0</v>
      </c>
      <c r="T209" s="57">
        <v>17.3</v>
      </c>
      <c r="U209" s="56">
        <v>40</v>
      </c>
      <c r="V209" s="54">
        <v>10.8</v>
      </c>
      <c r="W209" s="55">
        <v>0</v>
      </c>
      <c r="X209" s="55">
        <v>0</v>
      </c>
      <c r="Y209" s="57">
        <v>15.38</v>
      </c>
      <c r="Z209" s="53">
        <v>41</v>
      </c>
      <c r="AA209" s="54">
        <v>10.7</v>
      </c>
      <c r="AB209" s="55">
        <v>0</v>
      </c>
      <c r="AC209" s="55">
        <v>0</v>
      </c>
      <c r="AD209" s="57">
        <v>6.7</v>
      </c>
      <c r="AE209" s="56">
        <v>40</v>
      </c>
      <c r="AF209" s="54">
        <v>10.9</v>
      </c>
      <c r="AG209" s="55">
        <v>0</v>
      </c>
      <c r="AH209" s="55">
        <v>0</v>
      </c>
      <c r="AI209" s="57">
        <v>10.19</v>
      </c>
      <c r="AJ209" s="56">
        <v>38</v>
      </c>
      <c r="AK209" s="54">
        <v>10.9</v>
      </c>
      <c r="AL209" s="54">
        <v>0</v>
      </c>
      <c r="AM209" s="54">
        <v>0</v>
      </c>
      <c r="AN209" s="57">
        <v>10</v>
      </c>
      <c r="AO209" s="53">
        <v>40</v>
      </c>
      <c r="AP209" s="54">
        <v>11.1</v>
      </c>
      <c r="AQ209" s="54">
        <v>150</v>
      </c>
      <c r="AR209" s="54">
        <v>0</v>
      </c>
      <c r="AS209" s="57">
        <v>11.15</v>
      </c>
      <c r="AT209" s="56">
        <v>34</v>
      </c>
      <c r="AU209" s="57">
        <v>130</v>
      </c>
      <c r="AV209" s="56">
        <v>74.532066345214801</v>
      </c>
      <c r="AW209" s="57">
        <v>393.92192306518552</v>
      </c>
      <c r="AX209" s="8"/>
      <c r="AZ209" s="1">
        <v>90</v>
      </c>
      <c r="BB209" s="82">
        <f t="shared" ref="BB209:BB272" si="23">((T209*442)+(Y209*442)+(AD209*442)+(AI209*442)+(AN209*442)+(AS209*442))/1000</f>
        <v>31.258240000000001</v>
      </c>
    </row>
    <row r="210" spans="3:54" ht="15" customHeight="1" x14ac:dyDescent="0.25">
      <c r="C210" s="42"/>
      <c r="D210" s="43">
        <f>D208</f>
        <v>45733</v>
      </c>
      <c r="E210" s="44">
        <f t="shared" ref="E210:E219" si="24">E209+2/24</f>
        <v>16.416666666666703</v>
      </c>
      <c r="F210" s="45">
        <f t="shared" ref="F210:F273" si="25">F209+(E210-E209)</f>
        <v>45733.416666667137</v>
      </c>
      <c r="G210" s="52">
        <v>34</v>
      </c>
      <c r="H210" s="53">
        <v>37</v>
      </c>
      <c r="I210" s="54">
        <v>10.3</v>
      </c>
      <c r="J210" s="54">
        <v>200</v>
      </c>
      <c r="K210" s="55">
        <v>0</v>
      </c>
      <c r="L210" s="56">
        <v>40</v>
      </c>
      <c r="M210" s="54">
        <v>10.3</v>
      </c>
      <c r="N210" s="54">
        <v>200</v>
      </c>
      <c r="O210" s="57">
        <v>0</v>
      </c>
      <c r="P210" s="53">
        <v>42</v>
      </c>
      <c r="Q210" s="54">
        <v>10.4</v>
      </c>
      <c r="R210" s="55">
        <v>0</v>
      </c>
      <c r="S210" s="55">
        <v>0</v>
      </c>
      <c r="T210" s="57">
        <v>17.3</v>
      </c>
      <c r="U210" s="56">
        <v>41</v>
      </c>
      <c r="V210" s="54">
        <v>10.8</v>
      </c>
      <c r="W210" s="55">
        <v>0</v>
      </c>
      <c r="X210" s="55">
        <v>0</v>
      </c>
      <c r="Y210" s="57">
        <v>15.19</v>
      </c>
      <c r="Z210" s="53">
        <v>41</v>
      </c>
      <c r="AA210" s="54">
        <v>10.6</v>
      </c>
      <c r="AB210" s="55">
        <v>0</v>
      </c>
      <c r="AC210" s="55">
        <v>0</v>
      </c>
      <c r="AD210" s="57">
        <v>6.92</v>
      </c>
      <c r="AE210" s="56">
        <v>40</v>
      </c>
      <c r="AF210" s="54">
        <v>10.9</v>
      </c>
      <c r="AG210" s="55">
        <v>0</v>
      </c>
      <c r="AH210" s="55">
        <v>0</v>
      </c>
      <c r="AI210" s="57">
        <v>10.57</v>
      </c>
      <c r="AJ210" s="56">
        <v>39</v>
      </c>
      <c r="AK210" s="54">
        <v>11</v>
      </c>
      <c r="AL210" s="54">
        <v>0</v>
      </c>
      <c r="AM210" s="54">
        <v>0</v>
      </c>
      <c r="AN210" s="57">
        <v>9.8000000000000007</v>
      </c>
      <c r="AO210" s="53">
        <v>40</v>
      </c>
      <c r="AP210" s="54">
        <v>11.1</v>
      </c>
      <c r="AQ210" s="54">
        <v>160</v>
      </c>
      <c r="AR210" s="54">
        <v>0</v>
      </c>
      <c r="AS210" s="57">
        <v>11.53</v>
      </c>
      <c r="AT210" s="56">
        <v>33</v>
      </c>
      <c r="AU210" s="57">
        <v>110</v>
      </c>
      <c r="AV210" s="56">
        <v>74.422203063964801</v>
      </c>
      <c r="AW210" s="57">
        <v>394.09674021402992</v>
      </c>
      <c r="AX210" s="8"/>
      <c r="AZ210" s="1">
        <v>90</v>
      </c>
      <c r="BB210" s="82">
        <f t="shared" si="23"/>
        <v>31.519020000000001</v>
      </c>
    </row>
    <row r="211" spans="3:54" ht="15" customHeight="1" x14ac:dyDescent="0.25">
      <c r="C211" s="42"/>
      <c r="D211" s="43">
        <f>D208</f>
        <v>45733</v>
      </c>
      <c r="E211" s="44">
        <f t="shared" si="24"/>
        <v>16.500000000000036</v>
      </c>
      <c r="F211" s="45">
        <f t="shared" si="25"/>
        <v>45733.500000000473</v>
      </c>
      <c r="G211" s="52">
        <v>36</v>
      </c>
      <c r="H211" s="53">
        <v>38</v>
      </c>
      <c r="I211" s="54">
        <v>10.7</v>
      </c>
      <c r="J211" s="54">
        <v>200</v>
      </c>
      <c r="K211" s="55">
        <v>0</v>
      </c>
      <c r="L211" s="56">
        <v>40</v>
      </c>
      <c r="M211" s="54">
        <v>10.5</v>
      </c>
      <c r="N211" s="54">
        <v>250</v>
      </c>
      <c r="O211" s="57">
        <v>0</v>
      </c>
      <c r="P211" s="53">
        <v>40</v>
      </c>
      <c r="Q211" s="54">
        <v>10.3</v>
      </c>
      <c r="R211" s="55">
        <v>0</v>
      </c>
      <c r="S211" s="55">
        <v>0</v>
      </c>
      <c r="T211" s="57">
        <v>17.11</v>
      </c>
      <c r="U211" s="56">
        <v>40</v>
      </c>
      <c r="V211" s="54">
        <v>10.199999999999999</v>
      </c>
      <c r="W211" s="55">
        <v>0</v>
      </c>
      <c r="X211" s="55">
        <v>0</v>
      </c>
      <c r="Y211" s="57">
        <v>15.38</v>
      </c>
      <c r="Z211" s="53">
        <v>40</v>
      </c>
      <c r="AA211" s="54">
        <v>10.3</v>
      </c>
      <c r="AB211" s="55">
        <v>0</v>
      </c>
      <c r="AC211" s="55">
        <v>0</v>
      </c>
      <c r="AD211" s="57">
        <v>6.73</v>
      </c>
      <c r="AE211" s="56">
        <v>40</v>
      </c>
      <c r="AF211" s="54">
        <v>10.7</v>
      </c>
      <c r="AG211" s="55">
        <v>0</v>
      </c>
      <c r="AH211" s="55">
        <v>0</v>
      </c>
      <c r="AI211" s="57">
        <v>10.19</v>
      </c>
      <c r="AJ211" s="56">
        <v>39</v>
      </c>
      <c r="AK211" s="54">
        <v>10.6</v>
      </c>
      <c r="AL211" s="54">
        <v>0</v>
      </c>
      <c r="AM211" s="54">
        <v>0</v>
      </c>
      <c r="AN211" s="57">
        <v>9.61</v>
      </c>
      <c r="AO211" s="53">
        <v>40</v>
      </c>
      <c r="AP211" s="54">
        <v>10.8</v>
      </c>
      <c r="AQ211" s="54">
        <v>150</v>
      </c>
      <c r="AR211" s="54">
        <v>0</v>
      </c>
      <c r="AS211" s="57">
        <v>11.73</v>
      </c>
      <c r="AT211" s="56">
        <v>35</v>
      </c>
      <c r="AU211" s="57">
        <v>90</v>
      </c>
      <c r="AV211" s="56">
        <v>73.946121215820298</v>
      </c>
      <c r="AW211" s="57">
        <v>393.35515543619789</v>
      </c>
      <c r="AX211" s="8"/>
      <c r="AZ211" s="1">
        <v>90</v>
      </c>
      <c r="BB211" s="82">
        <f t="shared" si="23"/>
        <v>31.2715</v>
      </c>
    </row>
    <row r="212" spans="3:54" ht="15" customHeight="1" x14ac:dyDescent="0.25">
      <c r="C212" s="42"/>
      <c r="D212" s="43">
        <f>D208</f>
        <v>45733</v>
      </c>
      <c r="E212" s="44">
        <f t="shared" si="24"/>
        <v>16.583333333333368</v>
      </c>
      <c r="F212" s="45">
        <f t="shared" si="25"/>
        <v>45733.583333333809</v>
      </c>
      <c r="G212" s="52">
        <v>40</v>
      </c>
      <c r="H212" s="53">
        <v>40</v>
      </c>
      <c r="I212" s="54">
        <v>10.1</v>
      </c>
      <c r="J212" s="54">
        <v>200</v>
      </c>
      <c r="K212" s="55">
        <v>0</v>
      </c>
      <c r="L212" s="56">
        <v>41</v>
      </c>
      <c r="M212" s="54">
        <v>10.1</v>
      </c>
      <c r="N212" s="54">
        <v>250</v>
      </c>
      <c r="O212" s="57">
        <v>0</v>
      </c>
      <c r="P212" s="53">
        <v>41</v>
      </c>
      <c r="Q212" s="54">
        <v>10.3</v>
      </c>
      <c r="R212" s="55">
        <v>0</v>
      </c>
      <c r="S212" s="55">
        <v>0</v>
      </c>
      <c r="T212" s="57">
        <v>16.920000000000002</v>
      </c>
      <c r="U212" s="56">
        <v>40</v>
      </c>
      <c r="V212" s="54">
        <v>10.4</v>
      </c>
      <c r="W212" s="55">
        <v>0</v>
      </c>
      <c r="X212" s="55">
        <v>0</v>
      </c>
      <c r="Y212" s="57">
        <v>15.57</v>
      </c>
      <c r="Z212" s="53">
        <v>40</v>
      </c>
      <c r="AA212" s="54">
        <v>10.5</v>
      </c>
      <c r="AB212" s="55">
        <v>0</v>
      </c>
      <c r="AC212" s="55">
        <v>0</v>
      </c>
      <c r="AD212" s="57">
        <v>9.61</v>
      </c>
      <c r="AE212" s="56">
        <v>40</v>
      </c>
      <c r="AF212" s="54">
        <v>10.6</v>
      </c>
      <c r="AG212" s="55">
        <v>0</v>
      </c>
      <c r="AH212" s="55">
        <v>0</v>
      </c>
      <c r="AI212" s="57">
        <v>7.3</v>
      </c>
      <c r="AJ212" s="56">
        <v>39</v>
      </c>
      <c r="AK212" s="54">
        <v>10.8</v>
      </c>
      <c r="AL212" s="54">
        <v>0</v>
      </c>
      <c r="AM212" s="54">
        <v>0</v>
      </c>
      <c r="AN212" s="57">
        <v>10.57</v>
      </c>
      <c r="AO212" s="53">
        <v>39</v>
      </c>
      <c r="AP212" s="54">
        <v>10.9</v>
      </c>
      <c r="AQ212" s="54">
        <v>140</v>
      </c>
      <c r="AR212" s="54">
        <v>0</v>
      </c>
      <c r="AS212" s="57">
        <v>11.92</v>
      </c>
      <c r="AT212" s="56">
        <v>34</v>
      </c>
      <c r="AU212" s="57">
        <v>100</v>
      </c>
      <c r="AV212" s="56">
        <v>74.088539123535199</v>
      </c>
      <c r="AW212" s="57">
        <v>392.97911834716797</v>
      </c>
      <c r="AX212" s="8"/>
      <c r="AZ212" s="1">
        <v>90</v>
      </c>
      <c r="BB212" s="82">
        <f t="shared" si="23"/>
        <v>31.775379999999998</v>
      </c>
    </row>
    <row r="213" spans="3:54" ht="15" customHeight="1" x14ac:dyDescent="0.25">
      <c r="C213" s="42"/>
      <c r="D213" s="43">
        <f>D208</f>
        <v>45733</v>
      </c>
      <c r="E213" s="44">
        <f t="shared" si="24"/>
        <v>16.6666666666667</v>
      </c>
      <c r="F213" s="45">
        <f t="shared" si="25"/>
        <v>45733.666666667144</v>
      </c>
      <c r="G213" s="52">
        <v>38</v>
      </c>
      <c r="H213" s="53">
        <v>37</v>
      </c>
      <c r="I213" s="54">
        <v>10.1</v>
      </c>
      <c r="J213" s="54">
        <v>200</v>
      </c>
      <c r="K213" s="55">
        <v>0</v>
      </c>
      <c r="L213" s="56">
        <v>38</v>
      </c>
      <c r="M213" s="54">
        <v>10.1</v>
      </c>
      <c r="N213" s="54">
        <v>250</v>
      </c>
      <c r="O213" s="57">
        <v>0</v>
      </c>
      <c r="P213" s="53">
        <v>40</v>
      </c>
      <c r="Q213" s="54">
        <v>10.3</v>
      </c>
      <c r="R213" s="55">
        <v>0</v>
      </c>
      <c r="S213" s="55">
        <v>0</v>
      </c>
      <c r="T213" s="57">
        <v>17.3</v>
      </c>
      <c r="U213" s="56">
        <v>41</v>
      </c>
      <c r="V213" s="54">
        <v>10.3</v>
      </c>
      <c r="W213" s="55">
        <v>0</v>
      </c>
      <c r="X213" s="55">
        <v>0</v>
      </c>
      <c r="Y213" s="57">
        <v>15.76</v>
      </c>
      <c r="Z213" s="53">
        <v>41</v>
      </c>
      <c r="AA213" s="54">
        <v>10.4</v>
      </c>
      <c r="AB213" s="55">
        <v>0</v>
      </c>
      <c r="AC213" s="55">
        <v>0</v>
      </c>
      <c r="AD213" s="57">
        <v>12.5</v>
      </c>
      <c r="AE213" s="56">
        <v>37</v>
      </c>
      <c r="AF213" s="54">
        <v>10.5</v>
      </c>
      <c r="AG213" s="55">
        <v>0</v>
      </c>
      <c r="AH213" s="55">
        <v>0</v>
      </c>
      <c r="AI213" s="57">
        <v>4.8</v>
      </c>
      <c r="AJ213" s="56">
        <v>40</v>
      </c>
      <c r="AK213" s="54">
        <v>10.7</v>
      </c>
      <c r="AL213" s="54">
        <v>0</v>
      </c>
      <c r="AM213" s="54">
        <v>0</v>
      </c>
      <c r="AN213" s="57">
        <v>10.57</v>
      </c>
      <c r="AO213" s="53">
        <v>40</v>
      </c>
      <c r="AP213" s="54">
        <v>10.7</v>
      </c>
      <c r="AQ213" s="54">
        <v>150</v>
      </c>
      <c r="AR213" s="54">
        <v>0</v>
      </c>
      <c r="AS213" s="57">
        <v>10.57</v>
      </c>
      <c r="AT213" s="56">
        <v>35</v>
      </c>
      <c r="AU213" s="57">
        <v>120</v>
      </c>
      <c r="AV213" s="56">
        <v>92.9443359375</v>
      </c>
      <c r="AW213" s="57">
        <v>353.16442464192716</v>
      </c>
      <c r="AX213" s="8"/>
      <c r="AZ213" s="1">
        <v>90</v>
      </c>
      <c r="BB213" s="82">
        <f t="shared" si="23"/>
        <v>31.603000000000002</v>
      </c>
    </row>
    <row r="214" spans="3:54" ht="15" customHeight="1" x14ac:dyDescent="0.25">
      <c r="C214" s="42"/>
      <c r="D214" s="43">
        <f>D208</f>
        <v>45733</v>
      </c>
      <c r="E214" s="44">
        <f t="shared" si="24"/>
        <v>16.750000000000032</v>
      </c>
      <c r="F214" s="45">
        <f t="shared" si="25"/>
        <v>45733.75000000048</v>
      </c>
      <c r="G214" s="52">
        <v>40</v>
      </c>
      <c r="H214" s="53">
        <v>40</v>
      </c>
      <c r="I214" s="54">
        <v>10.1</v>
      </c>
      <c r="J214" s="54">
        <v>200</v>
      </c>
      <c r="K214" s="55">
        <v>0</v>
      </c>
      <c r="L214" s="56">
        <v>40</v>
      </c>
      <c r="M214" s="54">
        <v>10.1</v>
      </c>
      <c r="N214" s="54">
        <v>250</v>
      </c>
      <c r="O214" s="57">
        <v>0</v>
      </c>
      <c r="P214" s="53">
        <v>41</v>
      </c>
      <c r="Q214" s="54">
        <v>10.199999999999999</v>
      </c>
      <c r="R214" s="55">
        <v>0</v>
      </c>
      <c r="S214" s="55">
        <v>0</v>
      </c>
      <c r="T214" s="57">
        <v>17.3</v>
      </c>
      <c r="U214" s="56">
        <v>41</v>
      </c>
      <c r="V214" s="54">
        <v>10.3</v>
      </c>
      <c r="W214" s="55">
        <v>0</v>
      </c>
      <c r="X214" s="55">
        <v>0</v>
      </c>
      <c r="Y214" s="57">
        <v>15.38</v>
      </c>
      <c r="Z214" s="53">
        <v>40</v>
      </c>
      <c r="AA214" s="54">
        <v>10.4</v>
      </c>
      <c r="AB214" s="55">
        <v>0</v>
      </c>
      <c r="AC214" s="55">
        <v>0</v>
      </c>
      <c r="AD214" s="57">
        <v>12.5</v>
      </c>
      <c r="AE214" s="56">
        <v>38</v>
      </c>
      <c r="AF214" s="54">
        <v>10.5</v>
      </c>
      <c r="AG214" s="55">
        <v>0</v>
      </c>
      <c r="AH214" s="55">
        <v>0</v>
      </c>
      <c r="AI214" s="57">
        <v>7.3</v>
      </c>
      <c r="AJ214" s="56">
        <v>41</v>
      </c>
      <c r="AK214" s="54">
        <v>10.7</v>
      </c>
      <c r="AL214" s="54">
        <v>0</v>
      </c>
      <c r="AM214" s="54">
        <v>0</v>
      </c>
      <c r="AN214" s="57">
        <v>8.65</v>
      </c>
      <c r="AO214" s="53">
        <v>40</v>
      </c>
      <c r="AP214" s="54">
        <v>10.7</v>
      </c>
      <c r="AQ214" s="54">
        <v>150</v>
      </c>
      <c r="AR214" s="54">
        <v>0</v>
      </c>
      <c r="AS214" s="57">
        <v>11.15</v>
      </c>
      <c r="AT214" s="56">
        <v>35</v>
      </c>
      <c r="AU214" s="57">
        <v>130</v>
      </c>
      <c r="AV214" s="56">
        <v>92.671707153320298</v>
      </c>
      <c r="AW214" s="57">
        <v>357.93788630167643</v>
      </c>
      <c r="AX214" s="8"/>
      <c r="AZ214" s="1">
        <v>90</v>
      </c>
      <c r="BB214" s="82">
        <f t="shared" si="23"/>
        <v>31.947759999999999</v>
      </c>
    </row>
    <row r="215" spans="3:54" ht="15" customHeight="1" x14ac:dyDescent="0.25">
      <c r="C215" s="42"/>
      <c r="D215" s="43">
        <f>D208</f>
        <v>45733</v>
      </c>
      <c r="E215" s="44">
        <f t="shared" si="24"/>
        <v>16.833333333333364</v>
      </c>
      <c r="F215" s="45">
        <f t="shared" si="25"/>
        <v>45733.833333333816</v>
      </c>
      <c r="G215" s="52">
        <v>37</v>
      </c>
      <c r="H215" s="53">
        <v>35</v>
      </c>
      <c r="I215" s="54">
        <v>10.6</v>
      </c>
      <c r="J215" s="54">
        <v>250</v>
      </c>
      <c r="K215" s="55">
        <v>0</v>
      </c>
      <c r="L215" s="56">
        <v>35</v>
      </c>
      <c r="M215" s="54">
        <v>10.199999999999999</v>
      </c>
      <c r="N215" s="54">
        <v>250</v>
      </c>
      <c r="O215" s="57">
        <v>0</v>
      </c>
      <c r="P215" s="53">
        <v>39</v>
      </c>
      <c r="Q215" s="54">
        <v>10.199999999999999</v>
      </c>
      <c r="R215" s="55">
        <v>0</v>
      </c>
      <c r="S215" s="55">
        <v>0</v>
      </c>
      <c r="T215" s="57">
        <v>18.84</v>
      </c>
      <c r="U215" s="56">
        <v>37</v>
      </c>
      <c r="V215" s="54">
        <v>10.3</v>
      </c>
      <c r="W215" s="55">
        <v>0</v>
      </c>
      <c r="X215" s="55">
        <v>0</v>
      </c>
      <c r="Y215" s="57">
        <v>15.38</v>
      </c>
      <c r="Z215" s="53">
        <v>36</v>
      </c>
      <c r="AA215" s="54">
        <v>10.4</v>
      </c>
      <c r="AB215" s="55">
        <v>0</v>
      </c>
      <c r="AC215" s="55">
        <v>0</v>
      </c>
      <c r="AD215" s="57">
        <v>11.58</v>
      </c>
      <c r="AE215" s="56">
        <v>38</v>
      </c>
      <c r="AF215" s="54">
        <v>10.5</v>
      </c>
      <c r="AG215" s="55">
        <v>0</v>
      </c>
      <c r="AH215" s="55">
        <v>0</v>
      </c>
      <c r="AI215" s="57">
        <v>9.61</v>
      </c>
      <c r="AJ215" s="56">
        <v>36</v>
      </c>
      <c r="AK215" s="54">
        <v>10.5</v>
      </c>
      <c r="AL215" s="54">
        <v>0</v>
      </c>
      <c r="AM215" s="54">
        <v>0</v>
      </c>
      <c r="AN215" s="57">
        <v>4.8</v>
      </c>
      <c r="AO215" s="53">
        <v>36</v>
      </c>
      <c r="AP215" s="54">
        <v>10.6</v>
      </c>
      <c r="AQ215" s="54">
        <v>150</v>
      </c>
      <c r="AR215" s="54">
        <v>0</v>
      </c>
      <c r="AS215" s="57">
        <v>14.42</v>
      </c>
      <c r="AT215" s="56">
        <v>31</v>
      </c>
      <c r="AU215" s="57">
        <v>130</v>
      </c>
      <c r="AV215" s="56">
        <v>92.4072265625</v>
      </c>
      <c r="AW215" s="57">
        <v>362.28913396199545</v>
      </c>
      <c r="AX215" s="8"/>
      <c r="AZ215" s="1">
        <v>90</v>
      </c>
      <c r="BB215" s="82">
        <f t="shared" si="23"/>
        <v>32.986460000000001</v>
      </c>
    </row>
    <row r="216" spans="3:54" ht="15" customHeight="1" x14ac:dyDescent="0.25">
      <c r="C216" s="42"/>
      <c r="D216" s="43">
        <f>D208</f>
        <v>45733</v>
      </c>
      <c r="E216" s="44">
        <f t="shared" si="24"/>
        <v>16.916666666666696</v>
      </c>
      <c r="F216" s="45">
        <f t="shared" si="25"/>
        <v>45733.916666667152</v>
      </c>
      <c r="G216" s="52">
        <v>36</v>
      </c>
      <c r="H216" s="53">
        <v>37</v>
      </c>
      <c r="I216" s="54">
        <v>10.3</v>
      </c>
      <c r="J216" s="54">
        <v>250</v>
      </c>
      <c r="K216" s="55">
        <v>0</v>
      </c>
      <c r="L216" s="56">
        <v>38</v>
      </c>
      <c r="M216" s="54">
        <v>10.199999999999999</v>
      </c>
      <c r="N216" s="54">
        <v>300</v>
      </c>
      <c r="O216" s="57">
        <v>0</v>
      </c>
      <c r="P216" s="53">
        <v>37</v>
      </c>
      <c r="Q216" s="54">
        <v>10.3</v>
      </c>
      <c r="R216" s="55">
        <v>0</v>
      </c>
      <c r="S216" s="55">
        <v>0</v>
      </c>
      <c r="T216" s="57">
        <v>18.260000000000002</v>
      </c>
      <c r="U216" s="56">
        <v>37</v>
      </c>
      <c r="V216" s="54">
        <v>10.3</v>
      </c>
      <c r="W216" s="55">
        <v>0</v>
      </c>
      <c r="X216" s="55">
        <v>0</v>
      </c>
      <c r="Y216" s="57">
        <v>17.3</v>
      </c>
      <c r="Z216" s="53">
        <v>37</v>
      </c>
      <c r="AA216" s="54">
        <v>10.3</v>
      </c>
      <c r="AB216" s="55">
        <v>0</v>
      </c>
      <c r="AC216" s="55">
        <v>0</v>
      </c>
      <c r="AD216" s="57">
        <v>15.38</v>
      </c>
      <c r="AE216" s="56">
        <v>36</v>
      </c>
      <c r="AF216" s="54">
        <v>10.4</v>
      </c>
      <c r="AG216" s="55">
        <v>0</v>
      </c>
      <c r="AH216" s="55">
        <v>0</v>
      </c>
      <c r="AI216" s="57">
        <v>6.73</v>
      </c>
      <c r="AJ216" s="56">
        <v>36</v>
      </c>
      <c r="AK216" s="54">
        <v>10.4</v>
      </c>
      <c r="AL216" s="54">
        <v>0</v>
      </c>
      <c r="AM216" s="54">
        <v>0</v>
      </c>
      <c r="AN216" s="57">
        <v>9.61</v>
      </c>
      <c r="AO216" s="53">
        <v>37</v>
      </c>
      <c r="AP216" s="54">
        <v>10.5</v>
      </c>
      <c r="AQ216" s="54">
        <v>150</v>
      </c>
      <c r="AR216" s="54">
        <v>0</v>
      </c>
      <c r="AS216" s="57">
        <v>13.46</v>
      </c>
      <c r="AT216" s="56">
        <v>29</v>
      </c>
      <c r="AU216" s="57">
        <v>130</v>
      </c>
      <c r="AV216" s="56">
        <v>92.110183715820298</v>
      </c>
      <c r="AW216" s="57">
        <v>367.25549799601237</v>
      </c>
      <c r="AX216" s="8"/>
      <c r="AZ216" s="1">
        <v>90</v>
      </c>
      <c r="BB216" s="82">
        <f t="shared" si="23"/>
        <v>35.687080000000002</v>
      </c>
    </row>
    <row r="217" spans="3:54" ht="15" customHeight="1" x14ac:dyDescent="0.25">
      <c r="C217" s="42"/>
      <c r="D217" s="43">
        <f>D208</f>
        <v>45733</v>
      </c>
      <c r="E217" s="44">
        <f t="shared" si="24"/>
        <v>17.000000000000028</v>
      </c>
      <c r="F217" s="45">
        <f t="shared" si="25"/>
        <v>45734.000000000487</v>
      </c>
      <c r="G217" s="52">
        <v>37</v>
      </c>
      <c r="H217" s="53">
        <v>37</v>
      </c>
      <c r="I217" s="54">
        <v>10.3</v>
      </c>
      <c r="J217" s="54">
        <v>200</v>
      </c>
      <c r="K217" s="55">
        <v>0</v>
      </c>
      <c r="L217" s="56">
        <v>37</v>
      </c>
      <c r="M217" s="54">
        <v>10.3</v>
      </c>
      <c r="N217" s="54">
        <v>300</v>
      </c>
      <c r="O217" s="57">
        <v>0</v>
      </c>
      <c r="P217" s="53">
        <v>37</v>
      </c>
      <c r="Q217" s="54">
        <v>10.3</v>
      </c>
      <c r="R217" s="55">
        <v>0</v>
      </c>
      <c r="S217" s="55">
        <v>0</v>
      </c>
      <c r="T217" s="57">
        <v>17.690000000000001</v>
      </c>
      <c r="U217" s="56">
        <v>37</v>
      </c>
      <c r="V217" s="54">
        <v>10.3</v>
      </c>
      <c r="W217" s="55">
        <v>0</v>
      </c>
      <c r="X217" s="55">
        <v>0</v>
      </c>
      <c r="Y217" s="57">
        <v>15.76</v>
      </c>
      <c r="Z217" s="53">
        <v>36</v>
      </c>
      <c r="AA217" s="54">
        <v>10.3</v>
      </c>
      <c r="AB217" s="55">
        <v>0</v>
      </c>
      <c r="AC217" s="55">
        <v>0</v>
      </c>
      <c r="AD217" s="57">
        <v>15</v>
      </c>
      <c r="AE217" s="56">
        <v>36</v>
      </c>
      <c r="AF217" s="54">
        <v>10.3</v>
      </c>
      <c r="AG217" s="55">
        <v>0</v>
      </c>
      <c r="AH217" s="55">
        <v>0</v>
      </c>
      <c r="AI217" s="57">
        <v>10.57</v>
      </c>
      <c r="AJ217" s="56">
        <v>36</v>
      </c>
      <c r="AK217" s="54">
        <v>10.4</v>
      </c>
      <c r="AL217" s="54">
        <v>0</v>
      </c>
      <c r="AM217" s="54">
        <v>0</v>
      </c>
      <c r="AN217" s="57">
        <v>8.65</v>
      </c>
      <c r="AO217" s="53">
        <v>37</v>
      </c>
      <c r="AP217" s="54">
        <v>10.5</v>
      </c>
      <c r="AQ217" s="54">
        <v>150</v>
      </c>
      <c r="AR217" s="54">
        <v>0</v>
      </c>
      <c r="AS217" s="57">
        <v>12.5</v>
      </c>
      <c r="AT217" s="56">
        <v>30</v>
      </c>
      <c r="AU217" s="57">
        <v>140</v>
      </c>
      <c r="AV217" s="56">
        <v>91.166175842285199</v>
      </c>
      <c r="AW217" s="57">
        <v>369.25479965209962</v>
      </c>
      <c r="AX217" s="8"/>
      <c r="AZ217" s="1">
        <v>90</v>
      </c>
      <c r="BB217" s="82">
        <f t="shared" si="23"/>
        <v>35.435139999999997</v>
      </c>
    </row>
    <row r="218" spans="3:54" ht="15" customHeight="1" x14ac:dyDescent="0.25">
      <c r="C218" s="42"/>
      <c r="D218" s="43">
        <f>D208</f>
        <v>45733</v>
      </c>
      <c r="E218" s="44">
        <f t="shared" si="24"/>
        <v>17.083333333333361</v>
      </c>
      <c r="F218" s="45">
        <f t="shared" si="25"/>
        <v>45734.083333333823</v>
      </c>
      <c r="G218" s="52">
        <v>38</v>
      </c>
      <c r="H218" s="53">
        <v>37</v>
      </c>
      <c r="I218" s="54">
        <v>9.8000000000000007</v>
      </c>
      <c r="J218" s="54">
        <v>200</v>
      </c>
      <c r="K218" s="55">
        <v>0</v>
      </c>
      <c r="L218" s="56">
        <v>36</v>
      </c>
      <c r="M218" s="54">
        <v>10.1</v>
      </c>
      <c r="N218" s="54">
        <v>250</v>
      </c>
      <c r="O218" s="57">
        <v>0</v>
      </c>
      <c r="P218" s="53">
        <v>37</v>
      </c>
      <c r="Q218" s="54">
        <v>10</v>
      </c>
      <c r="R218" s="55">
        <v>0</v>
      </c>
      <c r="S218" s="55">
        <v>0</v>
      </c>
      <c r="T218" s="57">
        <v>17.3</v>
      </c>
      <c r="U218" s="56">
        <v>37</v>
      </c>
      <c r="V218" s="54">
        <v>10.199999999999999</v>
      </c>
      <c r="W218" s="55">
        <v>0</v>
      </c>
      <c r="X218" s="55">
        <v>0</v>
      </c>
      <c r="Y218" s="57">
        <v>15.38</v>
      </c>
      <c r="Z218" s="53">
        <v>36</v>
      </c>
      <c r="AA218" s="54">
        <v>10.199999999999999</v>
      </c>
      <c r="AB218" s="55">
        <v>0</v>
      </c>
      <c r="AC218" s="55">
        <v>0</v>
      </c>
      <c r="AD218" s="57">
        <v>16.34</v>
      </c>
      <c r="AE218" s="56">
        <v>36</v>
      </c>
      <c r="AF218" s="54">
        <v>10.3</v>
      </c>
      <c r="AG218" s="55">
        <v>0</v>
      </c>
      <c r="AH218" s="55">
        <v>0</v>
      </c>
      <c r="AI218" s="57">
        <v>11.53</v>
      </c>
      <c r="AJ218" s="56">
        <v>37</v>
      </c>
      <c r="AK218" s="54">
        <v>10.4</v>
      </c>
      <c r="AL218" s="54">
        <v>0</v>
      </c>
      <c r="AM218" s="54">
        <v>0</v>
      </c>
      <c r="AN218" s="57">
        <v>9.61</v>
      </c>
      <c r="AO218" s="53">
        <v>38</v>
      </c>
      <c r="AP218" s="54">
        <v>10.5</v>
      </c>
      <c r="AQ218" s="54">
        <v>150</v>
      </c>
      <c r="AR218" s="54">
        <v>0</v>
      </c>
      <c r="AS218" s="57">
        <v>11.53</v>
      </c>
      <c r="AT218" s="56">
        <v>31</v>
      </c>
      <c r="AU218" s="57">
        <v>120</v>
      </c>
      <c r="AV218" s="56">
        <v>91.084793090820298</v>
      </c>
      <c r="AW218" s="57">
        <v>369.71872584025067</v>
      </c>
      <c r="AX218" s="8"/>
      <c r="AZ218" s="1">
        <v>90</v>
      </c>
      <c r="BB218" s="82">
        <f t="shared" si="23"/>
        <v>36.106979999999993</v>
      </c>
    </row>
    <row r="219" spans="3:54" ht="15" customHeight="1" x14ac:dyDescent="0.25">
      <c r="C219" s="42"/>
      <c r="D219" s="69">
        <f>D208</f>
        <v>45733</v>
      </c>
      <c r="E219" s="70">
        <f t="shared" si="24"/>
        <v>17.166666666666693</v>
      </c>
      <c r="F219" s="71">
        <f t="shared" si="25"/>
        <v>45734.166666667159</v>
      </c>
      <c r="G219" s="60">
        <v>39</v>
      </c>
      <c r="H219" s="61">
        <v>36</v>
      </c>
      <c r="I219" s="62">
        <v>9.6</v>
      </c>
      <c r="J219" s="62">
        <v>250</v>
      </c>
      <c r="K219" s="63">
        <v>0</v>
      </c>
      <c r="L219" s="64">
        <v>36</v>
      </c>
      <c r="M219" s="62">
        <v>10</v>
      </c>
      <c r="N219" s="62">
        <v>300</v>
      </c>
      <c r="O219" s="65">
        <v>0</v>
      </c>
      <c r="P219" s="61">
        <v>37</v>
      </c>
      <c r="Q219" s="62">
        <v>10</v>
      </c>
      <c r="R219" s="63">
        <v>0</v>
      </c>
      <c r="S219" s="63">
        <v>0</v>
      </c>
      <c r="T219" s="65">
        <v>18.07</v>
      </c>
      <c r="U219" s="64">
        <v>37</v>
      </c>
      <c r="V219" s="62">
        <v>10.1</v>
      </c>
      <c r="W219" s="63">
        <v>0</v>
      </c>
      <c r="X219" s="63">
        <v>0</v>
      </c>
      <c r="Y219" s="65">
        <v>16.149999999999999</v>
      </c>
      <c r="Z219" s="61">
        <v>36</v>
      </c>
      <c r="AA219" s="62">
        <v>10.199999999999999</v>
      </c>
      <c r="AB219" s="63">
        <v>0</v>
      </c>
      <c r="AC219" s="63">
        <v>0</v>
      </c>
      <c r="AD219" s="65">
        <v>15.76</v>
      </c>
      <c r="AE219" s="64">
        <v>36</v>
      </c>
      <c r="AF219" s="62">
        <v>10.199999999999999</v>
      </c>
      <c r="AG219" s="63">
        <v>0</v>
      </c>
      <c r="AH219" s="63">
        <v>0</v>
      </c>
      <c r="AI219" s="65">
        <v>12.5</v>
      </c>
      <c r="AJ219" s="64">
        <v>36</v>
      </c>
      <c r="AK219" s="62">
        <v>10.4</v>
      </c>
      <c r="AL219" s="62">
        <v>0</v>
      </c>
      <c r="AM219" s="62">
        <v>0</v>
      </c>
      <c r="AN219" s="65">
        <v>8.07</v>
      </c>
      <c r="AO219" s="61">
        <v>38</v>
      </c>
      <c r="AP219" s="62">
        <v>10.4</v>
      </c>
      <c r="AQ219" s="62">
        <v>150</v>
      </c>
      <c r="AR219" s="62">
        <v>0</v>
      </c>
      <c r="AS219" s="65">
        <v>12.88</v>
      </c>
      <c r="AT219" s="64">
        <v>30</v>
      </c>
      <c r="AU219" s="65">
        <v>140</v>
      </c>
      <c r="AV219" s="64">
        <v>90.511062622070298</v>
      </c>
      <c r="AW219" s="65">
        <v>370.41136220296227</v>
      </c>
      <c r="AX219" s="8"/>
      <c r="AZ219" s="1">
        <v>90</v>
      </c>
      <c r="BB219" s="82">
        <f t="shared" si="23"/>
        <v>36.876059999999995</v>
      </c>
    </row>
    <row r="220" spans="3:54" ht="15" customHeight="1" x14ac:dyDescent="0.25">
      <c r="C220" s="42">
        <f>C208+1</f>
        <v>18</v>
      </c>
      <c r="D220" s="66">
        <f>DATE([3]Dash!$F$3,VLOOKUP([3]Dash!$E$3,[3]Abb!$C$3:$D$14,2,FALSE),C220)</f>
        <v>45734</v>
      </c>
      <c r="E220" s="67">
        <f>E219+2/24</f>
        <v>17.250000000000025</v>
      </c>
      <c r="F220" s="68">
        <f t="shared" si="25"/>
        <v>45734.250000000495</v>
      </c>
      <c r="G220" s="46">
        <v>39</v>
      </c>
      <c r="H220" s="47">
        <v>38</v>
      </c>
      <c r="I220" s="48">
        <v>9.6</v>
      </c>
      <c r="J220" s="48">
        <v>250</v>
      </c>
      <c r="K220" s="49">
        <v>0</v>
      </c>
      <c r="L220" s="50">
        <v>37</v>
      </c>
      <c r="M220" s="48">
        <v>9.9</v>
      </c>
      <c r="N220" s="48">
        <v>300</v>
      </c>
      <c r="O220" s="51">
        <v>0</v>
      </c>
      <c r="P220" s="47">
        <v>37</v>
      </c>
      <c r="Q220" s="48">
        <v>10</v>
      </c>
      <c r="R220" s="49">
        <v>0</v>
      </c>
      <c r="S220" s="49">
        <v>0</v>
      </c>
      <c r="T220" s="51">
        <v>18.260000000000002</v>
      </c>
      <c r="U220" s="50">
        <v>36</v>
      </c>
      <c r="V220" s="48">
        <v>10</v>
      </c>
      <c r="W220" s="49">
        <v>0</v>
      </c>
      <c r="X220" s="49">
        <v>0</v>
      </c>
      <c r="Y220" s="51">
        <v>15.76</v>
      </c>
      <c r="Z220" s="47">
        <v>36</v>
      </c>
      <c r="AA220" s="48">
        <v>10.1</v>
      </c>
      <c r="AB220" s="49">
        <v>0</v>
      </c>
      <c r="AC220" s="49">
        <v>0</v>
      </c>
      <c r="AD220" s="51">
        <v>15.38</v>
      </c>
      <c r="AE220" s="50">
        <v>36</v>
      </c>
      <c r="AF220" s="48">
        <v>10.199999999999999</v>
      </c>
      <c r="AG220" s="49">
        <v>0</v>
      </c>
      <c r="AH220" s="49">
        <v>0</v>
      </c>
      <c r="AI220" s="51">
        <v>12.5</v>
      </c>
      <c r="AJ220" s="50">
        <v>36</v>
      </c>
      <c r="AK220" s="48">
        <v>10.3</v>
      </c>
      <c r="AL220" s="48">
        <v>0</v>
      </c>
      <c r="AM220" s="48">
        <v>0</v>
      </c>
      <c r="AN220" s="51">
        <v>8.65</v>
      </c>
      <c r="AO220" s="47">
        <v>37</v>
      </c>
      <c r="AP220" s="48">
        <v>10.4</v>
      </c>
      <c r="AQ220" s="48">
        <v>150</v>
      </c>
      <c r="AR220" s="48">
        <v>0</v>
      </c>
      <c r="AS220" s="51">
        <v>12.88</v>
      </c>
      <c r="AT220" s="50">
        <v>31</v>
      </c>
      <c r="AU220" s="51">
        <v>130</v>
      </c>
      <c r="AV220" s="50">
        <v>90.132644653320298</v>
      </c>
      <c r="AW220" s="51">
        <v>370.74580510457355</v>
      </c>
      <c r="AX220" s="8"/>
      <c r="AZ220" s="1">
        <v>90</v>
      </c>
      <c r="BB220" s="82">
        <f t="shared" si="23"/>
        <v>36.876059999999995</v>
      </c>
    </row>
    <row r="221" spans="3:54" ht="15" customHeight="1" x14ac:dyDescent="0.25">
      <c r="C221" s="42"/>
      <c r="D221" s="43">
        <f>D220</f>
        <v>45734</v>
      </c>
      <c r="E221" s="44">
        <f>E220+2/24</f>
        <v>17.333333333333357</v>
      </c>
      <c r="F221" s="45">
        <f t="shared" si="25"/>
        <v>45734.333333333831</v>
      </c>
      <c r="G221" s="52">
        <v>42</v>
      </c>
      <c r="H221" s="53">
        <v>38</v>
      </c>
      <c r="I221" s="54">
        <v>9.6</v>
      </c>
      <c r="J221" s="54">
        <v>250</v>
      </c>
      <c r="K221" s="55">
        <v>0</v>
      </c>
      <c r="L221" s="56">
        <v>37</v>
      </c>
      <c r="M221" s="54">
        <v>9.9</v>
      </c>
      <c r="N221" s="54">
        <v>300</v>
      </c>
      <c r="O221" s="57">
        <v>0</v>
      </c>
      <c r="P221" s="53">
        <v>36</v>
      </c>
      <c r="Q221" s="54">
        <v>10</v>
      </c>
      <c r="R221" s="55">
        <v>0</v>
      </c>
      <c r="S221" s="55">
        <v>0</v>
      </c>
      <c r="T221" s="57">
        <v>18.2</v>
      </c>
      <c r="U221" s="56">
        <v>37</v>
      </c>
      <c r="V221" s="54">
        <v>10</v>
      </c>
      <c r="W221" s="55">
        <v>0</v>
      </c>
      <c r="X221" s="55">
        <v>0</v>
      </c>
      <c r="Y221" s="57">
        <v>15.7</v>
      </c>
      <c r="Z221" s="53">
        <v>37</v>
      </c>
      <c r="AA221" s="54">
        <v>10.1</v>
      </c>
      <c r="AB221" s="55">
        <v>0</v>
      </c>
      <c r="AC221" s="55">
        <v>0</v>
      </c>
      <c r="AD221" s="57">
        <v>15.3</v>
      </c>
      <c r="AE221" s="56">
        <v>37</v>
      </c>
      <c r="AF221" s="54">
        <v>10.199999999999999</v>
      </c>
      <c r="AG221" s="55">
        <v>0</v>
      </c>
      <c r="AH221" s="55">
        <v>0</v>
      </c>
      <c r="AI221" s="57">
        <v>12.5</v>
      </c>
      <c r="AJ221" s="56">
        <v>36</v>
      </c>
      <c r="AK221" s="54">
        <v>10.3</v>
      </c>
      <c r="AL221" s="54">
        <v>0</v>
      </c>
      <c r="AM221" s="54">
        <v>0</v>
      </c>
      <c r="AN221" s="57">
        <v>8.6</v>
      </c>
      <c r="AO221" s="53">
        <v>37</v>
      </c>
      <c r="AP221" s="54">
        <v>10.4</v>
      </c>
      <c r="AQ221" s="54">
        <v>160</v>
      </c>
      <c r="AR221" s="54">
        <v>0</v>
      </c>
      <c r="AS221" s="57">
        <v>12.8</v>
      </c>
      <c r="AT221" s="56">
        <v>31</v>
      </c>
      <c r="AU221" s="57">
        <v>130</v>
      </c>
      <c r="AV221" s="56">
        <v>90.13671875</v>
      </c>
      <c r="AW221" s="57">
        <v>369.55090357462564</v>
      </c>
      <c r="AX221" s="8"/>
      <c r="AZ221" s="1">
        <v>90</v>
      </c>
      <c r="BB221" s="82">
        <f t="shared" si="23"/>
        <v>36.730200000000004</v>
      </c>
    </row>
    <row r="222" spans="3:54" ht="15" customHeight="1" x14ac:dyDescent="0.25">
      <c r="C222" s="42"/>
      <c r="D222" s="43">
        <f>D220</f>
        <v>45734</v>
      </c>
      <c r="E222" s="44">
        <f t="shared" ref="E222:E231" si="26">E221+2/24</f>
        <v>17.416666666666689</v>
      </c>
      <c r="F222" s="45">
        <f t="shared" si="25"/>
        <v>45734.416666667166</v>
      </c>
      <c r="G222" s="52">
        <v>0</v>
      </c>
      <c r="H222" s="53">
        <v>38</v>
      </c>
      <c r="I222" s="54">
        <v>9.5</v>
      </c>
      <c r="J222" s="54">
        <v>200</v>
      </c>
      <c r="K222" s="55">
        <v>0</v>
      </c>
      <c r="L222" s="56">
        <v>0</v>
      </c>
      <c r="M222" s="54">
        <v>9.6999999999999993</v>
      </c>
      <c r="N222" s="54">
        <v>300</v>
      </c>
      <c r="O222" s="57">
        <v>0</v>
      </c>
      <c r="P222" s="53">
        <v>38</v>
      </c>
      <c r="Q222" s="54">
        <v>10.199999999999999</v>
      </c>
      <c r="R222" s="55">
        <v>0</v>
      </c>
      <c r="S222" s="55">
        <v>0</v>
      </c>
      <c r="T222" s="57">
        <v>17.100000000000001</v>
      </c>
      <c r="U222" s="56">
        <v>0</v>
      </c>
      <c r="V222" s="54">
        <v>0</v>
      </c>
      <c r="W222" s="55">
        <v>0</v>
      </c>
      <c r="X222" s="55">
        <v>0</v>
      </c>
      <c r="Y222" s="57">
        <v>15.7</v>
      </c>
      <c r="Z222" s="53">
        <v>38</v>
      </c>
      <c r="AA222" s="54">
        <v>10.1</v>
      </c>
      <c r="AB222" s="55">
        <v>0</v>
      </c>
      <c r="AC222" s="55">
        <v>0</v>
      </c>
      <c r="AD222" s="57">
        <v>15.9</v>
      </c>
      <c r="AE222" s="56">
        <v>37</v>
      </c>
      <c r="AF222" s="54">
        <v>10.199999999999999</v>
      </c>
      <c r="AG222" s="55">
        <v>0</v>
      </c>
      <c r="AH222" s="55">
        <v>0</v>
      </c>
      <c r="AI222" s="57">
        <v>13.4</v>
      </c>
      <c r="AJ222" s="56">
        <v>37</v>
      </c>
      <c r="AK222" s="54">
        <v>10.199999999999999</v>
      </c>
      <c r="AL222" s="54">
        <v>0</v>
      </c>
      <c r="AM222" s="54">
        <v>0</v>
      </c>
      <c r="AN222" s="57">
        <v>7.3</v>
      </c>
      <c r="AO222" s="53">
        <v>38</v>
      </c>
      <c r="AP222" s="54">
        <v>10.4</v>
      </c>
      <c r="AQ222" s="54">
        <v>180</v>
      </c>
      <c r="AR222" s="54">
        <v>0</v>
      </c>
      <c r="AS222" s="57">
        <v>19.600000000000001</v>
      </c>
      <c r="AT222" s="56">
        <v>0</v>
      </c>
      <c r="AU222" s="57">
        <v>0</v>
      </c>
      <c r="AV222" s="56">
        <v>74.784339904785199</v>
      </c>
      <c r="AW222" s="57">
        <v>218.25725860595705</v>
      </c>
      <c r="AX222" s="8"/>
      <c r="AZ222" s="1">
        <v>90</v>
      </c>
      <c r="BB222" s="82">
        <f t="shared" si="23"/>
        <v>39.338000000000001</v>
      </c>
    </row>
    <row r="223" spans="3:54" ht="15" customHeight="1" x14ac:dyDescent="0.25">
      <c r="C223" s="42"/>
      <c r="D223" s="43">
        <f>D220</f>
        <v>45734</v>
      </c>
      <c r="E223" s="44">
        <f t="shared" si="26"/>
        <v>17.500000000000021</v>
      </c>
      <c r="F223" s="45">
        <f t="shared" si="25"/>
        <v>45734.500000000502</v>
      </c>
      <c r="G223" s="52">
        <v>0</v>
      </c>
      <c r="H223" s="53">
        <v>38</v>
      </c>
      <c r="I223" s="54">
        <v>9.4</v>
      </c>
      <c r="J223" s="54">
        <v>200</v>
      </c>
      <c r="K223" s="55">
        <v>0</v>
      </c>
      <c r="L223" s="56">
        <v>0</v>
      </c>
      <c r="M223" s="54">
        <v>9.8000000000000007</v>
      </c>
      <c r="N223" s="54">
        <v>250</v>
      </c>
      <c r="O223" s="57">
        <v>0</v>
      </c>
      <c r="P223" s="53">
        <v>37</v>
      </c>
      <c r="Q223" s="54">
        <v>10</v>
      </c>
      <c r="R223" s="55">
        <v>0</v>
      </c>
      <c r="S223" s="55">
        <v>0</v>
      </c>
      <c r="T223" s="57">
        <v>16.5</v>
      </c>
      <c r="U223" s="56">
        <v>0</v>
      </c>
      <c r="V223" s="54">
        <v>0</v>
      </c>
      <c r="W223" s="55">
        <v>0</v>
      </c>
      <c r="X223" s="55">
        <v>0</v>
      </c>
      <c r="Y223" s="57">
        <v>15.7</v>
      </c>
      <c r="Z223" s="53">
        <v>37</v>
      </c>
      <c r="AA223" s="54">
        <v>10</v>
      </c>
      <c r="AB223" s="55">
        <v>0</v>
      </c>
      <c r="AC223" s="55">
        <v>0</v>
      </c>
      <c r="AD223" s="57">
        <v>16.100000000000001</v>
      </c>
      <c r="AE223" s="56">
        <v>38</v>
      </c>
      <c r="AF223" s="54">
        <v>10.199999999999999</v>
      </c>
      <c r="AG223" s="55">
        <v>0</v>
      </c>
      <c r="AH223" s="55">
        <v>0</v>
      </c>
      <c r="AI223" s="57">
        <v>13.2</v>
      </c>
      <c r="AJ223" s="56">
        <v>37</v>
      </c>
      <c r="AK223" s="54">
        <v>10.199999999999999</v>
      </c>
      <c r="AL223" s="54">
        <v>0</v>
      </c>
      <c r="AM223" s="54">
        <v>0</v>
      </c>
      <c r="AN223" s="57">
        <v>7.5</v>
      </c>
      <c r="AO223" s="53">
        <v>38</v>
      </c>
      <c r="AP223" s="54">
        <v>10.4</v>
      </c>
      <c r="AQ223" s="54">
        <v>180</v>
      </c>
      <c r="AR223" s="54">
        <v>0</v>
      </c>
      <c r="AS223" s="57">
        <v>10.5</v>
      </c>
      <c r="AT223" s="56">
        <v>0</v>
      </c>
      <c r="AU223" s="57">
        <v>0</v>
      </c>
      <c r="AV223" s="56">
        <v>91.715492248535199</v>
      </c>
      <c r="AW223" s="57">
        <v>359.86002705891929</v>
      </c>
      <c r="AX223" s="8"/>
      <c r="AZ223" s="1">
        <v>90</v>
      </c>
      <c r="BB223" s="82">
        <f t="shared" si="23"/>
        <v>35.139000000000003</v>
      </c>
    </row>
    <row r="224" spans="3:54" ht="15" customHeight="1" x14ac:dyDescent="0.25">
      <c r="C224" s="42"/>
      <c r="D224" s="43">
        <f>D220</f>
        <v>45734</v>
      </c>
      <c r="E224" s="44">
        <f t="shared" si="26"/>
        <v>17.583333333333353</v>
      </c>
      <c r="F224" s="45">
        <f t="shared" si="25"/>
        <v>45734.583333333838</v>
      </c>
      <c r="G224" s="52">
        <v>0</v>
      </c>
      <c r="H224" s="53">
        <v>38</v>
      </c>
      <c r="I224" s="54">
        <v>9.4</v>
      </c>
      <c r="J224" s="54">
        <v>200</v>
      </c>
      <c r="K224" s="55">
        <v>0</v>
      </c>
      <c r="L224" s="56">
        <v>0</v>
      </c>
      <c r="M224" s="54">
        <v>9.6</v>
      </c>
      <c r="N224" s="54">
        <v>250</v>
      </c>
      <c r="O224" s="57">
        <v>0</v>
      </c>
      <c r="P224" s="53">
        <v>38</v>
      </c>
      <c r="Q224" s="54">
        <v>10.1</v>
      </c>
      <c r="R224" s="55">
        <v>0</v>
      </c>
      <c r="S224" s="55">
        <v>0</v>
      </c>
      <c r="T224" s="57">
        <v>16.899999999999999</v>
      </c>
      <c r="U224" s="56">
        <v>0</v>
      </c>
      <c r="V224" s="54">
        <v>0</v>
      </c>
      <c r="W224" s="55">
        <v>0</v>
      </c>
      <c r="X224" s="55">
        <v>0</v>
      </c>
      <c r="Y224" s="57">
        <v>15.7</v>
      </c>
      <c r="Z224" s="53">
        <v>37</v>
      </c>
      <c r="AA224" s="54">
        <v>10.1</v>
      </c>
      <c r="AB224" s="55">
        <v>0</v>
      </c>
      <c r="AC224" s="55">
        <v>0</v>
      </c>
      <c r="AD224" s="57">
        <v>15</v>
      </c>
      <c r="AE224" s="56">
        <v>38</v>
      </c>
      <c r="AF224" s="54">
        <v>10.199999999999999</v>
      </c>
      <c r="AG224" s="55">
        <v>0</v>
      </c>
      <c r="AH224" s="55">
        <v>0</v>
      </c>
      <c r="AI224" s="57">
        <v>12.6</v>
      </c>
      <c r="AJ224" s="56">
        <v>38</v>
      </c>
      <c r="AK224" s="54">
        <v>10.3</v>
      </c>
      <c r="AL224" s="54">
        <v>0</v>
      </c>
      <c r="AM224" s="54">
        <v>0</v>
      </c>
      <c r="AN224" s="57">
        <v>7.1</v>
      </c>
      <c r="AO224" s="53">
        <v>38</v>
      </c>
      <c r="AP224" s="54">
        <v>10.4</v>
      </c>
      <c r="AQ224" s="54">
        <v>170</v>
      </c>
      <c r="AR224" s="54">
        <v>0</v>
      </c>
      <c r="AS224" s="57">
        <v>10.7</v>
      </c>
      <c r="AT224" s="56">
        <v>0</v>
      </c>
      <c r="AU224" s="57">
        <v>0</v>
      </c>
      <c r="AV224" s="56">
        <v>92.838539123535199</v>
      </c>
      <c r="AW224" s="57">
        <v>365.39014256795247</v>
      </c>
      <c r="AX224" s="8"/>
      <c r="AZ224" s="1">
        <v>90</v>
      </c>
      <c r="BB224" s="82">
        <f t="shared" si="23"/>
        <v>34.475999999999999</v>
      </c>
    </row>
    <row r="225" spans="3:54" ht="15" customHeight="1" x14ac:dyDescent="0.25">
      <c r="C225" s="42"/>
      <c r="D225" s="43">
        <f>D220</f>
        <v>45734</v>
      </c>
      <c r="E225" s="44">
        <f t="shared" si="26"/>
        <v>17.666666666666686</v>
      </c>
      <c r="F225" s="45">
        <f t="shared" si="25"/>
        <v>45734.666666667174</v>
      </c>
      <c r="G225" s="52">
        <v>0</v>
      </c>
      <c r="H225" s="53">
        <v>38</v>
      </c>
      <c r="I225" s="54">
        <v>9.4</v>
      </c>
      <c r="J225" s="54">
        <v>200</v>
      </c>
      <c r="K225" s="55">
        <v>0</v>
      </c>
      <c r="L225" s="56">
        <v>38</v>
      </c>
      <c r="M225" s="54">
        <v>9.6</v>
      </c>
      <c r="N225" s="54">
        <v>250</v>
      </c>
      <c r="O225" s="57">
        <v>0</v>
      </c>
      <c r="P225" s="53">
        <v>38</v>
      </c>
      <c r="Q225" s="54">
        <v>9.9</v>
      </c>
      <c r="R225" s="55">
        <v>0</v>
      </c>
      <c r="S225" s="55">
        <v>0</v>
      </c>
      <c r="T225" s="57">
        <v>16.3</v>
      </c>
      <c r="U225" s="56">
        <v>0</v>
      </c>
      <c r="V225" s="54">
        <v>0</v>
      </c>
      <c r="W225" s="55">
        <v>0</v>
      </c>
      <c r="X225" s="55">
        <v>0</v>
      </c>
      <c r="Y225" s="57">
        <v>15.7</v>
      </c>
      <c r="Z225" s="53">
        <v>38</v>
      </c>
      <c r="AA225" s="54">
        <v>10.1</v>
      </c>
      <c r="AB225" s="55">
        <v>0</v>
      </c>
      <c r="AC225" s="55">
        <v>0</v>
      </c>
      <c r="AD225" s="57">
        <v>16.3</v>
      </c>
      <c r="AE225" s="56">
        <v>38</v>
      </c>
      <c r="AF225" s="54">
        <v>10.199999999999999</v>
      </c>
      <c r="AG225" s="55">
        <v>0</v>
      </c>
      <c r="AH225" s="55">
        <v>0</v>
      </c>
      <c r="AI225" s="57">
        <v>13.6</v>
      </c>
      <c r="AJ225" s="56">
        <v>37</v>
      </c>
      <c r="AK225" s="54">
        <v>10.3</v>
      </c>
      <c r="AL225" s="54">
        <v>0</v>
      </c>
      <c r="AM225" s="54">
        <v>0</v>
      </c>
      <c r="AN225" s="57">
        <v>6.7</v>
      </c>
      <c r="AO225" s="53">
        <v>38</v>
      </c>
      <c r="AP225" s="54">
        <v>10.4</v>
      </c>
      <c r="AQ225" s="54">
        <v>180</v>
      </c>
      <c r="AR225" s="54">
        <v>0</v>
      </c>
      <c r="AS225" s="57">
        <v>9.6</v>
      </c>
      <c r="AT225" s="56">
        <v>0</v>
      </c>
      <c r="AU225" s="57">
        <v>0</v>
      </c>
      <c r="AV225" s="56">
        <v>92.403152465820298</v>
      </c>
      <c r="AW225" s="57">
        <v>356.31691182454426</v>
      </c>
      <c r="AX225" s="8"/>
      <c r="AZ225" s="1">
        <v>90</v>
      </c>
      <c r="BB225" s="82">
        <f t="shared" si="23"/>
        <v>34.564399999999999</v>
      </c>
    </row>
    <row r="226" spans="3:54" ht="15" customHeight="1" x14ac:dyDescent="0.25">
      <c r="C226" s="42"/>
      <c r="D226" s="43">
        <f>D220</f>
        <v>45734</v>
      </c>
      <c r="E226" s="44">
        <f t="shared" si="26"/>
        <v>17.750000000000018</v>
      </c>
      <c r="F226" s="45">
        <f t="shared" si="25"/>
        <v>45734.750000000509</v>
      </c>
      <c r="G226" s="52">
        <v>0</v>
      </c>
      <c r="H226" s="53">
        <v>39</v>
      </c>
      <c r="I226" s="54">
        <v>9.3000000000000007</v>
      </c>
      <c r="J226" s="54">
        <v>200</v>
      </c>
      <c r="K226" s="55">
        <v>0</v>
      </c>
      <c r="L226" s="56">
        <v>39</v>
      </c>
      <c r="M226" s="54">
        <v>9.6</v>
      </c>
      <c r="N226" s="54">
        <v>250</v>
      </c>
      <c r="O226" s="57">
        <v>0</v>
      </c>
      <c r="P226" s="53">
        <v>38</v>
      </c>
      <c r="Q226" s="54">
        <v>9.9</v>
      </c>
      <c r="R226" s="55">
        <v>0</v>
      </c>
      <c r="S226" s="55">
        <v>0</v>
      </c>
      <c r="T226" s="57">
        <v>16.899999999999999</v>
      </c>
      <c r="U226" s="56">
        <v>38</v>
      </c>
      <c r="V226" s="54">
        <v>10.1</v>
      </c>
      <c r="W226" s="55">
        <v>0</v>
      </c>
      <c r="X226" s="55">
        <v>0</v>
      </c>
      <c r="Y226" s="57">
        <v>15.3</v>
      </c>
      <c r="Z226" s="53">
        <v>38</v>
      </c>
      <c r="AA226" s="54">
        <v>10.1</v>
      </c>
      <c r="AB226" s="55">
        <v>0</v>
      </c>
      <c r="AC226" s="55">
        <v>0</v>
      </c>
      <c r="AD226" s="57">
        <v>15.9</v>
      </c>
      <c r="AE226" s="56">
        <v>37</v>
      </c>
      <c r="AF226" s="54">
        <v>10.199999999999999</v>
      </c>
      <c r="AG226" s="55">
        <v>0</v>
      </c>
      <c r="AH226" s="55">
        <v>0</v>
      </c>
      <c r="AI226" s="57">
        <v>13.2</v>
      </c>
      <c r="AJ226" s="56">
        <v>37</v>
      </c>
      <c r="AK226" s="54">
        <v>10.3</v>
      </c>
      <c r="AL226" s="54">
        <v>0</v>
      </c>
      <c r="AM226" s="54">
        <v>0</v>
      </c>
      <c r="AN226" s="57">
        <v>6.9</v>
      </c>
      <c r="AO226" s="53">
        <v>38</v>
      </c>
      <c r="AP226" s="54">
        <v>10.4</v>
      </c>
      <c r="AQ226" s="54">
        <v>120</v>
      </c>
      <c r="AR226" s="54">
        <v>0</v>
      </c>
      <c r="AS226" s="57">
        <v>10</v>
      </c>
      <c r="AT226" s="56">
        <v>0</v>
      </c>
      <c r="AU226" s="57">
        <v>0</v>
      </c>
      <c r="AV226" s="56">
        <v>92.354324340820298</v>
      </c>
      <c r="AW226" s="57">
        <v>354.34256693522133</v>
      </c>
      <c r="AX226" s="8"/>
      <c r="AZ226" s="1">
        <v>90</v>
      </c>
      <c r="BB226" s="82">
        <f t="shared" si="23"/>
        <v>34.564399999999992</v>
      </c>
    </row>
    <row r="227" spans="3:54" ht="15" customHeight="1" x14ac:dyDescent="0.25">
      <c r="C227" s="42"/>
      <c r="D227" s="43">
        <f>D220</f>
        <v>45734</v>
      </c>
      <c r="E227" s="44">
        <f t="shared" si="26"/>
        <v>17.83333333333335</v>
      </c>
      <c r="F227" s="45">
        <f t="shared" si="25"/>
        <v>45734.833333333845</v>
      </c>
      <c r="G227" s="52" t="s">
        <v>38</v>
      </c>
      <c r="H227" s="53">
        <v>39</v>
      </c>
      <c r="I227" s="54">
        <v>9.1999999999999993</v>
      </c>
      <c r="J227" s="54">
        <v>200</v>
      </c>
      <c r="K227" s="55">
        <v>0</v>
      </c>
      <c r="L227" s="56">
        <v>38</v>
      </c>
      <c r="M227" s="54">
        <v>9.6</v>
      </c>
      <c r="N227" s="54">
        <v>250</v>
      </c>
      <c r="O227" s="57">
        <v>0</v>
      </c>
      <c r="P227" s="53">
        <v>36</v>
      </c>
      <c r="Q227" s="54">
        <v>9.8000000000000007</v>
      </c>
      <c r="R227" s="55">
        <v>0</v>
      </c>
      <c r="S227" s="55">
        <v>0</v>
      </c>
      <c r="T227" s="57">
        <v>17.3</v>
      </c>
      <c r="U227" s="56">
        <v>36</v>
      </c>
      <c r="V227" s="54">
        <v>9.9</v>
      </c>
      <c r="W227" s="55">
        <v>0</v>
      </c>
      <c r="X227" s="55">
        <v>0</v>
      </c>
      <c r="Y227" s="57">
        <v>16.34</v>
      </c>
      <c r="Z227" s="53">
        <v>36</v>
      </c>
      <c r="AA227" s="54">
        <v>10</v>
      </c>
      <c r="AB227" s="55">
        <v>0</v>
      </c>
      <c r="AC227" s="55">
        <v>0</v>
      </c>
      <c r="AD227" s="57">
        <v>16.34</v>
      </c>
      <c r="AE227" s="56">
        <v>35</v>
      </c>
      <c r="AF227" s="54">
        <v>10.1</v>
      </c>
      <c r="AG227" s="55">
        <v>0</v>
      </c>
      <c r="AH227" s="55">
        <v>0</v>
      </c>
      <c r="AI227" s="57">
        <v>13.46</v>
      </c>
      <c r="AJ227" s="56">
        <v>34</v>
      </c>
      <c r="AK227" s="54">
        <v>10.1</v>
      </c>
      <c r="AL227" s="54">
        <v>0</v>
      </c>
      <c r="AM227" s="54">
        <v>0</v>
      </c>
      <c r="AN227" s="57">
        <v>6.73</v>
      </c>
      <c r="AO227" s="53">
        <v>35</v>
      </c>
      <c r="AP227" s="54">
        <v>10.199999999999999</v>
      </c>
      <c r="AQ227" s="54">
        <v>120</v>
      </c>
      <c r="AR227" s="54">
        <v>0</v>
      </c>
      <c r="AS227" s="57">
        <v>10.57</v>
      </c>
      <c r="AT227" s="56" t="s">
        <v>38</v>
      </c>
      <c r="AU227" s="57" t="s">
        <v>38</v>
      </c>
      <c r="AV227" s="56">
        <v>92.557777404785199</v>
      </c>
      <c r="AW227" s="57">
        <v>360.00373764038085</v>
      </c>
      <c r="AX227" s="8"/>
      <c r="AZ227" s="1">
        <v>90</v>
      </c>
      <c r="BB227" s="82">
        <f t="shared" si="23"/>
        <v>35.687080000000002</v>
      </c>
    </row>
    <row r="228" spans="3:54" ht="15" customHeight="1" x14ac:dyDescent="0.25">
      <c r="C228" s="42"/>
      <c r="D228" s="43">
        <f>D220</f>
        <v>45734</v>
      </c>
      <c r="E228" s="44">
        <f t="shared" si="26"/>
        <v>17.916666666666682</v>
      </c>
      <c r="F228" s="45">
        <f t="shared" si="25"/>
        <v>45734.916666667181</v>
      </c>
      <c r="G228" s="52">
        <v>49</v>
      </c>
      <c r="H228" s="53">
        <v>39</v>
      </c>
      <c r="I228" s="54">
        <v>9.1999999999999993</v>
      </c>
      <c r="J228" s="54">
        <v>200</v>
      </c>
      <c r="K228" s="55">
        <v>0</v>
      </c>
      <c r="L228" s="56">
        <v>38</v>
      </c>
      <c r="M228" s="54">
        <v>9.6</v>
      </c>
      <c r="N228" s="54">
        <v>250</v>
      </c>
      <c r="O228" s="57">
        <v>0</v>
      </c>
      <c r="P228" s="53">
        <v>37</v>
      </c>
      <c r="Q228" s="54">
        <v>9.8000000000000007</v>
      </c>
      <c r="R228" s="55">
        <v>0</v>
      </c>
      <c r="S228" s="55">
        <v>0</v>
      </c>
      <c r="T228" s="57">
        <v>17.690000000000001</v>
      </c>
      <c r="U228" s="56">
        <v>36</v>
      </c>
      <c r="V228" s="54">
        <v>9.9</v>
      </c>
      <c r="W228" s="55">
        <v>0</v>
      </c>
      <c r="X228" s="55">
        <v>0</v>
      </c>
      <c r="Y228" s="57">
        <v>16.34</v>
      </c>
      <c r="Z228" s="53">
        <v>36</v>
      </c>
      <c r="AA228" s="54">
        <v>10</v>
      </c>
      <c r="AB228" s="55">
        <v>0</v>
      </c>
      <c r="AC228" s="55">
        <v>0</v>
      </c>
      <c r="AD228" s="57">
        <v>16.34</v>
      </c>
      <c r="AE228" s="56">
        <v>36</v>
      </c>
      <c r="AF228" s="54">
        <v>10</v>
      </c>
      <c r="AG228" s="55">
        <v>0</v>
      </c>
      <c r="AH228" s="55">
        <v>0</v>
      </c>
      <c r="AI228" s="57">
        <v>13.46</v>
      </c>
      <c r="AJ228" s="56">
        <v>35</v>
      </c>
      <c r="AK228" s="54">
        <v>10.1</v>
      </c>
      <c r="AL228" s="54">
        <v>0</v>
      </c>
      <c r="AM228" s="54">
        <v>0</v>
      </c>
      <c r="AN228" s="57">
        <v>6.73</v>
      </c>
      <c r="AO228" s="53">
        <v>35</v>
      </c>
      <c r="AP228" s="54">
        <v>10.199999999999999</v>
      </c>
      <c r="AQ228" s="54">
        <v>110</v>
      </c>
      <c r="AR228" s="54">
        <v>0</v>
      </c>
      <c r="AS228" s="57">
        <v>10.57</v>
      </c>
      <c r="AT228" s="56">
        <v>28</v>
      </c>
      <c r="AU228" s="57">
        <v>80</v>
      </c>
      <c r="AV228" s="56">
        <v>92.549636840820298</v>
      </c>
      <c r="AW228" s="57">
        <v>356.89272308349609</v>
      </c>
      <c r="AX228" s="8"/>
      <c r="AZ228" s="1">
        <v>90</v>
      </c>
      <c r="BB228" s="82">
        <f t="shared" si="23"/>
        <v>35.859459999999999</v>
      </c>
    </row>
    <row r="229" spans="3:54" ht="15" customHeight="1" x14ac:dyDescent="0.25">
      <c r="C229" s="42"/>
      <c r="D229" s="43">
        <f>D220</f>
        <v>45734</v>
      </c>
      <c r="E229" s="44">
        <f t="shared" si="26"/>
        <v>18.000000000000014</v>
      </c>
      <c r="F229" s="45">
        <f t="shared" si="25"/>
        <v>45735.000000000517</v>
      </c>
      <c r="G229" s="52">
        <v>36</v>
      </c>
      <c r="H229" s="53">
        <v>38</v>
      </c>
      <c r="I229" s="54">
        <v>9.6999999999999993</v>
      </c>
      <c r="J229" s="54">
        <v>250</v>
      </c>
      <c r="K229" s="55">
        <v>0</v>
      </c>
      <c r="L229" s="56">
        <v>38</v>
      </c>
      <c r="M229" s="54">
        <v>9.6999999999999993</v>
      </c>
      <c r="N229" s="54">
        <v>250</v>
      </c>
      <c r="O229" s="57">
        <v>0</v>
      </c>
      <c r="P229" s="53">
        <v>37</v>
      </c>
      <c r="Q229" s="54">
        <v>9.9</v>
      </c>
      <c r="R229" s="55">
        <v>0</v>
      </c>
      <c r="S229" s="55">
        <v>0</v>
      </c>
      <c r="T229" s="57">
        <v>17.690000000000001</v>
      </c>
      <c r="U229" s="56">
        <v>37</v>
      </c>
      <c r="V229" s="54">
        <v>10</v>
      </c>
      <c r="W229" s="55">
        <v>0</v>
      </c>
      <c r="X229" s="55">
        <v>0</v>
      </c>
      <c r="Y229" s="57">
        <v>15.38</v>
      </c>
      <c r="Z229" s="53">
        <v>36</v>
      </c>
      <c r="AA229" s="54">
        <v>10</v>
      </c>
      <c r="AB229" s="55">
        <v>0</v>
      </c>
      <c r="AC229" s="55">
        <v>0</v>
      </c>
      <c r="AD229" s="57">
        <v>15.76</v>
      </c>
      <c r="AE229" s="56">
        <v>36</v>
      </c>
      <c r="AF229" s="54">
        <v>10</v>
      </c>
      <c r="AG229" s="55">
        <v>0</v>
      </c>
      <c r="AH229" s="55">
        <v>0</v>
      </c>
      <c r="AI229" s="57">
        <v>14.42</v>
      </c>
      <c r="AJ229" s="56">
        <v>35</v>
      </c>
      <c r="AK229" s="54">
        <v>10.1</v>
      </c>
      <c r="AL229" s="54">
        <v>0</v>
      </c>
      <c r="AM229" s="54">
        <v>0</v>
      </c>
      <c r="AN229" s="57">
        <v>8.07</v>
      </c>
      <c r="AO229" s="53">
        <v>36</v>
      </c>
      <c r="AP229" s="54">
        <v>10.199999999999999</v>
      </c>
      <c r="AQ229" s="54">
        <v>100</v>
      </c>
      <c r="AR229" s="54">
        <v>0</v>
      </c>
      <c r="AS229" s="57">
        <v>11.53</v>
      </c>
      <c r="AT229" s="56">
        <v>30</v>
      </c>
      <c r="AU229" s="57">
        <v>90</v>
      </c>
      <c r="AV229" s="56">
        <v>92.427566528320298</v>
      </c>
      <c r="AW229" s="57">
        <v>352.63020960489911</v>
      </c>
      <c r="AX229" s="8"/>
      <c r="AZ229" s="1">
        <v>90</v>
      </c>
      <c r="BB229" s="82">
        <f t="shared" si="23"/>
        <v>36.619699999999995</v>
      </c>
    </row>
    <row r="230" spans="3:54" ht="15" customHeight="1" x14ac:dyDescent="0.25">
      <c r="C230" s="42"/>
      <c r="D230" s="43">
        <f>D220</f>
        <v>45734</v>
      </c>
      <c r="E230" s="44">
        <f t="shared" si="26"/>
        <v>18.083333333333346</v>
      </c>
      <c r="F230" s="45">
        <f t="shared" si="25"/>
        <v>45735.083333333852</v>
      </c>
      <c r="G230" s="52">
        <v>36</v>
      </c>
      <c r="H230" s="53">
        <v>37</v>
      </c>
      <c r="I230" s="54">
        <v>9.6999999999999993</v>
      </c>
      <c r="J230" s="54">
        <v>250</v>
      </c>
      <c r="K230" s="55">
        <v>0</v>
      </c>
      <c r="L230" s="56">
        <v>38</v>
      </c>
      <c r="M230" s="54">
        <v>9.8000000000000007</v>
      </c>
      <c r="N230" s="54">
        <v>250</v>
      </c>
      <c r="O230" s="57">
        <v>0</v>
      </c>
      <c r="P230" s="53">
        <v>37</v>
      </c>
      <c r="Q230" s="54">
        <v>9.9</v>
      </c>
      <c r="R230" s="55">
        <v>0</v>
      </c>
      <c r="S230" s="55">
        <v>0</v>
      </c>
      <c r="T230" s="57">
        <v>18.260000000000002</v>
      </c>
      <c r="U230" s="56">
        <v>36</v>
      </c>
      <c r="V230" s="54">
        <v>10</v>
      </c>
      <c r="W230" s="55">
        <v>0</v>
      </c>
      <c r="X230" s="55">
        <v>0</v>
      </c>
      <c r="Y230" s="57">
        <v>15.76</v>
      </c>
      <c r="Z230" s="53">
        <v>36</v>
      </c>
      <c r="AA230" s="54">
        <v>10.1</v>
      </c>
      <c r="AB230" s="55">
        <v>0</v>
      </c>
      <c r="AC230" s="55">
        <v>0</v>
      </c>
      <c r="AD230" s="57">
        <v>15.96</v>
      </c>
      <c r="AE230" s="56">
        <v>36</v>
      </c>
      <c r="AF230" s="54">
        <v>10.1</v>
      </c>
      <c r="AG230" s="55">
        <v>0</v>
      </c>
      <c r="AH230" s="55">
        <v>0</v>
      </c>
      <c r="AI230" s="57">
        <v>13.84</v>
      </c>
      <c r="AJ230" s="56">
        <v>35</v>
      </c>
      <c r="AK230" s="54">
        <v>10.1</v>
      </c>
      <c r="AL230" s="54">
        <v>0</v>
      </c>
      <c r="AM230" s="54">
        <v>0</v>
      </c>
      <c r="AN230" s="57">
        <v>7.69</v>
      </c>
      <c r="AO230" s="53">
        <v>35</v>
      </c>
      <c r="AP230" s="54">
        <v>10.199999999999999</v>
      </c>
      <c r="AQ230" s="54">
        <v>110</v>
      </c>
      <c r="AR230" s="54">
        <v>0</v>
      </c>
      <c r="AS230" s="57">
        <v>12.11</v>
      </c>
      <c r="AT230" s="56">
        <v>30</v>
      </c>
      <c r="AU230" s="57">
        <v>100</v>
      </c>
      <c r="AV230" s="56">
        <v>92.618812561035199</v>
      </c>
      <c r="AW230" s="57">
        <v>355.54735768636067</v>
      </c>
      <c r="AX230" s="8"/>
      <c r="AZ230" s="1">
        <v>90</v>
      </c>
      <c r="BB230" s="82">
        <f t="shared" si="23"/>
        <v>36.960039999999999</v>
      </c>
    </row>
    <row r="231" spans="3:54" ht="15" customHeight="1" x14ac:dyDescent="0.25">
      <c r="C231" s="42"/>
      <c r="D231" s="69">
        <f>D220</f>
        <v>45734</v>
      </c>
      <c r="E231" s="70">
        <f t="shared" si="26"/>
        <v>18.166666666666679</v>
      </c>
      <c r="F231" s="71">
        <f t="shared" si="25"/>
        <v>45735.166666667188</v>
      </c>
      <c r="G231" s="60" t="s">
        <v>38</v>
      </c>
      <c r="H231" s="61">
        <v>36</v>
      </c>
      <c r="I231" s="62">
        <v>9.6999999999999993</v>
      </c>
      <c r="J231" s="62">
        <v>200</v>
      </c>
      <c r="K231" s="63">
        <v>0</v>
      </c>
      <c r="L231" s="64">
        <v>36</v>
      </c>
      <c r="M231" s="62">
        <v>9.8000000000000007</v>
      </c>
      <c r="N231" s="62">
        <v>200</v>
      </c>
      <c r="O231" s="65">
        <v>0</v>
      </c>
      <c r="P231" s="61">
        <v>36</v>
      </c>
      <c r="Q231" s="62">
        <v>9.6999999999999993</v>
      </c>
      <c r="R231" s="63">
        <v>0</v>
      </c>
      <c r="S231" s="63">
        <v>0</v>
      </c>
      <c r="T231" s="65">
        <v>16.73</v>
      </c>
      <c r="U231" s="64">
        <v>36</v>
      </c>
      <c r="V231" s="62">
        <v>9.9</v>
      </c>
      <c r="W231" s="63">
        <v>0</v>
      </c>
      <c r="X231" s="63">
        <v>0</v>
      </c>
      <c r="Y231" s="65">
        <v>16.34</v>
      </c>
      <c r="Z231" s="61">
        <v>35</v>
      </c>
      <c r="AA231" s="62">
        <v>9.9</v>
      </c>
      <c r="AB231" s="63">
        <v>0</v>
      </c>
      <c r="AC231" s="63">
        <v>0</v>
      </c>
      <c r="AD231" s="65">
        <v>16.73</v>
      </c>
      <c r="AE231" s="64">
        <v>36</v>
      </c>
      <c r="AF231" s="62">
        <v>10</v>
      </c>
      <c r="AG231" s="63">
        <v>0</v>
      </c>
      <c r="AH231" s="63">
        <v>0</v>
      </c>
      <c r="AI231" s="65">
        <v>14.42</v>
      </c>
      <c r="AJ231" s="64">
        <v>35</v>
      </c>
      <c r="AK231" s="62">
        <v>10</v>
      </c>
      <c r="AL231" s="62">
        <v>0</v>
      </c>
      <c r="AM231" s="62">
        <v>0</v>
      </c>
      <c r="AN231" s="65">
        <v>7.69</v>
      </c>
      <c r="AO231" s="61">
        <v>34</v>
      </c>
      <c r="AP231" s="62">
        <v>10.1</v>
      </c>
      <c r="AQ231" s="62">
        <v>110</v>
      </c>
      <c r="AR231" s="62">
        <v>0</v>
      </c>
      <c r="AS231" s="65">
        <v>10.19</v>
      </c>
      <c r="AT231" s="64" t="s">
        <v>38</v>
      </c>
      <c r="AU231" s="65" t="s">
        <v>38</v>
      </c>
      <c r="AV231" s="64">
        <v>92.159011840820298</v>
      </c>
      <c r="AW231" s="65">
        <v>356.19719263712562</v>
      </c>
      <c r="AX231" s="8"/>
      <c r="AZ231" s="1">
        <v>90</v>
      </c>
      <c r="BB231" s="82">
        <f t="shared" si="23"/>
        <v>36.288199999999996</v>
      </c>
    </row>
    <row r="232" spans="3:54" ht="15" customHeight="1" x14ac:dyDescent="0.25">
      <c r="C232" s="42">
        <f>C220+1</f>
        <v>19</v>
      </c>
      <c r="D232" s="66">
        <f>DATE([3]Dash!$F$3,VLOOKUP([3]Dash!$E$3,[3]Abb!$C$3:$D$14,2,FALSE),C232)</f>
        <v>45735</v>
      </c>
      <c r="E232" s="67">
        <f>E231+2/24</f>
        <v>18.250000000000011</v>
      </c>
      <c r="F232" s="68">
        <f t="shared" si="25"/>
        <v>45735.250000000524</v>
      </c>
      <c r="G232" s="46" t="s">
        <v>38</v>
      </c>
      <c r="H232" s="47">
        <v>36</v>
      </c>
      <c r="I232" s="48">
        <v>9.6999999999999993</v>
      </c>
      <c r="J232" s="48">
        <v>200</v>
      </c>
      <c r="K232" s="49">
        <v>0</v>
      </c>
      <c r="L232" s="50">
        <v>36</v>
      </c>
      <c r="M232" s="48">
        <v>9.6999999999999993</v>
      </c>
      <c r="N232" s="48">
        <v>200</v>
      </c>
      <c r="O232" s="51">
        <v>0</v>
      </c>
      <c r="P232" s="47">
        <v>36</v>
      </c>
      <c r="Q232" s="48">
        <v>9.6999999999999993</v>
      </c>
      <c r="R232" s="49">
        <v>0</v>
      </c>
      <c r="S232" s="49">
        <v>0</v>
      </c>
      <c r="T232" s="51">
        <v>17.88</v>
      </c>
      <c r="U232" s="50">
        <v>36</v>
      </c>
      <c r="V232" s="48">
        <v>9.8000000000000007</v>
      </c>
      <c r="W232" s="49">
        <v>0</v>
      </c>
      <c r="X232" s="49">
        <v>0</v>
      </c>
      <c r="Y232" s="51">
        <v>16.34</v>
      </c>
      <c r="Z232" s="47">
        <v>35</v>
      </c>
      <c r="AA232" s="48">
        <v>9.8000000000000007</v>
      </c>
      <c r="AB232" s="49">
        <v>0</v>
      </c>
      <c r="AC232" s="49">
        <v>0</v>
      </c>
      <c r="AD232" s="51">
        <v>16.149999999999999</v>
      </c>
      <c r="AE232" s="50">
        <v>36</v>
      </c>
      <c r="AF232" s="48">
        <v>9.9</v>
      </c>
      <c r="AG232" s="49">
        <v>0</v>
      </c>
      <c r="AH232" s="49">
        <v>0</v>
      </c>
      <c r="AI232" s="51">
        <v>13.84</v>
      </c>
      <c r="AJ232" s="50">
        <v>36</v>
      </c>
      <c r="AK232" s="48">
        <v>10</v>
      </c>
      <c r="AL232" s="48">
        <v>0</v>
      </c>
      <c r="AM232" s="48">
        <v>0</v>
      </c>
      <c r="AN232" s="51">
        <v>8.07</v>
      </c>
      <c r="AO232" s="47">
        <v>35</v>
      </c>
      <c r="AP232" s="48">
        <v>10.1</v>
      </c>
      <c r="AQ232" s="48">
        <v>110</v>
      </c>
      <c r="AR232" s="48">
        <v>0</v>
      </c>
      <c r="AS232" s="51">
        <v>10.57</v>
      </c>
      <c r="AT232" s="50" t="s">
        <v>38</v>
      </c>
      <c r="AU232" s="51" t="s">
        <v>38</v>
      </c>
      <c r="AV232" s="50">
        <v>69.53125</v>
      </c>
      <c r="AW232" s="51">
        <v>319.02174930572511</v>
      </c>
      <c r="AX232" s="8"/>
      <c r="AZ232" s="1">
        <v>90</v>
      </c>
      <c r="BB232" s="82">
        <f t="shared" si="23"/>
        <v>36.619699999999995</v>
      </c>
    </row>
    <row r="233" spans="3:54" ht="15" customHeight="1" x14ac:dyDescent="0.25">
      <c r="C233" s="42"/>
      <c r="D233" s="43">
        <f>D232</f>
        <v>45735</v>
      </c>
      <c r="E233" s="44">
        <f>E232+2/24</f>
        <v>18.333333333333343</v>
      </c>
      <c r="F233" s="45">
        <f t="shared" si="25"/>
        <v>45735.33333333386</v>
      </c>
      <c r="G233" s="52">
        <v>40</v>
      </c>
      <c r="H233" s="53">
        <v>38</v>
      </c>
      <c r="I233" s="54">
        <v>9.6</v>
      </c>
      <c r="J233" s="54">
        <v>200</v>
      </c>
      <c r="K233" s="55">
        <v>0</v>
      </c>
      <c r="L233" s="56">
        <v>37</v>
      </c>
      <c r="M233" s="54">
        <v>9.6</v>
      </c>
      <c r="N233" s="54">
        <v>200</v>
      </c>
      <c r="O233" s="57">
        <v>0</v>
      </c>
      <c r="P233" s="53">
        <v>36</v>
      </c>
      <c r="Q233" s="54">
        <v>9.6</v>
      </c>
      <c r="R233" s="55">
        <v>0</v>
      </c>
      <c r="S233" s="55">
        <v>0</v>
      </c>
      <c r="T233" s="57">
        <v>16.34</v>
      </c>
      <c r="U233" s="56">
        <v>38</v>
      </c>
      <c r="V233" s="54">
        <v>10</v>
      </c>
      <c r="W233" s="55">
        <v>0</v>
      </c>
      <c r="X233" s="55">
        <v>0</v>
      </c>
      <c r="Y233" s="57">
        <v>14.42</v>
      </c>
      <c r="Z233" s="53">
        <v>35</v>
      </c>
      <c r="AA233" s="54">
        <v>9.6999999999999993</v>
      </c>
      <c r="AB233" s="55">
        <v>0</v>
      </c>
      <c r="AC233" s="55">
        <v>0</v>
      </c>
      <c r="AD233" s="57">
        <v>14.3</v>
      </c>
      <c r="AE233" s="56">
        <v>34</v>
      </c>
      <c r="AF233" s="54">
        <v>9.9</v>
      </c>
      <c r="AG233" s="55">
        <v>0</v>
      </c>
      <c r="AH233" s="55">
        <v>0</v>
      </c>
      <c r="AI233" s="57">
        <v>14.42</v>
      </c>
      <c r="AJ233" s="56">
        <v>33</v>
      </c>
      <c r="AK233" s="54">
        <v>10</v>
      </c>
      <c r="AL233" s="54">
        <v>0</v>
      </c>
      <c r="AM233" s="54">
        <v>0</v>
      </c>
      <c r="AN233" s="57">
        <v>6.73</v>
      </c>
      <c r="AO233" s="53">
        <v>34</v>
      </c>
      <c r="AP233" s="54">
        <v>10.1</v>
      </c>
      <c r="AQ233" s="54">
        <v>90</v>
      </c>
      <c r="AR233" s="54">
        <v>0</v>
      </c>
      <c r="AS233" s="57">
        <v>10.57</v>
      </c>
      <c r="AT233" s="56">
        <v>26</v>
      </c>
      <c r="AU233" s="57">
        <v>80</v>
      </c>
      <c r="AV233" s="56">
        <v>71.52099609375</v>
      </c>
      <c r="AW233" s="57">
        <v>397.18074874877931</v>
      </c>
      <c r="AX233" s="8"/>
      <c r="AZ233" s="1">
        <v>90</v>
      </c>
      <c r="BB233" s="82">
        <f t="shared" si="23"/>
        <v>33.93676</v>
      </c>
    </row>
    <row r="234" spans="3:54" ht="15" customHeight="1" x14ac:dyDescent="0.25">
      <c r="C234" s="42"/>
      <c r="D234" s="43">
        <f>D232</f>
        <v>45735</v>
      </c>
      <c r="E234" s="44">
        <f t="shared" ref="E234:E243" si="27">E233+2/24</f>
        <v>18.416666666666675</v>
      </c>
      <c r="F234" s="45">
        <f t="shared" si="25"/>
        <v>45735.416666667195</v>
      </c>
      <c r="G234" s="52">
        <v>42</v>
      </c>
      <c r="H234" s="53">
        <v>37</v>
      </c>
      <c r="I234" s="54">
        <v>9.8000000000000007</v>
      </c>
      <c r="J234" s="54">
        <v>500</v>
      </c>
      <c r="K234" s="55">
        <v>0</v>
      </c>
      <c r="L234" s="56">
        <v>36</v>
      </c>
      <c r="M234" s="54">
        <v>9.9</v>
      </c>
      <c r="N234" s="54">
        <v>350</v>
      </c>
      <c r="O234" s="57">
        <v>0</v>
      </c>
      <c r="P234" s="53">
        <v>37</v>
      </c>
      <c r="Q234" s="54">
        <v>9.6999999999999993</v>
      </c>
      <c r="R234" s="55">
        <v>0</v>
      </c>
      <c r="S234" s="55">
        <v>0</v>
      </c>
      <c r="T234" s="57">
        <v>16.34</v>
      </c>
      <c r="U234" s="56">
        <v>36</v>
      </c>
      <c r="V234" s="54">
        <v>10</v>
      </c>
      <c r="W234" s="55">
        <v>0</v>
      </c>
      <c r="X234" s="55">
        <v>0</v>
      </c>
      <c r="Y234" s="57">
        <v>15.38</v>
      </c>
      <c r="Z234" s="53">
        <v>38</v>
      </c>
      <c r="AA234" s="54">
        <v>9.6999999999999993</v>
      </c>
      <c r="AB234" s="55">
        <v>0</v>
      </c>
      <c r="AC234" s="55">
        <v>0</v>
      </c>
      <c r="AD234" s="57">
        <v>16.920000000000002</v>
      </c>
      <c r="AE234" s="56">
        <v>39</v>
      </c>
      <c r="AF234" s="54">
        <v>9.9</v>
      </c>
      <c r="AG234" s="55">
        <v>0</v>
      </c>
      <c r="AH234" s="55">
        <v>0</v>
      </c>
      <c r="AI234" s="57">
        <v>14.42</v>
      </c>
      <c r="AJ234" s="56">
        <v>34</v>
      </c>
      <c r="AK234" s="54">
        <v>10</v>
      </c>
      <c r="AL234" s="54">
        <v>0</v>
      </c>
      <c r="AM234" s="54">
        <v>0</v>
      </c>
      <c r="AN234" s="57">
        <v>7.3</v>
      </c>
      <c r="AO234" s="53">
        <v>36</v>
      </c>
      <c r="AP234" s="54">
        <v>10.1</v>
      </c>
      <c r="AQ234" s="54">
        <v>90</v>
      </c>
      <c r="AR234" s="54">
        <v>0</v>
      </c>
      <c r="AS234" s="57">
        <v>9.61</v>
      </c>
      <c r="AT234" s="56">
        <v>25</v>
      </c>
      <c r="AU234" s="57">
        <v>80</v>
      </c>
      <c r="AV234" s="56">
        <v>94.209793090820298</v>
      </c>
      <c r="AW234" s="57">
        <v>272.61935745405498</v>
      </c>
      <c r="AX234" s="8"/>
      <c r="AZ234" s="1">
        <v>90</v>
      </c>
      <c r="BB234" s="82">
        <f t="shared" si="23"/>
        <v>35.346739999999997</v>
      </c>
    </row>
    <row r="235" spans="3:54" ht="15" customHeight="1" x14ac:dyDescent="0.25">
      <c r="C235" s="42"/>
      <c r="D235" s="43">
        <f>D232</f>
        <v>45735</v>
      </c>
      <c r="E235" s="44">
        <f t="shared" si="27"/>
        <v>18.500000000000007</v>
      </c>
      <c r="F235" s="45">
        <f t="shared" si="25"/>
        <v>45735.500000000531</v>
      </c>
      <c r="G235" s="52">
        <v>44</v>
      </c>
      <c r="H235" s="53">
        <v>38</v>
      </c>
      <c r="I235" s="54">
        <v>9.5</v>
      </c>
      <c r="J235" s="54">
        <v>350</v>
      </c>
      <c r="K235" s="55">
        <v>0</v>
      </c>
      <c r="L235" s="56">
        <v>36</v>
      </c>
      <c r="M235" s="54">
        <v>9.6999999999999993</v>
      </c>
      <c r="N235" s="54">
        <v>350</v>
      </c>
      <c r="O235" s="57">
        <v>0</v>
      </c>
      <c r="P235" s="53">
        <v>36</v>
      </c>
      <c r="Q235" s="54">
        <v>10</v>
      </c>
      <c r="R235" s="55">
        <v>0</v>
      </c>
      <c r="S235" s="55">
        <v>0</v>
      </c>
      <c r="T235" s="57">
        <v>16.34</v>
      </c>
      <c r="U235" s="56">
        <v>37</v>
      </c>
      <c r="V235" s="54">
        <v>9.9</v>
      </c>
      <c r="W235" s="55">
        <v>0</v>
      </c>
      <c r="X235" s="55">
        <v>0</v>
      </c>
      <c r="Y235" s="57">
        <v>15.38</v>
      </c>
      <c r="Z235" s="53">
        <v>36</v>
      </c>
      <c r="AA235" s="54">
        <v>9.8000000000000007</v>
      </c>
      <c r="AB235" s="55">
        <v>0</v>
      </c>
      <c r="AC235" s="55">
        <v>0</v>
      </c>
      <c r="AD235" s="57">
        <v>17.3</v>
      </c>
      <c r="AE235" s="56">
        <v>36</v>
      </c>
      <c r="AF235" s="54">
        <v>10</v>
      </c>
      <c r="AG235" s="55">
        <v>0</v>
      </c>
      <c r="AH235" s="55">
        <v>0</v>
      </c>
      <c r="AI235" s="57">
        <v>14.42</v>
      </c>
      <c r="AJ235" s="56">
        <v>35</v>
      </c>
      <c r="AK235" s="54">
        <v>9.9</v>
      </c>
      <c r="AL235" s="54">
        <v>0</v>
      </c>
      <c r="AM235" s="54">
        <v>0</v>
      </c>
      <c r="AN235" s="57">
        <v>6.92</v>
      </c>
      <c r="AO235" s="53">
        <v>35</v>
      </c>
      <c r="AP235" s="54">
        <v>10.1</v>
      </c>
      <c r="AQ235" s="54">
        <v>100</v>
      </c>
      <c r="AR235" s="54">
        <v>0</v>
      </c>
      <c r="AS235" s="57">
        <v>10</v>
      </c>
      <c r="AT235" s="56">
        <v>25</v>
      </c>
      <c r="AU235" s="57">
        <v>80</v>
      </c>
      <c r="AV235" s="56">
        <v>94.54345703125</v>
      </c>
      <c r="AW235" s="57">
        <v>187.24404394100421</v>
      </c>
      <c r="AX235" s="8"/>
      <c r="AZ235" s="1">
        <v>90</v>
      </c>
      <c r="BB235" s="82">
        <f t="shared" si="23"/>
        <v>35.519119999999994</v>
      </c>
    </row>
    <row r="236" spans="3:54" ht="15" customHeight="1" x14ac:dyDescent="0.25">
      <c r="C236" s="42"/>
      <c r="D236" s="43">
        <f>D232</f>
        <v>45735</v>
      </c>
      <c r="E236" s="44">
        <f t="shared" si="27"/>
        <v>18.583333333333339</v>
      </c>
      <c r="F236" s="45">
        <f t="shared" si="25"/>
        <v>45735.583333333867</v>
      </c>
      <c r="G236" s="52">
        <v>46</v>
      </c>
      <c r="H236" s="53">
        <v>38</v>
      </c>
      <c r="I236" s="54">
        <v>9.1</v>
      </c>
      <c r="J236" s="54">
        <v>200</v>
      </c>
      <c r="K236" s="55">
        <v>0</v>
      </c>
      <c r="L236" s="56">
        <v>37</v>
      </c>
      <c r="M236" s="54">
        <v>9.5</v>
      </c>
      <c r="N236" s="54">
        <v>350</v>
      </c>
      <c r="O236" s="57">
        <v>0</v>
      </c>
      <c r="P236" s="53">
        <v>36</v>
      </c>
      <c r="Q236" s="54">
        <v>9.6999999999999993</v>
      </c>
      <c r="R236" s="55">
        <v>0</v>
      </c>
      <c r="S236" s="55">
        <v>0</v>
      </c>
      <c r="T236" s="57">
        <v>16.34</v>
      </c>
      <c r="U236" s="56">
        <v>36</v>
      </c>
      <c r="V236" s="54">
        <v>10</v>
      </c>
      <c r="W236" s="55">
        <v>0</v>
      </c>
      <c r="X236" s="55">
        <v>0</v>
      </c>
      <c r="Y236" s="57">
        <v>16.940000000000001</v>
      </c>
      <c r="Z236" s="53">
        <v>37</v>
      </c>
      <c r="AA236" s="54">
        <v>9.6999999999999993</v>
      </c>
      <c r="AB236" s="55">
        <v>0</v>
      </c>
      <c r="AC236" s="55">
        <v>0</v>
      </c>
      <c r="AD236" s="57">
        <v>17.3</v>
      </c>
      <c r="AE236" s="56">
        <v>34</v>
      </c>
      <c r="AF236" s="54">
        <v>10.1</v>
      </c>
      <c r="AG236" s="55">
        <v>0</v>
      </c>
      <c r="AH236" s="55">
        <v>0</v>
      </c>
      <c r="AI236" s="57">
        <v>14.42</v>
      </c>
      <c r="AJ236" s="56">
        <v>33</v>
      </c>
      <c r="AK236" s="54">
        <v>9.9</v>
      </c>
      <c r="AL236" s="54">
        <v>0</v>
      </c>
      <c r="AM236" s="54">
        <v>0</v>
      </c>
      <c r="AN236" s="57">
        <v>6.73</v>
      </c>
      <c r="AO236" s="53">
        <v>36</v>
      </c>
      <c r="AP236" s="54">
        <v>10</v>
      </c>
      <c r="AQ236" s="54">
        <v>90</v>
      </c>
      <c r="AR236" s="54">
        <v>0</v>
      </c>
      <c r="AS236" s="57">
        <v>9.61</v>
      </c>
      <c r="AT236" s="56">
        <v>26</v>
      </c>
      <c r="AU236" s="57">
        <v>70</v>
      </c>
      <c r="AV236" s="56">
        <v>94.580078125</v>
      </c>
      <c r="AW236" s="57">
        <v>188.38059462224288</v>
      </c>
      <c r="AX236" s="8"/>
      <c r="AZ236" s="1">
        <v>90</v>
      </c>
      <c r="BB236" s="82">
        <f t="shared" si="23"/>
        <v>35.952280000000002</v>
      </c>
    </row>
    <row r="237" spans="3:54" ht="15" customHeight="1" x14ac:dyDescent="0.25">
      <c r="C237" s="42"/>
      <c r="D237" s="43">
        <f>D232</f>
        <v>45735</v>
      </c>
      <c r="E237" s="44">
        <f t="shared" si="27"/>
        <v>18.666666666666671</v>
      </c>
      <c r="F237" s="45">
        <f t="shared" si="25"/>
        <v>45735.666666667203</v>
      </c>
      <c r="G237" s="52">
        <v>41</v>
      </c>
      <c r="H237" s="53">
        <v>39</v>
      </c>
      <c r="I237" s="54">
        <v>9.4</v>
      </c>
      <c r="J237" s="54">
        <v>250</v>
      </c>
      <c r="K237" s="55">
        <v>0</v>
      </c>
      <c r="L237" s="56">
        <v>38</v>
      </c>
      <c r="M237" s="54">
        <v>9.6</v>
      </c>
      <c r="N237" s="54">
        <v>350</v>
      </c>
      <c r="O237" s="57">
        <v>0</v>
      </c>
      <c r="P237" s="53">
        <v>37</v>
      </c>
      <c r="Q237" s="54">
        <v>9.6999999999999993</v>
      </c>
      <c r="R237" s="55">
        <v>0</v>
      </c>
      <c r="S237" s="55">
        <v>0</v>
      </c>
      <c r="T237" s="57">
        <v>16.53</v>
      </c>
      <c r="U237" s="56">
        <v>37</v>
      </c>
      <c r="V237" s="54">
        <v>10</v>
      </c>
      <c r="W237" s="55">
        <v>0</v>
      </c>
      <c r="X237" s="55">
        <v>0</v>
      </c>
      <c r="Y237" s="57">
        <v>16.34</v>
      </c>
      <c r="Z237" s="53">
        <v>36</v>
      </c>
      <c r="AA237" s="54">
        <v>9.8000000000000007</v>
      </c>
      <c r="AB237" s="55">
        <v>0</v>
      </c>
      <c r="AC237" s="55">
        <v>0</v>
      </c>
      <c r="AD237" s="57">
        <v>17.690000000000001</v>
      </c>
      <c r="AE237" s="56">
        <v>35</v>
      </c>
      <c r="AF237" s="54">
        <v>10</v>
      </c>
      <c r="AG237" s="55">
        <v>0</v>
      </c>
      <c r="AH237" s="55">
        <v>0</v>
      </c>
      <c r="AI237" s="57">
        <v>14.61</v>
      </c>
      <c r="AJ237" s="56">
        <v>34</v>
      </c>
      <c r="AK237" s="54">
        <v>9.9</v>
      </c>
      <c r="AL237" s="54">
        <v>0</v>
      </c>
      <c r="AM237" s="54">
        <v>0</v>
      </c>
      <c r="AN237" s="57">
        <v>7.3</v>
      </c>
      <c r="AO237" s="53">
        <v>34</v>
      </c>
      <c r="AP237" s="54">
        <v>10</v>
      </c>
      <c r="AQ237" s="54">
        <v>110</v>
      </c>
      <c r="AR237" s="54">
        <v>0</v>
      </c>
      <c r="AS237" s="57">
        <v>10.57</v>
      </c>
      <c r="AT237" s="56">
        <v>27</v>
      </c>
      <c r="AU237" s="57">
        <v>80</v>
      </c>
      <c r="AV237" s="56">
        <v>94.637039184570298</v>
      </c>
      <c r="AW237" s="57">
        <v>157.09309935391263</v>
      </c>
      <c r="AX237" s="8"/>
      <c r="AZ237" s="1">
        <v>90</v>
      </c>
      <c r="BB237" s="82">
        <f t="shared" si="23"/>
        <v>36.703679999999999</v>
      </c>
    </row>
    <row r="238" spans="3:54" ht="15" customHeight="1" x14ac:dyDescent="0.25">
      <c r="C238" s="42"/>
      <c r="D238" s="43">
        <f>D232</f>
        <v>45735</v>
      </c>
      <c r="E238" s="44">
        <f t="shared" si="27"/>
        <v>18.750000000000004</v>
      </c>
      <c r="F238" s="45">
        <f t="shared" si="25"/>
        <v>45735.750000000538</v>
      </c>
      <c r="G238" s="52">
        <v>42</v>
      </c>
      <c r="H238" s="53">
        <v>38</v>
      </c>
      <c r="I238" s="54">
        <v>11.1</v>
      </c>
      <c r="J238" s="54">
        <v>250</v>
      </c>
      <c r="K238" s="55">
        <v>0</v>
      </c>
      <c r="L238" s="56">
        <v>40</v>
      </c>
      <c r="M238" s="54">
        <v>9.6</v>
      </c>
      <c r="N238" s="54">
        <v>250</v>
      </c>
      <c r="O238" s="57">
        <v>0</v>
      </c>
      <c r="P238" s="53">
        <v>38</v>
      </c>
      <c r="Q238" s="54">
        <v>9.6999999999999993</v>
      </c>
      <c r="R238" s="55">
        <v>0</v>
      </c>
      <c r="S238" s="55">
        <v>0</v>
      </c>
      <c r="T238" s="57">
        <v>16.920000000000002</v>
      </c>
      <c r="U238" s="56">
        <v>38</v>
      </c>
      <c r="V238" s="54">
        <v>10</v>
      </c>
      <c r="W238" s="55">
        <v>0</v>
      </c>
      <c r="X238" s="55">
        <v>0</v>
      </c>
      <c r="Y238" s="57">
        <v>16.34</v>
      </c>
      <c r="Z238" s="53">
        <v>37</v>
      </c>
      <c r="AA238" s="54">
        <v>9.8000000000000007</v>
      </c>
      <c r="AB238" s="55">
        <v>0</v>
      </c>
      <c r="AC238" s="55">
        <v>0</v>
      </c>
      <c r="AD238" s="57">
        <v>17.3</v>
      </c>
      <c r="AE238" s="56">
        <v>36</v>
      </c>
      <c r="AF238" s="54">
        <v>10</v>
      </c>
      <c r="AG238" s="55">
        <v>0</v>
      </c>
      <c r="AH238" s="55">
        <v>0</v>
      </c>
      <c r="AI238" s="57">
        <v>14.42</v>
      </c>
      <c r="AJ238" s="56">
        <v>35</v>
      </c>
      <c r="AK238" s="54">
        <v>9.8000000000000007</v>
      </c>
      <c r="AL238" s="54">
        <v>0</v>
      </c>
      <c r="AM238" s="54">
        <v>0</v>
      </c>
      <c r="AN238" s="57">
        <v>6.92</v>
      </c>
      <c r="AO238" s="53">
        <v>34</v>
      </c>
      <c r="AP238" s="54">
        <v>9.9</v>
      </c>
      <c r="AQ238" s="54">
        <v>90</v>
      </c>
      <c r="AR238" s="54">
        <v>0</v>
      </c>
      <c r="AS238" s="57">
        <v>10.76</v>
      </c>
      <c r="AT238" s="56">
        <v>25</v>
      </c>
      <c r="AU238" s="57">
        <v>80</v>
      </c>
      <c r="AV238" s="56">
        <v>94.7265625</v>
      </c>
      <c r="AW238" s="57">
        <v>178.15538180199607</v>
      </c>
      <c r="AX238" s="8"/>
      <c r="AZ238" s="1">
        <v>90</v>
      </c>
      <c r="BB238" s="82">
        <f t="shared" si="23"/>
        <v>36.535719999999998</v>
      </c>
    </row>
    <row r="239" spans="3:54" ht="15" customHeight="1" x14ac:dyDescent="0.25">
      <c r="C239" s="42"/>
      <c r="D239" s="43">
        <f>D232</f>
        <v>45735</v>
      </c>
      <c r="E239" s="44">
        <f t="shared" si="27"/>
        <v>18.833333333333336</v>
      </c>
      <c r="F239" s="45">
        <f t="shared" si="25"/>
        <v>45735.833333333874</v>
      </c>
      <c r="G239" s="52">
        <v>41</v>
      </c>
      <c r="H239" s="53">
        <v>40</v>
      </c>
      <c r="I239" s="54">
        <v>10.7</v>
      </c>
      <c r="J239" s="54">
        <v>150</v>
      </c>
      <c r="K239" s="55">
        <v>0</v>
      </c>
      <c r="L239" s="56">
        <v>41</v>
      </c>
      <c r="M239" s="54">
        <v>10.1</v>
      </c>
      <c r="N239" s="54">
        <v>250</v>
      </c>
      <c r="O239" s="57">
        <v>0</v>
      </c>
      <c r="P239" s="53">
        <v>39</v>
      </c>
      <c r="Q239" s="54">
        <v>9.8000000000000007</v>
      </c>
      <c r="R239" s="55">
        <v>0</v>
      </c>
      <c r="S239" s="55">
        <v>0</v>
      </c>
      <c r="T239" s="57">
        <v>14.42</v>
      </c>
      <c r="U239" s="56">
        <v>38</v>
      </c>
      <c r="V239" s="54">
        <v>9.9</v>
      </c>
      <c r="W239" s="55">
        <v>0</v>
      </c>
      <c r="X239" s="55">
        <v>0</v>
      </c>
      <c r="Y239" s="57">
        <v>16.34</v>
      </c>
      <c r="Z239" s="53">
        <v>38</v>
      </c>
      <c r="AA239" s="54">
        <v>9.6999999999999993</v>
      </c>
      <c r="AB239" s="55">
        <v>0</v>
      </c>
      <c r="AC239" s="55">
        <v>0</v>
      </c>
      <c r="AD239" s="57">
        <v>17.3</v>
      </c>
      <c r="AE239" s="56">
        <v>36</v>
      </c>
      <c r="AF239" s="54">
        <v>9.6999999999999993</v>
      </c>
      <c r="AG239" s="55">
        <v>0</v>
      </c>
      <c r="AH239" s="55">
        <v>0</v>
      </c>
      <c r="AI239" s="57">
        <v>13.46</v>
      </c>
      <c r="AJ239" s="56">
        <v>36</v>
      </c>
      <c r="AK239" s="54">
        <v>9.8000000000000007</v>
      </c>
      <c r="AL239" s="54">
        <v>0</v>
      </c>
      <c r="AM239" s="54">
        <v>0</v>
      </c>
      <c r="AN239" s="57">
        <v>7.3</v>
      </c>
      <c r="AO239" s="53">
        <v>35</v>
      </c>
      <c r="AP239" s="54">
        <v>9.9</v>
      </c>
      <c r="AQ239" s="54">
        <v>100</v>
      </c>
      <c r="AR239" s="54">
        <v>0</v>
      </c>
      <c r="AS239" s="57">
        <v>9.61</v>
      </c>
      <c r="AT239" s="56">
        <v>26</v>
      </c>
      <c r="AU239" s="57">
        <v>80</v>
      </c>
      <c r="AV239" s="56">
        <v>94.775390625</v>
      </c>
      <c r="AW239" s="57">
        <v>200.14443576241223</v>
      </c>
      <c r="AX239" s="8"/>
      <c r="AZ239" s="1">
        <v>90</v>
      </c>
      <c r="BB239" s="82">
        <f t="shared" si="23"/>
        <v>34.666059999999995</v>
      </c>
    </row>
    <row r="240" spans="3:54" ht="15" customHeight="1" x14ac:dyDescent="0.25">
      <c r="C240" s="42"/>
      <c r="D240" s="43">
        <f>D232</f>
        <v>45735</v>
      </c>
      <c r="E240" s="44">
        <f t="shared" si="27"/>
        <v>18.916666666666668</v>
      </c>
      <c r="F240" s="45">
        <f t="shared" si="25"/>
        <v>45735.91666666721</v>
      </c>
      <c r="G240" s="52">
        <v>39</v>
      </c>
      <c r="H240" s="53">
        <v>39</v>
      </c>
      <c r="I240" s="54">
        <v>10.6</v>
      </c>
      <c r="J240" s="54">
        <v>200</v>
      </c>
      <c r="K240" s="55">
        <v>0</v>
      </c>
      <c r="L240" s="56">
        <v>38</v>
      </c>
      <c r="M240" s="54">
        <v>10.199999999999999</v>
      </c>
      <c r="N240" s="54">
        <v>250</v>
      </c>
      <c r="O240" s="57">
        <v>0</v>
      </c>
      <c r="P240" s="53">
        <v>37</v>
      </c>
      <c r="Q240" s="54">
        <v>9.9</v>
      </c>
      <c r="R240" s="55">
        <v>0</v>
      </c>
      <c r="S240" s="55">
        <v>0</v>
      </c>
      <c r="T240" s="57">
        <v>9.61</v>
      </c>
      <c r="U240" s="56">
        <v>38</v>
      </c>
      <c r="V240" s="54">
        <v>9.8000000000000007</v>
      </c>
      <c r="W240" s="55">
        <v>0</v>
      </c>
      <c r="X240" s="55">
        <v>0</v>
      </c>
      <c r="Y240" s="57">
        <v>16.149999999999999</v>
      </c>
      <c r="Z240" s="53">
        <v>38</v>
      </c>
      <c r="AA240" s="54">
        <v>9.6999999999999993</v>
      </c>
      <c r="AB240" s="55">
        <v>0</v>
      </c>
      <c r="AC240" s="55">
        <v>0</v>
      </c>
      <c r="AD240" s="57">
        <v>16.920000000000002</v>
      </c>
      <c r="AE240" s="56">
        <v>37</v>
      </c>
      <c r="AF240" s="54">
        <v>9.8000000000000007</v>
      </c>
      <c r="AG240" s="55">
        <v>0</v>
      </c>
      <c r="AH240" s="55">
        <v>0</v>
      </c>
      <c r="AI240" s="57">
        <v>13.65</v>
      </c>
      <c r="AJ240" s="56">
        <v>36</v>
      </c>
      <c r="AK240" s="54">
        <v>9.8000000000000007</v>
      </c>
      <c r="AL240" s="54">
        <v>0</v>
      </c>
      <c r="AM240" s="54">
        <v>0</v>
      </c>
      <c r="AN240" s="57">
        <v>7.69</v>
      </c>
      <c r="AO240" s="53">
        <v>34</v>
      </c>
      <c r="AP240" s="54">
        <v>9.8000000000000007</v>
      </c>
      <c r="AQ240" s="54">
        <v>110</v>
      </c>
      <c r="AR240" s="54">
        <v>0</v>
      </c>
      <c r="AS240" s="57">
        <v>9.23</v>
      </c>
      <c r="AT240" s="56">
        <v>24</v>
      </c>
      <c r="AU240" s="57">
        <v>80</v>
      </c>
      <c r="AV240" s="56">
        <v>94.844558715820298</v>
      </c>
      <c r="AW240" s="57">
        <v>201.46122697682588</v>
      </c>
      <c r="AX240" s="8"/>
      <c r="AZ240" s="1">
        <v>90</v>
      </c>
      <c r="BB240" s="82">
        <f t="shared" si="23"/>
        <v>32.376499999999993</v>
      </c>
    </row>
    <row r="241" spans="3:54" ht="15" customHeight="1" x14ac:dyDescent="0.25">
      <c r="C241" s="42"/>
      <c r="D241" s="43">
        <f>D232</f>
        <v>45735</v>
      </c>
      <c r="E241" s="44">
        <f t="shared" si="27"/>
        <v>19</v>
      </c>
      <c r="F241" s="45">
        <f t="shared" si="25"/>
        <v>45736.000000000546</v>
      </c>
      <c r="G241" s="52">
        <v>41</v>
      </c>
      <c r="H241" s="53">
        <v>40</v>
      </c>
      <c r="I241" s="54">
        <v>10.199999999999999</v>
      </c>
      <c r="J241" s="54">
        <v>250</v>
      </c>
      <c r="K241" s="55">
        <v>0</v>
      </c>
      <c r="L241" s="56">
        <v>40</v>
      </c>
      <c r="M241" s="54">
        <v>10.199999999999999</v>
      </c>
      <c r="N241" s="54">
        <v>250</v>
      </c>
      <c r="O241" s="57">
        <v>0</v>
      </c>
      <c r="P241" s="53">
        <v>38</v>
      </c>
      <c r="Q241" s="54">
        <v>10</v>
      </c>
      <c r="R241" s="55">
        <v>0</v>
      </c>
      <c r="S241" s="55">
        <v>0</v>
      </c>
      <c r="T241" s="57">
        <v>6.73</v>
      </c>
      <c r="U241" s="56">
        <v>38</v>
      </c>
      <c r="V241" s="54">
        <v>9.9</v>
      </c>
      <c r="W241" s="55">
        <v>0</v>
      </c>
      <c r="X241" s="55">
        <v>0</v>
      </c>
      <c r="Y241" s="57">
        <v>14.8</v>
      </c>
      <c r="Z241" s="53">
        <v>37</v>
      </c>
      <c r="AA241" s="54">
        <v>9.8000000000000007</v>
      </c>
      <c r="AB241" s="55">
        <v>0</v>
      </c>
      <c r="AC241" s="55">
        <v>0</v>
      </c>
      <c r="AD241" s="57">
        <v>18.260000000000002</v>
      </c>
      <c r="AE241" s="56">
        <v>37</v>
      </c>
      <c r="AF241" s="54">
        <v>9.6999999999999993</v>
      </c>
      <c r="AG241" s="55">
        <v>0</v>
      </c>
      <c r="AH241" s="55">
        <v>0</v>
      </c>
      <c r="AI241" s="57">
        <v>12.5</v>
      </c>
      <c r="AJ241" s="56">
        <v>36</v>
      </c>
      <c r="AK241" s="54">
        <v>9.6999999999999993</v>
      </c>
      <c r="AL241" s="54">
        <v>0</v>
      </c>
      <c r="AM241" s="54">
        <v>0</v>
      </c>
      <c r="AN241" s="57">
        <v>7.3</v>
      </c>
      <c r="AO241" s="53">
        <v>36</v>
      </c>
      <c r="AP241" s="54">
        <v>9.6999999999999993</v>
      </c>
      <c r="AQ241" s="54">
        <v>120</v>
      </c>
      <c r="AR241" s="54">
        <v>0</v>
      </c>
      <c r="AS241" s="57">
        <v>9.61</v>
      </c>
      <c r="AT241" s="56">
        <v>27</v>
      </c>
      <c r="AU241" s="57">
        <v>80</v>
      </c>
      <c r="AV241" s="56">
        <v>94.93408203125</v>
      </c>
      <c r="AW241" s="57">
        <v>204.27541446095952</v>
      </c>
      <c r="AX241" s="8"/>
      <c r="AZ241" s="1">
        <v>90</v>
      </c>
      <c r="BB241" s="82">
        <f t="shared" si="23"/>
        <v>30.586399999999998</v>
      </c>
    </row>
    <row r="242" spans="3:54" ht="15" customHeight="1" x14ac:dyDescent="0.25">
      <c r="C242" s="42"/>
      <c r="D242" s="43">
        <f>D232</f>
        <v>45735</v>
      </c>
      <c r="E242" s="44">
        <f t="shared" si="27"/>
        <v>19.083333333333332</v>
      </c>
      <c r="F242" s="45">
        <f t="shared" si="25"/>
        <v>45736.083333333881</v>
      </c>
      <c r="G242" s="52">
        <v>39</v>
      </c>
      <c r="H242" s="53">
        <v>41</v>
      </c>
      <c r="I242" s="54">
        <v>10.9</v>
      </c>
      <c r="J242" s="54">
        <v>350</v>
      </c>
      <c r="K242" s="55">
        <v>0</v>
      </c>
      <c r="L242" s="56">
        <v>40</v>
      </c>
      <c r="M242" s="54">
        <v>10.7</v>
      </c>
      <c r="N242" s="54">
        <v>250</v>
      </c>
      <c r="O242" s="57">
        <v>0</v>
      </c>
      <c r="P242" s="53">
        <v>39</v>
      </c>
      <c r="Q242" s="54">
        <v>10.1</v>
      </c>
      <c r="R242" s="55">
        <v>0</v>
      </c>
      <c r="S242" s="55">
        <v>0</v>
      </c>
      <c r="T242" s="57">
        <v>13.46</v>
      </c>
      <c r="U242" s="56">
        <v>39</v>
      </c>
      <c r="V242" s="54">
        <v>10</v>
      </c>
      <c r="W242" s="55">
        <v>0</v>
      </c>
      <c r="X242" s="55">
        <v>0</v>
      </c>
      <c r="Y242" s="57">
        <v>8.65</v>
      </c>
      <c r="Z242" s="53">
        <v>38</v>
      </c>
      <c r="AA242" s="54">
        <v>9.9</v>
      </c>
      <c r="AB242" s="55">
        <v>0</v>
      </c>
      <c r="AC242" s="55">
        <v>0</v>
      </c>
      <c r="AD242" s="57">
        <v>17.3</v>
      </c>
      <c r="AE242" s="56">
        <v>37</v>
      </c>
      <c r="AF242" s="54">
        <v>9.6999999999999993</v>
      </c>
      <c r="AG242" s="55">
        <v>0</v>
      </c>
      <c r="AH242" s="55">
        <v>0</v>
      </c>
      <c r="AI242" s="57">
        <v>13.46</v>
      </c>
      <c r="AJ242" s="56">
        <v>37</v>
      </c>
      <c r="AK242" s="54">
        <v>9.6999999999999993</v>
      </c>
      <c r="AL242" s="54">
        <v>0</v>
      </c>
      <c r="AM242" s="54">
        <v>0</v>
      </c>
      <c r="AN242" s="57">
        <v>7.3</v>
      </c>
      <c r="AO242" s="53">
        <v>36</v>
      </c>
      <c r="AP242" s="54">
        <v>9.6999999999999993</v>
      </c>
      <c r="AQ242" s="54">
        <v>100</v>
      </c>
      <c r="AR242" s="54">
        <v>0</v>
      </c>
      <c r="AS242" s="57">
        <v>9.61</v>
      </c>
      <c r="AT242" s="56">
        <v>29</v>
      </c>
      <c r="AU242" s="57">
        <v>90</v>
      </c>
      <c r="AV242" s="56">
        <v>94.93408203125</v>
      </c>
      <c r="AW242" s="57">
        <v>200.92942217060678</v>
      </c>
      <c r="AX242" s="8"/>
      <c r="AZ242" s="1">
        <v>90</v>
      </c>
      <c r="BB242" s="82">
        <f t="shared" si="23"/>
        <v>30.842759999999998</v>
      </c>
    </row>
    <row r="243" spans="3:54" ht="15" customHeight="1" x14ac:dyDescent="0.25">
      <c r="C243" s="42"/>
      <c r="D243" s="69">
        <f>D232</f>
        <v>45735</v>
      </c>
      <c r="E243" s="70">
        <f t="shared" si="27"/>
        <v>19.166666666666664</v>
      </c>
      <c r="F243" s="71">
        <f t="shared" si="25"/>
        <v>45736.166666667217</v>
      </c>
      <c r="G243" s="60">
        <v>40</v>
      </c>
      <c r="H243" s="61">
        <v>40</v>
      </c>
      <c r="I243" s="62">
        <v>11</v>
      </c>
      <c r="J243" s="62">
        <v>400</v>
      </c>
      <c r="K243" s="63">
        <v>0</v>
      </c>
      <c r="L243" s="64">
        <v>39</v>
      </c>
      <c r="M243" s="62">
        <v>10.9</v>
      </c>
      <c r="N243" s="62">
        <v>250</v>
      </c>
      <c r="O243" s="65">
        <v>0</v>
      </c>
      <c r="P243" s="61">
        <v>37</v>
      </c>
      <c r="Q243" s="62">
        <v>10.3</v>
      </c>
      <c r="R243" s="63">
        <v>0</v>
      </c>
      <c r="S243" s="63">
        <v>0</v>
      </c>
      <c r="T243" s="65">
        <v>14.42</v>
      </c>
      <c r="U243" s="64">
        <v>38</v>
      </c>
      <c r="V243" s="62">
        <v>10.199999999999999</v>
      </c>
      <c r="W243" s="63">
        <v>0</v>
      </c>
      <c r="X243" s="63">
        <v>0</v>
      </c>
      <c r="Y243" s="65">
        <v>6.73</v>
      </c>
      <c r="Z243" s="61">
        <v>37</v>
      </c>
      <c r="AA243" s="62">
        <v>10.1</v>
      </c>
      <c r="AB243" s="63">
        <v>0</v>
      </c>
      <c r="AC243" s="63">
        <v>0</v>
      </c>
      <c r="AD243" s="65">
        <v>17.3</v>
      </c>
      <c r="AE243" s="64">
        <v>37</v>
      </c>
      <c r="AF243" s="62">
        <v>10</v>
      </c>
      <c r="AG243" s="63">
        <v>0</v>
      </c>
      <c r="AH243" s="63">
        <v>0</v>
      </c>
      <c r="AI243" s="65">
        <v>13.46</v>
      </c>
      <c r="AJ243" s="64">
        <v>36</v>
      </c>
      <c r="AK243" s="62">
        <v>9.9</v>
      </c>
      <c r="AL243" s="62">
        <v>0</v>
      </c>
      <c r="AM243" s="62">
        <v>0</v>
      </c>
      <c r="AN243" s="65">
        <v>7.69</v>
      </c>
      <c r="AO243" s="61">
        <v>35</v>
      </c>
      <c r="AP243" s="62">
        <v>9.8000000000000007</v>
      </c>
      <c r="AQ243" s="62">
        <v>120</v>
      </c>
      <c r="AR243" s="62">
        <v>0</v>
      </c>
      <c r="AS243" s="65">
        <v>10.19</v>
      </c>
      <c r="AT243" s="64">
        <v>28</v>
      </c>
      <c r="AU243" s="65">
        <v>80</v>
      </c>
      <c r="AV243" s="64">
        <v>94.98291015625</v>
      </c>
      <c r="AW243" s="65">
        <v>204.46578303573187</v>
      </c>
      <c r="AX243" s="8"/>
      <c r="AZ243" s="1">
        <v>90</v>
      </c>
      <c r="BB243" s="82">
        <f t="shared" si="23"/>
        <v>30.847180000000002</v>
      </c>
    </row>
    <row r="244" spans="3:54" ht="15" customHeight="1" x14ac:dyDescent="0.25">
      <c r="C244" s="42">
        <f>C232+1</f>
        <v>20</v>
      </c>
      <c r="D244" s="66">
        <f>DATE([3]Dash!$F$3,VLOOKUP([3]Dash!$E$3,[3]Abb!$C$3:$D$14,2,FALSE),C244)</f>
        <v>45736</v>
      </c>
      <c r="E244" s="67">
        <f>E243+2/24</f>
        <v>19.249999999999996</v>
      </c>
      <c r="F244" s="68">
        <f t="shared" si="25"/>
        <v>45736.250000000553</v>
      </c>
      <c r="G244" s="46">
        <v>40</v>
      </c>
      <c r="H244" s="47">
        <v>40</v>
      </c>
      <c r="I244" s="48">
        <v>11</v>
      </c>
      <c r="J244" s="48">
        <v>450</v>
      </c>
      <c r="K244" s="49">
        <v>0</v>
      </c>
      <c r="L244" s="50">
        <v>39</v>
      </c>
      <c r="M244" s="48">
        <v>11</v>
      </c>
      <c r="N244" s="48">
        <v>350</v>
      </c>
      <c r="O244" s="51">
        <v>0</v>
      </c>
      <c r="P244" s="47">
        <v>38</v>
      </c>
      <c r="Q244" s="48">
        <v>10.7</v>
      </c>
      <c r="R244" s="49">
        <v>0</v>
      </c>
      <c r="S244" s="49">
        <v>0</v>
      </c>
      <c r="T244" s="51">
        <v>17.88</v>
      </c>
      <c r="U244" s="50">
        <v>36</v>
      </c>
      <c r="V244" s="48">
        <v>10.4</v>
      </c>
      <c r="W244" s="49">
        <v>0</v>
      </c>
      <c r="X244" s="49">
        <v>0</v>
      </c>
      <c r="Y244" s="51">
        <v>14.42</v>
      </c>
      <c r="Z244" s="47">
        <v>36</v>
      </c>
      <c r="AA244" s="48">
        <v>10.1</v>
      </c>
      <c r="AB244" s="49">
        <v>0</v>
      </c>
      <c r="AC244" s="49">
        <v>0</v>
      </c>
      <c r="AD244" s="51">
        <v>8.26</v>
      </c>
      <c r="AE244" s="50">
        <v>37</v>
      </c>
      <c r="AF244" s="48">
        <v>10</v>
      </c>
      <c r="AG244" s="49">
        <v>0</v>
      </c>
      <c r="AH244" s="49">
        <v>0</v>
      </c>
      <c r="AI244" s="51">
        <v>13.46</v>
      </c>
      <c r="AJ244" s="50">
        <v>37</v>
      </c>
      <c r="AK244" s="48">
        <v>9.9</v>
      </c>
      <c r="AL244" s="48">
        <v>0</v>
      </c>
      <c r="AM244" s="48">
        <v>0</v>
      </c>
      <c r="AN244" s="51">
        <v>7.3</v>
      </c>
      <c r="AO244" s="47">
        <v>37</v>
      </c>
      <c r="AP244" s="48">
        <v>9.8000000000000007</v>
      </c>
      <c r="AQ244" s="48">
        <v>110</v>
      </c>
      <c r="AR244" s="48">
        <v>0</v>
      </c>
      <c r="AS244" s="51">
        <v>9.23</v>
      </c>
      <c r="AT244" s="50">
        <v>27</v>
      </c>
      <c r="AU244" s="51">
        <v>80</v>
      </c>
      <c r="AV244" s="50">
        <v>94.942214965820298</v>
      </c>
      <c r="AW244" s="51">
        <v>206.55936575493158</v>
      </c>
      <c r="AX244" s="8"/>
      <c r="AZ244" s="1">
        <v>90</v>
      </c>
      <c r="BB244" s="82">
        <f t="shared" si="23"/>
        <v>31.183099999999996</v>
      </c>
    </row>
    <row r="245" spans="3:54" ht="15" customHeight="1" x14ac:dyDescent="0.25">
      <c r="C245" s="42"/>
      <c r="D245" s="43">
        <f>D244</f>
        <v>45736</v>
      </c>
      <c r="E245" s="44">
        <f>E244+2/24</f>
        <v>19.333333333333329</v>
      </c>
      <c r="F245" s="45">
        <f t="shared" si="25"/>
        <v>45736.333333333889</v>
      </c>
      <c r="G245" s="52">
        <v>41</v>
      </c>
      <c r="H245" s="53">
        <v>40</v>
      </c>
      <c r="I245" s="54">
        <v>10.7</v>
      </c>
      <c r="J245" s="54">
        <v>450</v>
      </c>
      <c r="K245" s="55">
        <v>0</v>
      </c>
      <c r="L245" s="56">
        <v>39</v>
      </c>
      <c r="M245" s="54">
        <v>11</v>
      </c>
      <c r="N245" s="54">
        <v>400</v>
      </c>
      <c r="O245" s="57">
        <v>0</v>
      </c>
      <c r="P245" s="53">
        <v>40</v>
      </c>
      <c r="Q245" s="54">
        <v>10.8</v>
      </c>
      <c r="R245" s="55">
        <v>0</v>
      </c>
      <c r="S245" s="55">
        <v>0</v>
      </c>
      <c r="T245" s="57">
        <v>15.38</v>
      </c>
      <c r="U245" s="56">
        <v>40</v>
      </c>
      <c r="V245" s="54">
        <v>10.4</v>
      </c>
      <c r="W245" s="55">
        <v>0</v>
      </c>
      <c r="X245" s="55">
        <v>0</v>
      </c>
      <c r="Y245" s="57">
        <v>12.5</v>
      </c>
      <c r="Z245" s="53">
        <v>39</v>
      </c>
      <c r="AA245" s="54">
        <v>10.6</v>
      </c>
      <c r="AB245" s="55">
        <v>0</v>
      </c>
      <c r="AC245" s="55">
        <v>0</v>
      </c>
      <c r="AD245" s="57">
        <v>9.61</v>
      </c>
      <c r="AE245" s="56">
        <v>38</v>
      </c>
      <c r="AF245" s="54">
        <v>10.3</v>
      </c>
      <c r="AG245" s="55">
        <v>0</v>
      </c>
      <c r="AH245" s="55">
        <v>0</v>
      </c>
      <c r="AI245" s="57">
        <v>14.23</v>
      </c>
      <c r="AJ245" s="56">
        <v>38</v>
      </c>
      <c r="AK245" s="54">
        <v>10</v>
      </c>
      <c r="AL245" s="54">
        <v>0</v>
      </c>
      <c r="AM245" s="54">
        <v>0</v>
      </c>
      <c r="AN245" s="57">
        <v>7.69</v>
      </c>
      <c r="AO245" s="53">
        <v>36</v>
      </c>
      <c r="AP245" s="54">
        <v>9.9</v>
      </c>
      <c r="AQ245" s="54">
        <v>100</v>
      </c>
      <c r="AR245" s="54">
        <v>0</v>
      </c>
      <c r="AS245" s="57">
        <v>9.61</v>
      </c>
      <c r="AT245" s="56">
        <v>26</v>
      </c>
      <c r="AU245" s="57">
        <v>20</v>
      </c>
      <c r="AV245" s="56">
        <v>94.913734436035199</v>
      </c>
      <c r="AW245" s="57">
        <v>208.2777545799967</v>
      </c>
      <c r="AX245" s="8"/>
      <c r="AZ245" s="1">
        <v>90</v>
      </c>
      <c r="BB245" s="82">
        <f t="shared" si="23"/>
        <v>30.506839999999997</v>
      </c>
    </row>
    <row r="246" spans="3:54" ht="15" customHeight="1" x14ac:dyDescent="0.25">
      <c r="C246" s="42"/>
      <c r="D246" s="43">
        <f>D244</f>
        <v>45736</v>
      </c>
      <c r="E246" s="44">
        <f t="shared" ref="E246:E255" si="28">E245+2/24</f>
        <v>19.416666666666661</v>
      </c>
      <c r="F246" s="45">
        <f t="shared" si="25"/>
        <v>45736.416666667224</v>
      </c>
      <c r="G246" s="52">
        <v>36</v>
      </c>
      <c r="H246" s="53">
        <v>36</v>
      </c>
      <c r="I246" s="54">
        <v>10.6</v>
      </c>
      <c r="J246" s="54">
        <v>350</v>
      </c>
      <c r="K246" s="55">
        <v>0</v>
      </c>
      <c r="L246" s="56">
        <v>41</v>
      </c>
      <c r="M246" s="54">
        <v>10.9</v>
      </c>
      <c r="N246" s="54">
        <v>400</v>
      </c>
      <c r="O246" s="57">
        <v>0</v>
      </c>
      <c r="P246" s="53">
        <v>41</v>
      </c>
      <c r="Q246" s="54">
        <v>10.9</v>
      </c>
      <c r="R246" s="55">
        <v>0</v>
      </c>
      <c r="S246" s="55">
        <v>0</v>
      </c>
      <c r="T246" s="57">
        <v>18.260000000000002</v>
      </c>
      <c r="U246" s="56">
        <v>39</v>
      </c>
      <c r="V246" s="54">
        <v>10.4</v>
      </c>
      <c r="W246" s="55">
        <v>0</v>
      </c>
      <c r="X246" s="55">
        <v>0</v>
      </c>
      <c r="Y246" s="57">
        <v>15.35</v>
      </c>
      <c r="Z246" s="53">
        <v>39</v>
      </c>
      <c r="AA246" s="54">
        <v>10.7</v>
      </c>
      <c r="AB246" s="55">
        <v>0</v>
      </c>
      <c r="AC246" s="55">
        <v>0</v>
      </c>
      <c r="AD246" s="57">
        <v>9.61</v>
      </c>
      <c r="AE246" s="56">
        <v>40</v>
      </c>
      <c r="AF246" s="54">
        <v>10.4</v>
      </c>
      <c r="AG246" s="55">
        <v>0</v>
      </c>
      <c r="AH246" s="55">
        <v>0</v>
      </c>
      <c r="AI246" s="57">
        <v>13.46</v>
      </c>
      <c r="AJ246" s="56">
        <v>38</v>
      </c>
      <c r="AK246" s="54">
        <v>10.3</v>
      </c>
      <c r="AL246" s="54">
        <v>0</v>
      </c>
      <c r="AM246" s="54">
        <v>0</v>
      </c>
      <c r="AN246" s="57">
        <v>7.3</v>
      </c>
      <c r="AO246" s="53">
        <v>37</v>
      </c>
      <c r="AP246" s="54">
        <v>10</v>
      </c>
      <c r="AQ246" s="54">
        <v>100</v>
      </c>
      <c r="AR246" s="54">
        <v>0</v>
      </c>
      <c r="AS246" s="57">
        <v>14.42</v>
      </c>
      <c r="AT246" s="56">
        <v>26</v>
      </c>
      <c r="AU246" s="57">
        <v>30</v>
      </c>
      <c r="AV246" s="56">
        <v>94.954421997070298</v>
      </c>
      <c r="AW246" s="57">
        <v>279.61335391347916</v>
      </c>
      <c r="AX246" s="8"/>
      <c r="AZ246" s="1">
        <v>90</v>
      </c>
      <c r="BB246" s="82">
        <f t="shared" si="23"/>
        <v>34.652800000000006</v>
      </c>
    </row>
    <row r="247" spans="3:54" ht="15" customHeight="1" x14ac:dyDescent="0.25">
      <c r="C247" s="42"/>
      <c r="D247" s="43">
        <f>D244</f>
        <v>45736</v>
      </c>
      <c r="E247" s="44">
        <f t="shared" si="28"/>
        <v>19.499999999999993</v>
      </c>
      <c r="F247" s="45">
        <f t="shared" si="25"/>
        <v>45736.50000000056</v>
      </c>
      <c r="G247" s="52">
        <v>37</v>
      </c>
      <c r="H247" s="53">
        <v>40</v>
      </c>
      <c r="I247" s="54">
        <v>9.9</v>
      </c>
      <c r="J247" s="54">
        <v>200</v>
      </c>
      <c r="K247" s="55">
        <v>0</v>
      </c>
      <c r="L247" s="56">
        <v>40</v>
      </c>
      <c r="M247" s="54">
        <v>10.4</v>
      </c>
      <c r="N247" s="54">
        <v>300</v>
      </c>
      <c r="O247" s="57">
        <v>0</v>
      </c>
      <c r="P247" s="53">
        <v>41</v>
      </c>
      <c r="Q247" s="54">
        <v>10.9</v>
      </c>
      <c r="R247" s="55">
        <v>0</v>
      </c>
      <c r="S247" s="55">
        <v>0</v>
      </c>
      <c r="T247" s="57">
        <v>17.3</v>
      </c>
      <c r="U247" s="56">
        <v>39</v>
      </c>
      <c r="V247" s="54">
        <v>10.5</v>
      </c>
      <c r="W247" s="55">
        <v>0</v>
      </c>
      <c r="X247" s="55">
        <v>0</v>
      </c>
      <c r="Y247" s="57">
        <v>15.19</v>
      </c>
      <c r="Z247" s="53">
        <v>39</v>
      </c>
      <c r="AA247" s="54">
        <v>10.8</v>
      </c>
      <c r="AB247" s="55">
        <v>0</v>
      </c>
      <c r="AC247" s="55">
        <v>0</v>
      </c>
      <c r="AD247" s="57">
        <v>10</v>
      </c>
      <c r="AE247" s="56">
        <v>39</v>
      </c>
      <c r="AF247" s="54">
        <v>10.5</v>
      </c>
      <c r="AG247" s="55">
        <v>0</v>
      </c>
      <c r="AH247" s="55">
        <v>0</v>
      </c>
      <c r="AI247" s="57">
        <v>13.84</v>
      </c>
      <c r="AJ247" s="56">
        <v>38</v>
      </c>
      <c r="AK247" s="54">
        <v>10.199999999999999</v>
      </c>
      <c r="AL247" s="54">
        <v>0</v>
      </c>
      <c r="AM247" s="54">
        <v>0</v>
      </c>
      <c r="AN247" s="57">
        <v>7.69</v>
      </c>
      <c r="AO247" s="53">
        <v>36</v>
      </c>
      <c r="AP247" s="54">
        <v>9.8000000000000007</v>
      </c>
      <c r="AQ247" s="54">
        <v>100</v>
      </c>
      <c r="AR247" s="54">
        <v>0</v>
      </c>
      <c r="AS247" s="57">
        <v>15.38</v>
      </c>
      <c r="AT247" s="56">
        <v>26</v>
      </c>
      <c r="AU247" s="57">
        <v>30</v>
      </c>
      <c r="AV247" s="56">
        <v>95.00732421875</v>
      </c>
      <c r="AW247" s="57">
        <v>283.76760161003716</v>
      </c>
      <c r="AX247" s="8"/>
      <c r="AZ247" s="1">
        <v>90</v>
      </c>
      <c r="BB247" s="82">
        <f t="shared" si="23"/>
        <v>35.094800000000006</v>
      </c>
    </row>
    <row r="248" spans="3:54" ht="15" customHeight="1" x14ac:dyDescent="0.25">
      <c r="C248" s="42"/>
      <c r="D248" s="43">
        <f>D244</f>
        <v>45736</v>
      </c>
      <c r="E248" s="44">
        <f t="shared" si="28"/>
        <v>19.583333333333325</v>
      </c>
      <c r="F248" s="45">
        <f t="shared" si="25"/>
        <v>45736.583333333896</v>
      </c>
      <c r="G248" s="52">
        <v>40</v>
      </c>
      <c r="H248" s="53">
        <v>39</v>
      </c>
      <c r="I248" s="54">
        <v>9.6</v>
      </c>
      <c r="J248" s="54">
        <v>200</v>
      </c>
      <c r="K248" s="55">
        <v>0</v>
      </c>
      <c r="L248" s="56">
        <v>41</v>
      </c>
      <c r="M248" s="54">
        <v>10.4</v>
      </c>
      <c r="N248" s="54">
        <v>300</v>
      </c>
      <c r="O248" s="57">
        <v>0</v>
      </c>
      <c r="P248" s="53">
        <v>40</v>
      </c>
      <c r="Q248" s="54">
        <v>10.7</v>
      </c>
      <c r="R248" s="55">
        <v>0</v>
      </c>
      <c r="S248" s="55">
        <v>0</v>
      </c>
      <c r="T248" s="57">
        <v>18.260000000000002</v>
      </c>
      <c r="U248" s="56">
        <v>38</v>
      </c>
      <c r="V248" s="54">
        <v>10.4</v>
      </c>
      <c r="W248" s="55">
        <v>0</v>
      </c>
      <c r="X248" s="55">
        <v>0</v>
      </c>
      <c r="Y248" s="57">
        <v>15.35</v>
      </c>
      <c r="Z248" s="53">
        <v>40</v>
      </c>
      <c r="AA248" s="54">
        <v>10.6</v>
      </c>
      <c r="AB248" s="55">
        <v>0</v>
      </c>
      <c r="AC248" s="55">
        <v>0</v>
      </c>
      <c r="AD248" s="57">
        <v>9.61</v>
      </c>
      <c r="AE248" s="56">
        <v>40</v>
      </c>
      <c r="AF248" s="54">
        <v>10.5</v>
      </c>
      <c r="AG248" s="55">
        <v>0</v>
      </c>
      <c r="AH248" s="55">
        <v>0</v>
      </c>
      <c r="AI248" s="57">
        <v>13.46</v>
      </c>
      <c r="AJ248" s="56">
        <v>37</v>
      </c>
      <c r="AK248" s="54">
        <v>10.3</v>
      </c>
      <c r="AL248" s="54">
        <v>0</v>
      </c>
      <c r="AM248" s="54">
        <v>0</v>
      </c>
      <c r="AN248" s="57">
        <v>7.3</v>
      </c>
      <c r="AO248" s="53">
        <v>36</v>
      </c>
      <c r="AP248" s="54">
        <v>10.199999999999999</v>
      </c>
      <c r="AQ248" s="54">
        <v>110</v>
      </c>
      <c r="AR248" s="54">
        <v>0</v>
      </c>
      <c r="AS248" s="57">
        <v>19.23</v>
      </c>
      <c r="AT248" s="56">
        <v>30</v>
      </c>
      <c r="AU248" s="57">
        <v>50</v>
      </c>
      <c r="AV248" s="56">
        <v>94.864906311035199</v>
      </c>
      <c r="AW248" s="57">
        <v>281.55381979771579</v>
      </c>
      <c r="AX248" s="8"/>
      <c r="AZ248" s="1">
        <v>90</v>
      </c>
      <c r="BB248" s="82">
        <f t="shared" si="23"/>
        <v>36.778820000000003</v>
      </c>
    </row>
    <row r="249" spans="3:54" ht="15" customHeight="1" x14ac:dyDescent="0.25">
      <c r="C249" s="42"/>
      <c r="D249" s="43">
        <f>D244</f>
        <v>45736</v>
      </c>
      <c r="E249" s="44">
        <f t="shared" si="28"/>
        <v>19.666666666666657</v>
      </c>
      <c r="F249" s="45">
        <f t="shared" si="25"/>
        <v>45736.666666667232</v>
      </c>
      <c r="G249" s="52">
        <v>44</v>
      </c>
      <c r="H249" s="53">
        <v>40</v>
      </c>
      <c r="I249" s="54">
        <v>9.3000000000000007</v>
      </c>
      <c r="J249" s="54">
        <v>250</v>
      </c>
      <c r="K249" s="55">
        <v>0</v>
      </c>
      <c r="L249" s="56">
        <v>40</v>
      </c>
      <c r="M249" s="54">
        <v>9.6</v>
      </c>
      <c r="N249" s="54">
        <v>300</v>
      </c>
      <c r="O249" s="57">
        <v>0</v>
      </c>
      <c r="P249" s="53">
        <v>39</v>
      </c>
      <c r="Q249" s="54">
        <v>10.4</v>
      </c>
      <c r="R249" s="55">
        <v>0</v>
      </c>
      <c r="S249" s="55">
        <v>0</v>
      </c>
      <c r="T249" s="57">
        <v>17.3</v>
      </c>
      <c r="U249" s="56">
        <v>40</v>
      </c>
      <c r="V249" s="54">
        <v>10.5</v>
      </c>
      <c r="W249" s="55">
        <v>0</v>
      </c>
      <c r="X249" s="55">
        <v>0</v>
      </c>
      <c r="Y249" s="57">
        <v>13.46</v>
      </c>
      <c r="Z249" s="53">
        <v>38</v>
      </c>
      <c r="AA249" s="54">
        <v>10.5</v>
      </c>
      <c r="AB249" s="55">
        <v>0</v>
      </c>
      <c r="AC249" s="55">
        <v>0</v>
      </c>
      <c r="AD249" s="57">
        <v>9.61</v>
      </c>
      <c r="AE249" s="56">
        <v>38</v>
      </c>
      <c r="AF249" s="54">
        <v>10.5</v>
      </c>
      <c r="AG249" s="55">
        <v>0</v>
      </c>
      <c r="AH249" s="55">
        <v>0</v>
      </c>
      <c r="AI249" s="57">
        <v>12.5</v>
      </c>
      <c r="AJ249" s="56">
        <v>37</v>
      </c>
      <c r="AK249" s="54">
        <v>10.4</v>
      </c>
      <c r="AL249" s="54">
        <v>0</v>
      </c>
      <c r="AM249" s="54">
        <v>0</v>
      </c>
      <c r="AN249" s="57">
        <v>7.3</v>
      </c>
      <c r="AO249" s="53">
        <v>38</v>
      </c>
      <c r="AP249" s="54">
        <v>10.3</v>
      </c>
      <c r="AQ249" s="54">
        <v>110</v>
      </c>
      <c r="AR249" s="54">
        <v>0</v>
      </c>
      <c r="AS249" s="57">
        <v>19.23</v>
      </c>
      <c r="AT249" s="56">
        <v>30</v>
      </c>
      <c r="AU249" s="57">
        <v>50</v>
      </c>
      <c r="AV249" s="56">
        <v>94.767250061035199</v>
      </c>
      <c r="AW249" s="57">
        <v>279.98722018258024</v>
      </c>
      <c r="AX249" s="8"/>
      <c r="AZ249" s="1">
        <v>90</v>
      </c>
      <c r="BB249" s="82">
        <f t="shared" si="23"/>
        <v>35.094800000000006</v>
      </c>
    </row>
    <row r="250" spans="3:54" ht="15" customHeight="1" x14ac:dyDescent="0.25">
      <c r="C250" s="42"/>
      <c r="D250" s="43">
        <f>D244</f>
        <v>45736</v>
      </c>
      <c r="E250" s="44">
        <f t="shared" si="28"/>
        <v>19.749999999999989</v>
      </c>
      <c r="F250" s="45">
        <f t="shared" si="25"/>
        <v>45736.750000000568</v>
      </c>
      <c r="G250" s="52">
        <v>43</v>
      </c>
      <c r="H250" s="53">
        <v>41</v>
      </c>
      <c r="I250" s="54">
        <v>9.6999999999999993</v>
      </c>
      <c r="J250" s="54">
        <v>250</v>
      </c>
      <c r="K250" s="55">
        <v>0</v>
      </c>
      <c r="L250" s="56">
        <v>40</v>
      </c>
      <c r="M250" s="54">
        <v>9.8000000000000007</v>
      </c>
      <c r="N250" s="54">
        <v>300</v>
      </c>
      <c r="O250" s="57">
        <v>0</v>
      </c>
      <c r="P250" s="53">
        <v>40</v>
      </c>
      <c r="Q250" s="54">
        <v>10.5</v>
      </c>
      <c r="R250" s="55">
        <v>0</v>
      </c>
      <c r="S250" s="55">
        <v>0</v>
      </c>
      <c r="T250" s="57">
        <v>17.5</v>
      </c>
      <c r="U250" s="56">
        <v>40</v>
      </c>
      <c r="V250" s="54">
        <v>10.5</v>
      </c>
      <c r="W250" s="55">
        <v>0</v>
      </c>
      <c r="X250" s="55">
        <v>0</v>
      </c>
      <c r="Y250" s="57">
        <v>14.42</v>
      </c>
      <c r="Z250" s="53">
        <v>39</v>
      </c>
      <c r="AA250" s="54">
        <v>10.5</v>
      </c>
      <c r="AB250" s="55">
        <v>0</v>
      </c>
      <c r="AC250" s="55">
        <v>0</v>
      </c>
      <c r="AD250" s="57">
        <v>9.8000000000000007</v>
      </c>
      <c r="AE250" s="56">
        <v>38</v>
      </c>
      <c r="AF250" s="54">
        <v>10.5</v>
      </c>
      <c r="AG250" s="55">
        <v>0</v>
      </c>
      <c r="AH250" s="55">
        <v>0</v>
      </c>
      <c r="AI250" s="57">
        <v>12.3</v>
      </c>
      <c r="AJ250" s="56">
        <v>37</v>
      </c>
      <c r="AK250" s="54">
        <v>10.4</v>
      </c>
      <c r="AL250" s="54">
        <v>0</v>
      </c>
      <c r="AM250" s="54">
        <v>0</v>
      </c>
      <c r="AN250" s="57">
        <v>7.69</v>
      </c>
      <c r="AO250" s="53">
        <v>38</v>
      </c>
      <c r="AP250" s="54">
        <v>10.3</v>
      </c>
      <c r="AQ250" s="54">
        <v>90</v>
      </c>
      <c r="AR250" s="54">
        <v>0</v>
      </c>
      <c r="AS250" s="57">
        <v>19.03</v>
      </c>
      <c r="AT250" s="56">
        <v>31</v>
      </c>
      <c r="AU250" s="57">
        <v>50</v>
      </c>
      <c r="AV250" s="56">
        <v>94.816078186035199</v>
      </c>
      <c r="AW250" s="57">
        <v>286.55333716430079</v>
      </c>
      <c r="AX250" s="8"/>
      <c r="AZ250" s="1">
        <v>90</v>
      </c>
      <c r="BB250" s="82">
        <f t="shared" si="23"/>
        <v>35.687079999999995</v>
      </c>
    </row>
    <row r="251" spans="3:54" ht="15" customHeight="1" x14ac:dyDescent="0.25">
      <c r="C251" s="42"/>
      <c r="D251" s="43">
        <f>D244</f>
        <v>45736</v>
      </c>
      <c r="E251" s="44">
        <f t="shared" si="28"/>
        <v>19.833333333333321</v>
      </c>
      <c r="F251" s="45">
        <f t="shared" si="25"/>
        <v>45736.833333333903</v>
      </c>
      <c r="G251" s="52">
        <v>40</v>
      </c>
      <c r="H251" s="53">
        <v>39</v>
      </c>
      <c r="I251" s="54">
        <v>10</v>
      </c>
      <c r="J251" s="54">
        <v>250</v>
      </c>
      <c r="K251" s="55">
        <v>0</v>
      </c>
      <c r="L251" s="56">
        <v>38</v>
      </c>
      <c r="M251" s="54">
        <v>10.8</v>
      </c>
      <c r="N251" s="54">
        <v>300</v>
      </c>
      <c r="O251" s="57">
        <v>0</v>
      </c>
      <c r="P251" s="53">
        <v>38</v>
      </c>
      <c r="Q251" s="54">
        <v>10.4</v>
      </c>
      <c r="R251" s="55">
        <v>0</v>
      </c>
      <c r="S251" s="55">
        <v>0</v>
      </c>
      <c r="T251" s="57">
        <v>16.34</v>
      </c>
      <c r="U251" s="56">
        <v>38</v>
      </c>
      <c r="V251" s="54">
        <v>10.4</v>
      </c>
      <c r="W251" s="55">
        <v>0</v>
      </c>
      <c r="X251" s="55">
        <v>0</v>
      </c>
      <c r="Y251" s="57">
        <v>13.46</v>
      </c>
      <c r="Z251" s="53">
        <v>38</v>
      </c>
      <c r="AA251" s="54">
        <v>10.4</v>
      </c>
      <c r="AB251" s="55">
        <v>0</v>
      </c>
      <c r="AC251" s="55">
        <v>0</v>
      </c>
      <c r="AD251" s="57">
        <v>8.6300000000000008</v>
      </c>
      <c r="AE251" s="56">
        <v>39</v>
      </c>
      <c r="AF251" s="54">
        <v>10.5</v>
      </c>
      <c r="AG251" s="55">
        <v>0</v>
      </c>
      <c r="AH251" s="55">
        <v>0</v>
      </c>
      <c r="AI251" s="57">
        <v>13.46</v>
      </c>
      <c r="AJ251" s="56">
        <v>38</v>
      </c>
      <c r="AK251" s="54">
        <v>10.199999999999999</v>
      </c>
      <c r="AL251" s="54">
        <v>0</v>
      </c>
      <c r="AM251" s="54">
        <v>0</v>
      </c>
      <c r="AN251" s="57">
        <v>6.73</v>
      </c>
      <c r="AO251" s="53">
        <v>36</v>
      </c>
      <c r="AP251" s="54">
        <v>10.3</v>
      </c>
      <c r="AQ251" s="54">
        <v>110</v>
      </c>
      <c r="AR251" s="54">
        <v>0</v>
      </c>
      <c r="AS251" s="57">
        <v>18.260000000000002</v>
      </c>
      <c r="AT251" s="56">
        <v>31</v>
      </c>
      <c r="AU251" s="57">
        <v>90</v>
      </c>
      <c r="AV251" s="56">
        <v>94.83642578125</v>
      </c>
      <c r="AW251" s="57">
        <v>288.29270317789633</v>
      </c>
      <c r="AX251" s="8"/>
      <c r="AZ251" s="1">
        <v>90</v>
      </c>
      <c r="BB251" s="82">
        <f t="shared" si="23"/>
        <v>33.980959999999996</v>
      </c>
    </row>
    <row r="252" spans="3:54" ht="15" customHeight="1" x14ac:dyDescent="0.25">
      <c r="C252" s="42"/>
      <c r="D252" s="43">
        <f>D244</f>
        <v>45736</v>
      </c>
      <c r="E252" s="44">
        <f t="shared" si="28"/>
        <v>19.916666666666654</v>
      </c>
      <c r="F252" s="45">
        <f t="shared" si="25"/>
        <v>45736.916666667239</v>
      </c>
      <c r="G252" s="52">
        <v>41</v>
      </c>
      <c r="H252" s="53">
        <v>39</v>
      </c>
      <c r="I252" s="54">
        <v>11</v>
      </c>
      <c r="J252" s="54">
        <v>250</v>
      </c>
      <c r="K252" s="55">
        <v>0</v>
      </c>
      <c r="L252" s="56">
        <v>40</v>
      </c>
      <c r="M252" s="54">
        <v>10.8</v>
      </c>
      <c r="N252" s="54">
        <v>300</v>
      </c>
      <c r="O252" s="57">
        <v>0</v>
      </c>
      <c r="P252" s="53">
        <v>33.799999999999997</v>
      </c>
      <c r="Q252" s="54">
        <v>10.8</v>
      </c>
      <c r="R252" s="55">
        <v>0</v>
      </c>
      <c r="S252" s="55">
        <v>0</v>
      </c>
      <c r="T252" s="57">
        <v>16.920000000000002</v>
      </c>
      <c r="U252" s="56">
        <v>38</v>
      </c>
      <c r="V252" s="54">
        <v>10.6</v>
      </c>
      <c r="W252" s="55">
        <v>0</v>
      </c>
      <c r="X252" s="55">
        <v>0</v>
      </c>
      <c r="Y252" s="57">
        <v>13.84</v>
      </c>
      <c r="Z252" s="53">
        <v>38</v>
      </c>
      <c r="AA252" s="54">
        <v>10.5</v>
      </c>
      <c r="AB252" s="55">
        <v>0</v>
      </c>
      <c r="AC252" s="55">
        <v>0</v>
      </c>
      <c r="AD252" s="57">
        <v>8.26</v>
      </c>
      <c r="AE252" s="56">
        <v>38</v>
      </c>
      <c r="AF252" s="54">
        <v>10.5</v>
      </c>
      <c r="AG252" s="55">
        <v>0</v>
      </c>
      <c r="AH252" s="55">
        <v>0</v>
      </c>
      <c r="AI252" s="57">
        <v>13.07</v>
      </c>
      <c r="AJ252" s="56">
        <v>37</v>
      </c>
      <c r="AK252" s="54">
        <v>10.4</v>
      </c>
      <c r="AL252" s="54">
        <v>0</v>
      </c>
      <c r="AM252" s="54">
        <v>0</v>
      </c>
      <c r="AN252" s="57">
        <v>6.34</v>
      </c>
      <c r="AO252" s="53">
        <v>36</v>
      </c>
      <c r="AP252" s="54">
        <v>10.4</v>
      </c>
      <c r="AQ252" s="54">
        <v>110</v>
      </c>
      <c r="AR252" s="54">
        <v>0</v>
      </c>
      <c r="AS252" s="57">
        <v>18.260000000000002</v>
      </c>
      <c r="AT252" s="56">
        <v>30</v>
      </c>
      <c r="AU252" s="57">
        <v>90</v>
      </c>
      <c r="AV252" s="56">
        <v>94.93408203125</v>
      </c>
      <c r="AW252" s="57">
        <v>287.47600832929214</v>
      </c>
      <c r="AX252" s="8"/>
      <c r="AZ252" s="1">
        <v>90</v>
      </c>
      <c r="BB252" s="82">
        <f t="shared" si="23"/>
        <v>33.896979999999999</v>
      </c>
    </row>
    <row r="253" spans="3:54" ht="15" customHeight="1" x14ac:dyDescent="0.25">
      <c r="C253" s="42"/>
      <c r="D253" s="43">
        <f>D244</f>
        <v>45736</v>
      </c>
      <c r="E253" s="44">
        <f t="shared" si="28"/>
        <v>19.999999999999986</v>
      </c>
      <c r="F253" s="45">
        <f t="shared" si="25"/>
        <v>45737.000000000575</v>
      </c>
      <c r="G253" s="52">
        <v>40</v>
      </c>
      <c r="H253" s="53">
        <v>39</v>
      </c>
      <c r="I253" s="54">
        <v>11</v>
      </c>
      <c r="J253" s="54">
        <v>300</v>
      </c>
      <c r="K253" s="55">
        <v>0</v>
      </c>
      <c r="L253" s="56">
        <v>39</v>
      </c>
      <c r="M253" s="54">
        <v>11</v>
      </c>
      <c r="N253" s="54">
        <v>300</v>
      </c>
      <c r="O253" s="57">
        <v>0</v>
      </c>
      <c r="P253" s="53">
        <v>39</v>
      </c>
      <c r="Q253" s="54">
        <v>11</v>
      </c>
      <c r="R253" s="55">
        <v>0</v>
      </c>
      <c r="S253" s="55">
        <v>0</v>
      </c>
      <c r="T253" s="57">
        <v>17.3</v>
      </c>
      <c r="U253" s="56">
        <v>39</v>
      </c>
      <c r="V253" s="54">
        <v>10.8</v>
      </c>
      <c r="W253" s="55">
        <v>0</v>
      </c>
      <c r="X253" s="55">
        <v>0</v>
      </c>
      <c r="Y253" s="57">
        <v>13.46</v>
      </c>
      <c r="Z253" s="53">
        <v>37</v>
      </c>
      <c r="AA253" s="54">
        <v>10.5</v>
      </c>
      <c r="AB253" s="55">
        <v>0</v>
      </c>
      <c r="AC253" s="55">
        <v>0</v>
      </c>
      <c r="AD253" s="57">
        <v>9.61</v>
      </c>
      <c r="AE253" s="56">
        <v>37</v>
      </c>
      <c r="AF253" s="54">
        <v>10.5</v>
      </c>
      <c r="AG253" s="55">
        <v>0</v>
      </c>
      <c r="AH253" s="55">
        <v>0</v>
      </c>
      <c r="AI253" s="57">
        <v>12.5</v>
      </c>
      <c r="AJ253" s="56">
        <v>37</v>
      </c>
      <c r="AK253" s="54">
        <v>10.5</v>
      </c>
      <c r="AL253" s="54">
        <v>0</v>
      </c>
      <c r="AM253" s="54">
        <v>0</v>
      </c>
      <c r="AN253" s="57">
        <v>8.65</v>
      </c>
      <c r="AO253" s="53">
        <v>36</v>
      </c>
      <c r="AP253" s="54">
        <v>10.4</v>
      </c>
      <c r="AQ253" s="54">
        <v>140</v>
      </c>
      <c r="AR253" s="54">
        <v>0</v>
      </c>
      <c r="AS253" s="57">
        <v>19.23</v>
      </c>
      <c r="AT253" s="56">
        <v>31</v>
      </c>
      <c r="AU253" s="57">
        <v>90</v>
      </c>
      <c r="AV253" s="56">
        <v>94.832351684570298</v>
      </c>
      <c r="AW253" s="57">
        <v>265.44656586305547</v>
      </c>
      <c r="AX253" s="8"/>
      <c r="AZ253" s="1">
        <v>90</v>
      </c>
      <c r="BB253" s="82">
        <f t="shared" si="23"/>
        <v>35.691499999999998</v>
      </c>
    </row>
    <row r="254" spans="3:54" ht="15" customHeight="1" x14ac:dyDescent="0.25">
      <c r="C254" s="42"/>
      <c r="D254" s="43">
        <f>D244</f>
        <v>45736</v>
      </c>
      <c r="E254" s="44">
        <f t="shared" si="28"/>
        <v>20.083333333333318</v>
      </c>
      <c r="F254" s="45">
        <f t="shared" si="25"/>
        <v>45737.083333333911</v>
      </c>
      <c r="G254" s="52">
        <v>40</v>
      </c>
      <c r="H254" s="53">
        <v>40</v>
      </c>
      <c r="I254" s="54">
        <v>11</v>
      </c>
      <c r="J254" s="54">
        <v>300</v>
      </c>
      <c r="K254" s="55">
        <v>0</v>
      </c>
      <c r="L254" s="56">
        <v>39</v>
      </c>
      <c r="M254" s="54">
        <v>11</v>
      </c>
      <c r="N254" s="54">
        <v>300</v>
      </c>
      <c r="O254" s="57">
        <v>0</v>
      </c>
      <c r="P254" s="53">
        <v>39</v>
      </c>
      <c r="Q254" s="54">
        <v>11</v>
      </c>
      <c r="R254" s="55">
        <v>0</v>
      </c>
      <c r="S254" s="55">
        <v>0</v>
      </c>
      <c r="T254" s="57">
        <v>16.73</v>
      </c>
      <c r="U254" s="56">
        <v>39</v>
      </c>
      <c r="V254" s="54">
        <v>10.8</v>
      </c>
      <c r="W254" s="55">
        <v>0</v>
      </c>
      <c r="X254" s="55">
        <v>0</v>
      </c>
      <c r="Y254" s="57">
        <v>13.84</v>
      </c>
      <c r="Z254" s="53">
        <v>37</v>
      </c>
      <c r="AA254" s="54">
        <v>10.5</v>
      </c>
      <c r="AB254" s="55">
        <v>0</v>
      </c>
      <c r="AC254" s="55">
        <v>0</v>
      </c>
      <c r="AD254" s="57">
        <v>9.0299999999999994</v>
      </c>
      <c r="AE254" s="56">
        <v>37</v>
      </c>
      <c r="AF254" s="54">
        <v>10.5</v>
      </c>
      <c r="AG254" s="55">
        <v>0</v>
      </c>
      <c r="AH254" s="55">
        <v>0</v>
      </c>
      <c r="AI254" s="57">
        <v>12.5</v>
      </c>
      <c r="AJ254" s="56">
        <v>37</v>
      </c>
      <c r="AK254" s="54">
        <v>10.5</v>
      </c>
      <c r="AL254" s="54">
        <v>0</v>
      </c>
      <c r="AM254" s="54">
        <v>0</v>
      </c>
      <c r="AN254" s="57">
        <v>8.07</v>
      </c>
      <c r="AO254" s="53">
        <v>36</v>
      </c>
      <c r="AP254" s="54">
        <v>10.4</v>
      </c>
      <c r="AQ254" s="54">
        <v>150</v>
      </c>
      <c r="AR254" s="54">
        <v>0</v>
      </c>
      <c r="AS254" s="57">
        <v>18.84</v>
      </c>
      <c r="AT254" s="56">
        <v>30</v>
      </c>
      <c r="AU254" s="57">
        <v>80</v>
      </c>
      <c r="AV254" s="56">
        <v>94.881179809570298</v>
      </c>
      <c r="AW254" s="57">
        <v>9.6128712495168056</v>
      </c>
      <c r="AX254" s="8"/>
      <c r="AZ254" s="1">
        <v>90</v>
      </c>
      <c r="BB254" s="82">
        <f t="shared" si="23"/>
        <v>34.922419999999995</v>
      </c>
    </row>
    <row r="255" spans="3:54" ht="15" customHeight="1" x14ac:dyDescent="0.25">
      <c r="C255" s="42"/>
      <c r="D255" s="69">
        <f>D244</f>
        <v>45736</v>
      </c>
      <c r="E255" s="70">
        <f t="shared" si="28"/>
        <v>20.16666666666665</v>
      </c>
      <c r="F255" s="71">
        <f t="shared" si="25"/>
        <v>45737.166666667246</v>
      </c>
      <c r="G255" s="60">
        <v>40</v>
      </c>
      <c r="H255" s="61">
        <v>41</v>
      </c>
      <c r="I255" s="62">
        <v>11</v>
      </c>
      <c r="J255" s="62">
        <v>300</v>
      </c>
      <c r="K255" s="63">
        <v>0</v>
      </c>
      <c r="L255" s="64">
        <v>40</v>
      </c>
      <c r="M255" s="62">
        <v>11</v>
      </c>
      <c r="N255" s="62">
        <v>350</v>
      </c>
      <c r="O255" s="65">
        <v>0</v>
      </c>
      <c r="P255" s="61">
        <v>39</v>
      </c>
      <c r="Q255" s="62">
        <v>11</v>
      </c>
      <c r="R255" s="63">
        <v>0</v>
      </c>
      <c r="S255" s="63">
        <v>0</v>
      </c>
      <c r="T255" s="65">
        <v>16.34</v>
      </c>
      <c r="U255" s="64">
        <v>38</v>
      </c>
      <c r="V255" s="62">
        <v>11</v>
      </c>
      <c r="W255" s="63">
        <v>0</v>
      </c>
      <c r="X255" s="63">
        <v>0</v>
      </c>
      <c r="Y255" s="65">
        <v>13.46</v>
      </c>
      <c r="Z255" s="61">
        <v>39</v>
      </c>
      <c r="AA255" s="62">
        <v>10.8</v>
      </c>
      <c r="AB255" s="63">
        <v>0</v>
      </c>
      <c r="AC255" s="63">
        <v>0</v>
      </c>
      <c r="AD255" s="65">
        <v>8.65</v>
      </c>
      <c r="AE255" s="64">
        <v>38</v>
      </c>
      <c r="AF255" s="62">
        <v>10.6</v>
      </c>
      <c r="AG255" s="63">
        <v>0</v>
      </c>
      <c r="AH255" s="63">
        <v>0</v>
      </c>
      <c r="AI255" s="65">
        <v>12.88</v>
      </c>
      <c r="AJ255" s="64">
        <v>38</v>
      </c>
      <c r="AK255" s="62">
        <v>10.5</v>
      </c>
      <c r="AL255" s="62">
        <v>0</v>
      </c>
      <c r="AM255" s="62">
        <v>0</v>
      </c>
      <c r="AN255" s="65">
        <v>7.69</v>
      </c>
      <c r="AO255" s="61">
        <v>37</v>
      </c>
      <c r="AP255" s="62">
        <v>10.3</v>
      </c>
      <c r="AQ255" s="62">
        <v>110</v>
      </c>
      <c r="AR255" s="62">
        <v>0</v>
      </c>
      <c r="AS255" s="65">
        <v>18.260000000000002</v>
      </c>
      <c r="AT255" s="64">
        <v>29</v>
      </c>
      <c r="AU255" s="65">
        <v>60</v>
      </c>
      <c r="AV255" s="64">
        <v>94.9462890625</v>
      </c>
      <c r="AW255" s="65">
        <v>0</v>
      </c>
      <c r="AX255" s="8"/>
      <c r="AZ255" s="1">
        <v>90</v>
      </c>
      <c r="BB255" s="82">
        <f t="shared" si="23"/>
        <v>34.157760000000003</v>
      </c>
    </row>
    <row r="256" spans="3:54" ht="15" customHeight="1" x14ac:dyDescent="0.25">
      <c r="C256" s="42">
        <f>C244+1</f>
        <v>21</v>
      </c>
      <c r="D256" s="66">
        <f>DATE([3]Dash!$F$3,VLOOKUP([3]Dash!$E$3,[3]Abb!$C$3:$D$14,2,FALSE),C256)</f>
        <v>45737</v>
      </c>
      <c r="E256" s="67">
        <f>E255+2/24</f>
        <v>20.249999999999982</v>
      </c>
      <c r="F256" s="68">
        <f t="shared" si="25"/>
        <v>45737.250000000582</v>
      </c>
      <c r="G256" s="46">
        <v>41</v>
      </c>
      <c r="H256" s="47">
        <v>39</v>
      </c>
      <c r="I256" s="48">
        <v>11</v>
      </c>
      <c r="J256" s="48">
        <v>350</v>
      </c>
      <c r="K256" s="49">
        <v>0</v>
      </c>
      <c r="L256" s="50">
        <v>40</v>
      </c>
      <c r="M256" s="48">
        <v>11</v>
      </c>
      <c r="N256" s="48">
        <v>350</v>
      </c>
      <c r="O256" s="51">
        <v>0</v>
      </c>
      <c r="P256" s="47">
        <v>39</v>
      </c>
      <c r="Q256" s="48">
        <v>11</v>
      </c>
      <c r="R256" s="49">
        <v>0</v>
      </c>
      <c r="S256" s="49">
        <v>0</v>
      </c>
      <c r="T256" s="51">
        <v>16.920000000000002</v>
      </c>
      <c r="U256" s="50">
        <v>38</v>
      </c>
      <c r="V256" s="48">
        <v>10.9</v>
      </c>
      <c r="W256" s="49">
        <v>0</v>
      </c>
      <c r="X256" s="49">
        <v>0</v>
      </c>
      <c r="Y256" s="51">
        <v>13.46</v>
      </c>
      <c r="Z256" s="47">
        <v>38</v>
      </c>
      <c r="AA256" s="48">
        <v>10.8</v>
      </c>
      <c r="AB256" s="49">
        <v>0</v>
      </c>
      <c r="AC256" s="49">
        <v>0</v>
      </c>
      <c r="AD256" s="51">
        <v>9.61</v>
      </c>
      <c r="AE256" s="50">
        <v>38</v>
      </c>
      <c r="AF256" s="48">
        <v>10.6</v>
      </c>
      <c r="AG256" s="49">
        <v>0</v>
      </c>
      <c r="AH256" s="49">
        <v>0</v>
      </c>
      <c r="AI256" s="51">
        <v>13.46</v>
      </c>
      <c r="AJ256" s="50">
        <v>37</v>
      </c>
      <c r="AK256" s="48">
        <v>10.6</v>
      </c>
      <c r="AL256" s="48">
        <v>0</v>
      </c>
      <c r="AM256" s="48">
        <v>0</v>
      </c>
      <c r="AN256" s="51">
        <v>8.65</v>
      </c>
      <c r="AO256" s="47">
        <v>37</v>
      </c>
      <c r="AP256" s="48">
        <v>10.4</v>
      </c>
      <c r="AQ256" s="48">
        <v>110</v>
      </c>
      <c r="AR256" s="48">
        <v>0</v>
      </c>
      <c r="AS256" s="51">
        <v>18.84</v>
      </c>
      <c r="AT256" s="50">
        <v>30</v>
      </c>
      <c r="AU256" s="51">
        <v>80</v>
      </c>
      <c r="AV256" s="50">
        <v>94.954421997070298</v>
      </c>
      <c r="AW256" s="51">
        <v>0</v>
      </c>
      <c r="AX256" s="8"/>
      <c r="AZ256" s="1">
        <v>90</v>
      </c>
      <c r="BB256" s="82">
        <f t="shared" si="23"/>
        <v>35.775480000000002</v>
      </c>
    </row>
    <row r="257" spans="3:54" ht="15" customHeight="1" x14ac:dyDescent="0.25">
      <c r="C257" s="42"/>
      <c r="D257" s="43">
        <f>D256</f>
        <v>45737</v>
      </c>
      <c r="E257" s="44">
        <f>E256+2/24</f>
        <v>20.333333333333314</v>
      </c>
      <c r="F257" s="45">
        <f t="shared" si="25"/>
        <v>45737.333333333918</v>
      </c>
      <c r="G257" s="52">
        <v>0</v>
      </c>
      <c r="H257" s="53">
        <v>35</v>
      </c>
      <c r="I257" s="54">
        <v>11.4</v>
      </c>
      <c r="J257" s="54">
        <v>250</v>
      </c>
      <c r="K257" s="55">
        <v>0</v>
      </c>
      <c r="L257" s="56">
        <v>42</v>
      </c>
      <c r="M257" s="54">
        <v>11.4</v>
      </c>
      <c r="N257" s="54">
        <v>250</v>
      </c>
      <c r="O257" s="57">
        <v>0</v>
      </c>
      <c r="P257" s="53">
        <v>41</v>
      </c>
      <c r="Q257" s="54">
        <v>11.7</v>
      </c>
      <c r="R257" s="55">
        <v>0</v>
      </c>
      <c r="S257" s="55">
        <v>0</v>
      </c>
      <c r="T257" s="57">
        <v>15.38</v>
      </c>
      <c r="U257" s="56">
        <v>42</v>
      </c>
      <c r="V257" s="54">
        <v>11.1</v>
      </c>
      <c r="W257" s="55">
        <v>0</v>
      </c>
      <c r="X257" s="55">
        <v>0</v>
      </c>
      <c r="Y257" s="57">
        <v>13.46</v>
      </c>
      <c r="Z257" s="53">
        <v>36</v>
      </c>
      <c r="AA257" s="54">
        <v>10.9</v>
      </c>
      <c r="AB257" s="55">
        <v>0</v>
      </c>
      <c r="AC257" s="55">
        <v>0</v>
      </c>
      <c r="AD257" s="57">
        <v>6.73</v>
      </c>
      <c r="AE257" s="56">
        <v>40</v>
      </c>
      <c r="AF257" s="54">
        <v>10.9</v>
      </c>
      <c r="AG257" s="55">
        <v>0</v>
      </c>
      <c r="AH257" s="55">
        <v>0</v>
      </c>
      <c r="AI257" s="57">
        <v>13.46</v>
      </c>
      <c r="AJ257" s="56">
        <v>40</v>
      </c>
      <c r="AK257" s="54">
        <v>10.7</v>
      </c>
      <c r="AL257" s="54">
        <v>0</v>
      </c>
      <c r="AM257" s="54">
        <v>0</v>
      </c>
      <c r="AN257" s="57">
        <v>8.65</v>
      </c>
      <c r="AO257" s="53">
        <v>38</v>
      </c>
      <c r="AP257" s="54">
        <v>10.6</v>
      </c>
      <c r="AQ257" s="54">
        <v>110</v>
      </c>
      <c r="AR257" s="54">
        <v>0</v>
      </c>
      <c r="AS257" s="57">
        <v>19.23</v>
      </c>
      <c r="AT257" s="56">
        <v>0</v>
      </c>
      <c r="AU257" s="57">
        <v>0</v>
      </c>
      <c r="AV257" s="56">
        <v>94.71435546875</v>
      </c>
      <c r="AW257" s="57">
        <v>0</v>
      </c>
      <c r="AX257" s="8"/>
      <c r="AZ257" s="1">
        <v>90</v>
      </c>
      <c r="BB257" s="82">
        <f t="shared" si="23"/>
        <v>33.994219999999999</v>
      </c>
    </row>
    <row r="258" spans="3:54" ht="15" customHeight="1" x14ac:dyDescent="0.25">
      <c r="C258" s="42"/>
      <c r="D258" s="43">
        <f>D256</f>
        <v>45737</v>
      </c>
      <c r="E258" s="44">
        <f t="shared" ref="E258:E267" si="29">E257+2/24</f>
        <v>20.416666666666647</v>
      </c>
      <c r="F258" s="45">
        <f t="shared" si="25"/>
        <v>45737.416666667254</v>
      </c>
      <c r="G258" s="52">
        <v>44</v>
      </c>
      <c r="H258" s="53">
        <v>36</v>
      </c>
      <c r="I258" s="54">
        <v>11.4</v>
      </c>
      <c r="J258" s="54">
        <v>250</v>
      </c>
      <c r="K258" s="55">
        <v>0</v>
      </c>
      <c r="L258" s="56">
        <v>40</v>
      </c>
      <c r="M258" s="54">
        <v>11.4</v>
      </c>
      <c r="N258" s="54">
        <v>250</v>
      </c>
      <c r="O258" s="57">
        <v>0</v>
      </c>
      <c r="P258" s="53">
        <v>40</v>
      </c>
      <c r="Q258" s="54">
        <v>11.6</v>
      </c>
      <c r="R258" s="55">
        <v>0</v>
      </c>
      <c r="S258" s="55">
        <v>0</v>
      </c>
      <c r="T258" s="57">
        <v>16.34</v>
      </c>
      <c r="U258" s="56">
        <v>41</v>
      </c>
      <c r="V258" s="54">
        <v>11.1</v>
      </c>
      <c r="W258" s="55">
        <v>0</v>
      </c>
      <c r="X258" s="55">
        <v>0</v>
      </c>
      <c r="Y258" s="57">
        <v>14.42</v>
      </c>
      <c r="Z258" s="53">
        <v>38</v>
      </c>
      <c r="AA258" s="54">
        <v>10.9</v>
      </c>
      <c r="AB258" s="55">
        <v>0</v>
      </c>
      <c r="AC258" s="55">
        <v>0</v>
      </c>
      <c r="AD258" s="57">
        <v>7.69</v>
      </c>
      <c r="AE258" s="56">
        <v>40</v>
      </c>
      <c r="AF258" s="54">
        <v>10.9</v>
      </c>
      <c r="AG258" s="55">
        <v>0</v>
      </c>
      <c r="AH258" s="55">
        <v>0</v>
      </c>
      <c r="AI258" s="57">
        <v>13.84</v>
      </c>
      <c r="AJ258" s="56">
        <v>41</v>
      </c>
      <c r="AK258" s="54">
        <v>10.6</v>
      </c>
      <c r="AL258" s="54">
        <v>0</v>
      </c>
      <c r="AM258" s="54">
        <v>0</v>
      </c>
      <c r="AN258" s="57">
        <v>7.69</v>
      </c>
      <c r="AO258" s="53">
        <v>36</v>
      </c>
      <c r="AP258" s="54">
        <v>10.6</v>
      </c>
      <c r="AQ258" s="54">
        <v>100</v>
      </c>
      <c r="AR258" s="54">
        <v>0</v>
      </c>
      <c r="AS258" s="57">
        <v>19.23</v>
      </c>
      <c r="AT258" s="56">
        <v>0</v>
      </c>
      <c r="AU258" s="57">
        <v>0</v>
      </c>
      <c r="AV258" s="56">
        <v>94.266761779785199</v>
      </c>
      <c r="AW258" s="57">
        <v>231.76597104169929</v>
      </c>
      <c r="AX258" s="8"/>
      <c r="AZ258" s="1">
        <v>90</v>
      </c>
      <c r="BB258" s="82">
        <f t="shared" si="23"/>
        <v>35.010820000000002</v>
      </c>
    </row>
    <row r="259" spans="3:54" ht="15" customHeight="1" x14ac:dyDescent="0.25">
      <c r="C259" s="42"/>
      <c r="D259" s="43">
        <f>D256</f>
        <v>45737</v>
      </c>
      <c r="E259" s="44">
        <f t="shared" si="29"/>
        <v>20.499999999999979</v>
      </c>
      <c r="F259" s="45">
        <f t="shared" si="25"/>
        <v>45737.500000000589</v>
      </c>
      <c r="G259" s="52">
        <v>43</v>
      </c>
      <c r="H259" s="53">
        <v>43</v>
      </c>
      <c r="I259" s="54">
        <v>10.9</v>
      </c>
      <c r="J259" s="54">
        <v>250</v>
      </c>
      <c r="K259" s="55">
        <v>0</v>
      </c>
      <c r="L259" s="56">
        <v>41</v>
      </c>
      <c r="M259" s="54">
        <v>10.9</v>
      </c>
      <c r="N259" s="54">
        <v>250</v>
      </c>
      <c r="O259" s="57">
        <v>0</v>
      </c>
      <c r="P259" s="53">
        <v>41</v>
      </c>
      <c r="Q259" s="54">
        <v>11.2</v>
      </c>
      <c r="R259" s="55">
        <v>0</v>
      </c>
      <c r="S259" s="55">
        <v>0</v>
      </c>
      <c r="T259" s="57">
        <v>15.38</v>
      </c>
      <c r="U259" s="56">
        <v>38</v>
      </c>
      <c r="V259" s="54">
        <v>11</v>
      </c>
      <c r="W259" s="55">
        <v>0</v>
      </c>
      <c r="X259" s="55">
        <v>0</v>
      </c>
      <c r="Y259" s="57">
        <v>13.46</v>
      </c>
      <c r="Z259" s="53">
        <v>41</v>
      </c>
      <c r="AA259" s="54">
        <v>10.9</v>
      </c>
      <c r="AB259" s="55">
        <v>0</v>
      </c>
      <c r="AC259" s="55">
        <v>0</v>
      </c>
      <c r="AD259" s="57">
        <v>7.69</v>
      </c>
      <c r="AE259" s="56">
        <v>40</v>
      </c>
      <c r="AF259" s="54">
        <v>10.8</v>
      </c>
      <c r="AG259" s="55">
        <v>0</v>
      </c>
      <c r="AH259" s="55">
        <v>0</v>
      </c>
      <c r="AI259" s="57">
        <v>14.42</v>
      </c>
      <c r="AJ259" s="56">
        <v>40</v>
      </c>
      <c r="AK259" s="54">
        <v>10.7</v>
      </c>
      <c r="AL259" s="54">
        <v>0</v>
      </c>
      <c r="AM259" s="54">
        <v>0</v>
      </c>
      <c r="AN259" s="57">
        <v>7.69</v>
      </c>
      <c r="AO259" s="53">
        <v>40</v>
      </c>
      <c r="AP259" s="54">
        <v>10.5</v>
      </c>
      <c r="AQ259" s="54">
        <v>100</v>
      </c>
      <c r="AR259" s="54">
        <v>0</v>
      </c>
      <c r="AS259" s="57">
        <v>19.61</v>
      </c>
      <c r="AT259" s="56">
        <v>31</v>
      </c>
      <c r="AU259" s="57">
        <v>70</v>
      </c>
      <c r="AV259" s="56">
        <v>94.95849609375</v>
      </c>
      <c r="AW259" s="57">
        <v>283.83957767828059</v>
      </c>
      <c r="AX259" s="8"/>
      <c r="AZ259" s="1">
        <v>90</v>
      </c>
      <c r="BB259" s="82">
        <f t="shared" si="23"/>
        <v>34.586500000000001</v>
      </c>
    </row>
    <row r="260" spans="3:54" ht="15" customHeight="1" x14ac:dyDescent="0.25">
      <c r="C260" s="42"/>
      <c r="D260" s="43">
        <f>D256</f>
        <v>45737</v>
      </c>
      <c r="E260" s="44">
        <f t="shared" si="29"/>
        <v>20.583333333333311</v>
      </c>
      <c r="F260" s="45">
        <f t="shared" si="25"/>
        <v>45737.583333333925</v>
      </c>
      <c r="G260" s="52">
        <v>41</v>
      </c>
      <c r="H260" s="53">
        <v>41</v>
      </c>
      <c r="I260" s="54">
        <v>10.7</v>
      </c>
      <c r="J260" s="54">
        <v>250</v>
      </c>
      <c r="K260" s="55">
        <v>0</v>
      </c>
      <c r="L260" s="56">
        <v>40</v>
      </c>
      <c r="M260" s="54">
        <v>10.8</v>
      </c>
      <c r="N260" s="54">
        <v>250</v>
      </c>
      <c r="O260" s="57">
        <v>0</v>
      </c>
      <c r="P260" s="53">
        <v>40</v>
      </c>
      <c r="Q260" s="54">
        <v>11.1</v>
      </c>
      <c r="R260" s="55">
        <v>0</v>
      </c>
      <c r="S260" s="55">
        <v>0</v>
      </c>
      <c r="T260" s="57">
        <v>16.149999999999999</v>
      </c>
      <c r="U260" s="56">
        <v>39</v>
      </c>
      <c r="V260" s="54">
        <v>11.1</v>
      </c>
      <c r="W260" s="55">
        <v>0</v>
      </c>
      <c r="X260" s="55">
        <v>0</v>
      </c>
      <c r="Y260" s="57">
        <v>14.03</v>
      </c>
      <c r="Z260" s="53">
        <v>38</v>
      </c>
      <c r="AA260" s="54">
        <v>10.9</v>
      </c>
      <c r="AB260" s="55">
        <v>0</v>
      </c>
      <c r="AC260" s="55">
        <v>0</v>
      </c>
      <c r="AD260" s="57">
        <v>7.3</v>
      </c>
      <c r="AE260" s="56">
        <v>39</v>
      </c>
      <c r="AF260" s="54">
        <v>10.8</v>
      </c>
      <c r="AG260" s="55">
        <v>0</v>
      </c>
      <c r="AH260" s="55">
        <v>0</v>
      </c>
      <c r="AI260" s="57">
        <v>13.46</v>
      </c>
      <c r="AJ260" s="56">
        <v>40</v>
      </c>
      <c r="AK260" s="54">
        <v>10.6</v>
      </c>
      <c r="AL260" s="54">
        <v>0</v>
      </c>
      <c r="AM260" s="54">
        <v>0</v>
      </c>
      <c r="AN260" s="57">
        <v>8.07</v>
      </c>
      <c r="AO260" s="53">
        <v>38</v>
      </c>
      <c r="AP260" s="54">
        <v>10.6</v>
      </c>
      <c r="AQ260" s="54">
        <v>100</v>
      </c>
      <c r="AR260" s="54">
        <v>0</v>
      </c>
      <c r="AS260" s="57">
        <v>19.03</v>
      </c>
      <c r="AT260" s="56">
        <v>30</v>
      </c>
      <c r="AU260" s="57">
        <v>80</v>
      </c>
      <c r="AV260" s="56">
        <v>94.999183654785199</v>
      </c>
      <c r="AW260" s="57">
        <v>286.02153290522597</v>
      </c>
      <c r="AX260" s="8"/>
      <c r="AZ260" s="1">
        <v>90</v>
      </c>
      <c r="BB260" s="82">
        <f t="shared" si="23"/>
        <v>34.493679999999991</v>
      </c>
    </row>
    <row r="261" spans="3:54" ht="15" customHeight="1" x14ac:dyDescent="0.25">
      <c r="C261" s="42"/>
      <c r="D261" s="43">
        <f>D256</f>
        <v>45737</v>
      </c>
      <c r="E261" s="44">
        <f t="shared" si="29"/>
        <v>20.666666666666643</v>
      </c>
      <c r="F261" s="45">
        <f t="shared" si="25"/>
        <v>45737.666666667261</v>
      </c>
      <c r="G261" s="52">
        <v>42</v>
      </c>
      <c r="H261" s="53">
        <v>43</v>
      </c>
      <c r="I261" s="54">
        <v>10</v>
      </c>
      <c r="J261" s="54">
        <v>200</v>
      </c>
      <c r="K261" s="55">
        <v>0</v>
      </c>
      <c r="L261" s="56">
        <v>44</v>
      </c>
      <c r="M261" s="54">
        <v>10.7</v>
      </c>
      <c r="N261" s="54">
        <v>250</v>
      </c>
      <c r="O261" s="57">
        <v>0</v>
      </c>
      <c r="P261" s="53">
        <v>41</v>
      </c>
      <c r="Q261" s="54">
        <v>10.6</v>
      </c>
      <c r="R261" s="55">
        <v>0</v>
      </c>
      <c r="S261" s="55">
        <v>0</v>
      </c>
      <c r="T261" s="57">
        <v>16.34</v>
      </c>
      <c r="U261" s="56">
        <v>39</v>
      </c>
      <c r="V261" s="54">
        <v>10.6</v>
      </c>
      <c r="W261" s="55">
        <v>0</v>
      </c>
      <c r="X261" s="55">
        <v>0</v>
      </c>
      <c r="Y261" s="57">
        <v>13.46</v>
      </c>
      <c r="Z261" s="53">
        <v>42</v>
      </c>
      <c r="AA261" s="54">
        <v>10.8</v>
      </c>
      <c r="AB261" s="55">
        <v>0</v>
      </c>
      <c r="AC261" s="55">
        <v>0</v>
      </c>
      <c r="AD261" s="57">
        <v>9.61</v>
      </c>
      <c r="AE261" s="56">
        <v>42</v>
      </c>
      <c r="AF261" s="54">
        <v>10.8</v>
      </c>
      <c r="AG261" s="55">
        <v>0</v>
      </c>
      <c r="AH261" s="55">
        <v>0</v>
      </c>
      <c r="AI261" s="57">
        <v>12.5</v>
      </c>
      <c r="AJ261" s="56">
        <v>42</v>
      </c>
      <c r="AK261" s="54">
        <v>10.8</v>
      </c>
      <c r="AL261" s="54">
        <v>0</v>
      </c>
      <c r="AM261" s="54">
        <v>0</v>
      </c>
      <c r="AN261" s="57">
        <v>12.5</v>
      </c>
      <c r="AO261" s="53">
        <v>38</v>
      </c>
      <c r="AP261" s="54">
        <v>10.6</v>
      </c>
      <c r="AQ261" s="54">
        <v>110</v>
      </c>
      <c r="AR261" s="54">
        <v>0</v>
      </c>
      <c r="AS261" s="57">
        <v>14.42</v>
      </c>
      <c r="AT261" s="56">
        <v>31</v>
      </c>
      <c r="AU261" s="57">
        <v>70</v>
      </c>
      <c r="AV261" s="56">
        <v>95.023597717285199</v>
      </c>
      <c r="AW261" s="57">
        <v>284.18752407263963</v>
      </c>
      <c r="AX261" s="8"/>
      <c r="AZ261" s="1">
        <v>90</v>
      </c>
      <c r="BB261" s="82">
        <f t="shared" si="23"/>
        <v>34.842860000000002</v>
      </c>
    </row>
    <row r="262" spans="3:54" ht="15" customHeight="1" x14ac:dyDescent="0.25">
      <c r="C262" s="42"/>
      <c r="D262" s="43">
        <f>D256</f>
        <v>45737</v>
      </c>
      <c r="E262" s="44">
        <f t="shared" si="29"/>
        <v>20.749999999999975</v>
      </c>
      <c r="F262" s="45">
        <f t="shared" si="25"/>
        <v>45737.750000000597</v>
      </c>
      <c r="G262" s="52">
        <v>42</v>
      </c>
      <c r="H262" s="53">
        <v>43</v>
      </c>
      <c r="I262" s="54">
        <v>10.4</v>
      </c>
      <c r="J262" s="54">
        <v>300</v>
      </c>
      <c r="K262" s="55">
        <v>0</v>
      </c>
      <c r="L262" s="56">
        <v>43</v>
      </c>
      <c r="M262" s="54">
        <v>10.7</v>
      </c>
      <c r="N262" s="54">
        <v>350</v>
      </c>
      <c r="O262" s="57">
        <v>0</v>
      </c>
      <c r="P262" s="53">
        <v>42</v>
      </c>
      <c r="Q262" s="54">
        <v>10.5</v>
      </c>
      <c r="R262" s="55">
        <v>0</v>
      </c>
      <c r="S262" s="55">
        <v>0</v>
      </c>
      <c r="T262" s="57">
        <v>16.73</v>
      </c>
      <c r="U262" s="56">
        <v>40</v>
      </c>
      <c r="V262" s="54" t="s">
        <v>44</v>
      </c>
      <c r="W262" s="55">
        <v>0</v>
      </c>
      <c r="X262" s="55">
        <v>0</v>
      </c>
      <c r="Y262" s="57">
        <v>13.62</v>
      </c>
      <c r="Z262" s="53">
        <v>42</v>
      </c>
      <c r="AA262" s="54">
        <v>10.8</v>
      </c>
      <c r="AB262" s="55">
        <v>0</v>
      </c>
      <c r="AC262" s="55">
        <v>0</v>
      </c>
      <c r="AD262" s="57">
        <v>9.42</v>
      </c>
      <c r="AE262" s="56">
        <v>41</v>
      </c>
      <c r="AF262" s="54">
        <v>10.9</v>
      </c>
      <c r="AG262" s="55">
        <v>0</v>
      </c>
      <c r="AH262" s="55">
        <v>0</v>
      </c>
      <c r="AI262" s="57">
        <v>12.5</v>
      </c>
      <c r="AJ262" s="56">
        <v>42</v>
      </c>
      <c r="AK262" s="54">
        <v>10.7</v>
      </c>
      <c r="AL262" s="54">
        <v>0</v>
      </c>
      <c r="AM262" s="54">
        <v>0</v>
      </c>
      <c r="AN262" s="57">
        <v>13.07</v>
      </c>
      <c r="AO262" s="53">
        <v>39</v>
      </c>
      <c r="AP262" s="54">
        <v>10.6</v>
      </c>
      <c r="AQ262" s="54">
        <v>110</v>
      </c>
      <c r="AR262" s="54">
        <v>0</v>
      </c>
      <c r="AS262" s="57">
        <v>15</v>
      </c>
      <c r="AT262" s="56">
        <v>31</v>
      </c>
      <c r="AU262" s="57">
        <v>70</v>
      </c>
      <c r="AV262" s="56">
        <v>94.7265625</v>
      </c>
      <c r="AW262" s="57">
        <v>284.45722505122734</v>
      </c>
      <c r="AX262" s="8"/>
      <c r="AZ262" s="1">
        <v>90</v>
      </c>
      <c r="BB262" s="82">
        <f t="shared" si="23"/>
        <v>35.510280000000002</v>
      </c>
    </row>
    <row r="263" spans="3:54" ht="15" customHeight="1" x14ac:dyDescent="0.25">
      <c r="C263" s="42"/>
      <c r="D263" s="43">
        <f>D256</f>
        <v>45737</v>
      </c>
      <c r="E263" s="44">
        <f t="shared" si="29"/>
        <v>20.833333333333307</v>
      </c>
      <c r="F263" s="45">
        <f t="shared" si="25"/>
        <v>45737.833333333932</v>
      </c>
      <c r="G263" s="52">
        <v>42</v>
      </c>
      <c r="H263" s="53">
        <v>42</v>
      </c>
      <c r="I263" s="54">
        <v>10.199999999999999</v>
      </c>
      <c r="J263" s="54">
        <v>350</v>
      </c>
      <c r="K263" s="55">
        <v>0</v>
      </c>
      <c r="L263" s="56">
        <v>40</v>
      </c>
      <c r="M263" s="54">
        <v>10.7</v>
      </c>
      <c r="N263" s="54">
        <v>500</v>
      </c>
      <c r="O263" s="57">
        <v>0</v>
      </c>
      <c r="P263" s="53">
        <v>37</v>
      </c>
      <c r="Q263" s="54">
        <v>10.7</v>
      </c>
      <c r="R263" s="55">
        <v>0</v>
      </c>
      <c r="S263" s="55">
        <v>0</v>
      </c>
      <c r="T263" s="57">
        <v>17.3</v>
      </c>
      <c r="U263" s="56">
        <v>38</v>
      </c>
      <c r="V263" s="54">
        <v>10.8</v>
      </c>
      <c r="W263" s="55">
        <v>0</v>
      </c>
      <c r="X263" s="55">
        <v>0</v>
      </c>
      <c r="Y263" s="57">
        <v>13.46</v>
      </c>
      <c r="Z263" s="53">
        <v>38</v>
      </c>
      <c r="AA263" s="54">
        <v>10.8</v>
      </c>
      <c r="AB263" s="55">
        <v>0</v>
      </c>
      <c r="AC263" s="55">
        <v>0</v>
      </c>
      <c r="AD263" s="57">
        <v>8.65</v>
      </c>
      <c r="AE263" s="56">
        <v>37</v>
      </c>
      <c r="AF263" s="54">
        <v>10.7</v>
      </c>
      <c r="AG263" s="55">
        <v>0</v>
      </c>
      <c r="AH263" s="55">
        <v>0</v>
      </c>
      <c r="AI263" s="57">
        <v>13.46</v>
      </c>
      <c r="AJ263" s="56">
        <v>35</v>
      </c>
      <c r="AK263" s="54">
        <v>10.6</v>
      </c>
      <c r="AL263" s="54">
        <v>0</v>
      </c>
      <c r="AM263" s="54">
        <v>0</v>
      </c>
      <c r="AN263" s="57">
        <v>12.5</v>
      </c>
      <c r="AO263" s="53">
        <v>38</v>
      </c>
      <c r="AP263" s="54">
        <v>10.6</v>
      </c>
      <c r="AQ263" s="54">
        <v>120</v>
      </c>
      <c r="AR263" s="54">
        <v>0</v>
      </c>
      <c r="AS263" s="57">
        <v>16.73</v>
      </c>
      <c r="AT263" s="56">
        <v>32</v>
      </c>
      <c r="AU263" s="57">
        <v>90</v>
      </c>
      <c r="AV263" s="56">
        <v>95.194496154785199</v>
      </c>
      <c r="AW263" s="57">
        <v>286.11834457712246</v>
      </c>
      <c r="AX263" s="8"/>
      <c r="AZ263" s="1">
        <v>90</v>
      </c>
      <c r="BB263" s="82">
        <f t="shared" si="23"/>
        <v>36.288199999999996</v>
      </c>
    </row>
    <row r="264" spans="3:54" ht="15" customHeight="1" x14ac:dyDescent="0.25">
      <c r="C264" s="42"/>
      <c r="D264" s="43">
        <f>D256</f>
        <v>45737</v>
      </c>
      <c r="E264" s="44">
        <f t="shared" si="29"/>
        <v>20.916666666666639</v>
      </c>
      <c r="F264" s="45">
        <f t="shared" si="25"/>
        <v>45737.916666667268</v>
      </c>
      <c r="G264" s="52">
        <v>43</v>
      </c>
      <c r="H264" s="53">
        <v>41</v>
      </c>
      <c r="I264" s="54">
        <v>10.6</v>
      </c>
      <c r="J264" s="54">
        <v>350</v>
      </c>
      <c r="K264" s="55">
        <v>0</v>
      </c>
      <c r="L264" s="56">
        <v>40</v>
      </c>
      <c r="M264" s="54">
        <v>10.8</v>
      </c>
      <c r="N264" s="54">
        <v>500</v>
      </c>
      <c r="O264" s="57">
        <v>0</v>
      </c>
      <c r="P264" s="53">
        <v>38</v>
      </c>
      <c r="Q264" s="54">
        <v>10.8</v>
      </c>
      <c r="R264" s="55">
        <v>0</v>
      </c>
      <c r="S264" s="55">
        <v>0</v>
      </c>
      <c r="T264" s="57">
        <v>18.260000000000002</v>
      </c>
      <c r="U264" s="56">
        <v>38</v>
      </c>
      <c r="V264" s="54">
        <v>10.8</v>
      </c>
      <c r="W264" s="55">
        <v>0</v>
      </c>
      <c r="X264" s="55">
        <v>0</v>
      </c>
      <c r="Y264" s="57">
        <v>14.38</v>
      </c>
      <c r="Z264" s="53">
        <v>37</v>
      </c>
      <c r="AA264" s="54">
        <v>10.8</v>
      </c>
      <c r="AB264" s="55">
        <v>0</v>
      </c>
      <c r="AC264" s="55">
        <v>0</v>
      </c>
      <c r="AD264" s="57">
        <v>9.0299999999999994</v>
      </c>
      <c r="AE264" s="56">
        <v>38</v>
      </c>
      <c r="AF264" s="54">
        <v>10.7</v>
      </c>
      <c r="AG264" s="55">
        <v>0</v>
      </c>
      <c r="AH264" s="55">
        <v>0</v>
      </c>
      <c r="AI264" s="57">
        <v>13.84</v>
      </c>
      <c r="AJ264" s="56">
        <v>36</v>
      </c>
      <c r="AK264" s="54">
        <v>10.6</v>
      </c>
      <c r="AL264" s="54">
        <v>0</v>
      </c>
      <c r="AM264" s="54">
        <v>0</v>
      </c>
      <c r="AN264" s="57">
        <v>11.53</v>
      </c>
      <c r="AO264" s="53">
        <v>37</v>
      </c>
      <c r="AP264" s="54">
        <v>10.6</v>
      </c>
      <c r="AQ264" s="54">
        <v>120</v>
      </c>
      <c r="AR264" s="54">
        <v>0</v>
      </c>
      <c r="AS264" s="57">
        <v>16.73</v>
      </c>
      <c r="AT264" s="56">
        <v>31</v>
      </c>
      <c r="AU264" s="57">
        <v>110</v>
      </c>
      <c r="AV264" s="56">
        <v>94.73876953125</v>
      </c>
      <c r="AW264" s="57">
        <v>288.05772552490237</v>
      </c>
      <c r="AX264" s="8"/>
      <c r="AZ264" s="1">
        <v>90</v>
      </c>
      <c r="BB264" s="82">
        <f t="shared" si="23"/>
        <v>37.026339999999998</v>
      </c>
    </row>
    <row r="265" spans="3:54" ht="15" customHeight="1" x14ac:dyDescent="0.25">
      <c r="C265" s="42"/>
      <c r="D265" s="43">
        <f>D256</f>
        <v>45737</v>
      </c>
      <c r="E265" s="44">
        <f t="shared" si="29"/>
        <v>20.999999999999972</v>
      </c>
      <c r="F265" s="45">
        <f t="shared" si="25"/>
        <v>45738.000000000604</v>
      </c>
      <c r="G265" s="52">
        <v>43</v>
      </c>
      <c r="H265" s="53">
        <v>41</v>
      </c>
      <c r="I265" s="54">
        <v>10.8</v>
      </c>
      <c r="J265" s="54">
        <v>300</v>
      </c>
      <c r="K265" s="55">
        <v>0</v>
      </c>
      <c r="L265" s="56">
        <v>40</v>
      </c>
      <c r="M265" s="54">
        <v>11</v>
      </c>
      <c r="N265" s="54">
        <v>400</v>
      </c>
      <c r="O265" s="57">
        <v>0</v>
      </c>
      <c r="P265" s="53">
        <v>39</v>
      </c>
      <c r="Q265" s="54">
        <v>10.7</v>
      </c>
      <c r="R265" s="55">
        <v>0</v>
      </c>
      <c r="S265" s="55">
        <v>0</v>
      </c>
      <c r="T265" s="57">
        <v>17.3</v>
      </c>
      <c r="U265" s="56">
        <v>38</v>
      </c>
      <c r="V265" s="54">
        <v>10.8</v>
      </c>
      <c r="W265" s="55">
        <v>0</v>
      </c>
      <c r="X265" s="55">
        <v>0</v>
      </c>
      <c r="Y265" s="57">
        <v>13.46</v>
      </c>
      <c r="Z265" s="53">
        <v>38</v>
      </c>
      <c r="AA265" s="54">
        <v>10.7</v>
      </c>
      <c r="AB265" s="55">
        <v>0</v>
      </c>
      <c r="AC265" s="55">
        <v>0</v>
      </c>
      <c r="AD265" s="57">
        <v>8.26</v>
      </c>
      <c r="AE265" s="56">
        <v>37</v>
      </c>
      <c r="AF265" s="54">
        <v>10.7</v>
      </c>
      <c r="AG265" s="55">
        <v>0</v>
      </c>
      <c r="AH265" s="55">
        <v>0</v>
      </c>
      <c r="AI265" s="57">
        <v>14.03</v>
      </c>
      <c r="AJ265" s="56">
        <v>37</v>
      </c>
      <c r="AK265" s="54">
        <v>10.6</v>
      </c>
      <c r="AL265" s="54">
        <v>0</v>
      </c>
      <c r="AM265" s="54">
        <v>0</v>
      </c>
      <c r="AN265" s="57">
        <v>11.53</v>
      </c>
      <c r="AO265" s="53">
        <v>37</v>
      </c>
      <c r="AP265" s="54">
        <v>10.6</v>
      </c>
      <c r="AQ265" s="54">
        <v>120</v>
      </c>
      <c r="AR265" s="54">
        <v>0</v>
      </c>
      <c r="AS265" s="57">
        <v>16.34</v>
      </c>
      <c r="AT265" s="56">
        <v>31</v>
      </c>
      <c r="AU265" s="57">
        <v>100</v>
      </c>
      <c r="AV265" s="56">
        <v>94.624832153320298</v>
      </c>
      <c r="AW265" s="57">
        <v>286.56250033411197</v>
      </c>
      <c r="AX265" s="8"/>
      <c r="AZ265" s="1">
        <v>90</v>
      </c>
      <c r="BB265" s="82">
        <f t="shared" si="23"/>
        <v>35.766640000000002</v>
      </c>
    </row>
    <row r="266" spans="3:54" ht="15" customHeight="1" x14ac:dyDescent="0.25">
      <c r="C266" s="42"/>
      <c r="D266" s="43">
        <f>D256</f>
        <v>45737</v>
      </c>
      <c r="E266" s="44">
        <f t="shared" si="29"/>
        <v>21.083333333333304</v>
      </c>
      <c r="F266" s="45">
        <f t="shared" si="25"/>
        <v>45738.08333333394</v>
      </c>
      <c r="G266" s="52">
        <v>44</v>
      </c>
      <c r="H266" s="53">
        <v>40</v>
      </c>
      <c r="I266" s="54">
        <v>10.6</v>
      </c>
      <c r="J266" s="54">
        <v>300</v>
      </c>
      <c r="K266" s="55">
        <v>0</v>
      </c>
      <c r="L266" s="56">
        <v>40</v>
      </c>
      <c r="M266" s="54">
        <v>10.6</v>
      </c>
      <c r="N266" s="54">
        <v>350</v>
      </c>
      <c r="O266" s="57">
        <v>0</v>
      </c>
      <c r="P266" s="53">
        <v>40</v>
      </c>
      <c r="Q266" s="54">
        <v>10.6</v>
      </c>
      <c r="R266" s="55">
        <v>0</v>
      </c>
      <c r="S266" s="55">
        <v>0</v>
      </c>
      <c r="T266" s="57">
        <v>17.690000000000001</v>
      </c>
      <c r="U266" s="56">
        <v>39</v>
      </c>
      <c r="V266" s="54">
        <v>10.7</v>
      </c>
      <c r="W266" s="55">
        <v>0</v>
      </c>
      <c r="X266" s="55">
        <v>0</v>
      </c>
      <c r="Y266" s="57">
        <v>13.84</v>
      </c>
      <c r="Z266" s="53">
        <v>38</v>
      </c>
      <c r="AA266" s="54">
        <v>10.8</v>
      </c>
      <c r="AB266" s="55">
        <v>0</v>
      </c>
      <c r="AC266" s="55">
        <v>0</v>
      </c>
      <c r="AD266" s="57">
        <v>8.26</v>
      </c>
      <c r="AE266" s="56">
        <v>38</v>
      </c>
      <c r="AF266" s="54">
        <v>10.7</v>
      </c>
      <c r="AG266" s="55">
        <v>0</v>
      </c>
      <c r="AH266" s="55">
        <v>0</v>
      </c>
      <c r="AI266" s="57">
        <v>13.46</v>
      </c>
      <c r="AJ266" s="56">
        <v>37</v>
      </c>
      <c r="AK266" s="54">
        <v>10.6</v>
      </c>
      <c r="AL266" s="54">
        <v>0</v>
      </c>
      <c r="AM266" s="54">
        <v>0</v>
      </c>
      <c r="AN266" s="57">
        <v>11.92</v>
      </c>
      <c r="AO266" s="53">
        <v>38</v>
      </c>
      <c r="AP266" s="54">
        <v>10.6</v>
      </c>
      <c r="AQ266" s="54">
        <v>100</v>
      </c>
      <c r="AR266" s="54">
        <v>0</v>
      </c>
      <c r="AS266" s="57">
        <v>16.53</v>
      </c>
      <c r="AT266" s="56">
        <v>32</v>
      </c>
      <c r="AU266" s="57">
        <v>100</v>
      </c>
      <c r="AV266" s="56">
        <v>94.90966796875</v>
      </c>
      <c r="AW266" s="57">
        <v>285.02881495806702</v>
      </c>
      <c r="AX266" s="8"/>
      <c r="AZ266" s="1">
        <v>90</v>
      </c>
      <c r="BB266" s="82">
        <f t="shared" si="23"/>
        <v>36.111400000000003</v>
      </c>
    </row>
    <row r="267" spans="3:54" ht="15" customHeight="1" x14ac:dyDescent="0.25">
      <c r="C267" s="42"/>
      <c r="D267" s="69">
        <f>D256</f>
        <v>45737</v>
      </c>
      <c r="E267" s="70">
        <f t="shared" si="29"/>
        <v>21.166666666666636</v>
      </c>
      <c r="F267" s="71">
        <f t="shared" si="25"/>
        <v>45738.166666667275</v>
      </c>
      <c r="G267" s="60">
        <v>42</v>
      </c>
      <c r="H267" s="61">
        <v>41</v>
      </c>
      <c r="I267" s="62">
        <v>10.4</v>
      </c>
      <c r="J267" s="62">
        <v>300</v>
      </c>
      <c r="K267" s="63">
        <v>0</v>
      </c>
      <c r="L267" s="64">
        <v>41</v>
      </c>
      <c r="M267" s="62">
        <v>10.5</v>
      </c>
      <c r="N267" s="62">
        <v>350</v>
      </c>
      <c r="O267" s="65">
        <v>0</v>
      </c>
      <c r="P267" s="61">
        <v>40</v>
      </c>
      <c r="Q267" s="62">
        <v>10.6</v>
      </c>
      <c r="R267" s="63">
        <v>0</v>
      </c>
      <c r="S267" s="63">
        <v>0</v>
      </c>
      <c r="T267" s="65">
        <v>17.88</v>
      </c>
      <c r="U267" s="64">
        <v>40</v>
      </c>
      <c r="V267" s="62">
        <v>10.7</v>
      </c>
      <c r="W267" s="63">
        <v>0</v>
      </c>
      <c r="X267" s="63">
        <v>0</v>
      </c>
      <c r="Y267" s="65">
        <v>13.65</v>
      </c>
      <c r="Z267" s="61">
        <v>38</v>
      </c>
      <c r="AA267" s="62">
        <v>10.7</v>
      </c>
      <c r="AB267" s="63">
        <v>0</v>
      </c>
      <c r="AC267" s="63">
        <v>0</v>
      </c>
      <c r="AD267" s="65">
        <v>8.65</v>
      </c>
      <c r="AE267" s="64">
        <v>38</v>
      </c>
      <c r="AF267" s="62">
        <v>10.7</v>
      </c>
      <c r="AG267" s="63">
        <v>0</v>
      </c>
      <c r="AH267" s="63">
        <v>0</v>
      </c>
      <c r="AI267" s="65">
        <v>13.65</v>
      </c>
      <c r="AJ267" s="64">
        <v>37</v>
      </c>
      <c r="AK267" s="62">
        <v>10.6</v>
      </c>
      <c r="AL267" s="62">
        <v>0</v>
      </c>
      <c r="AM267" s="62">
        <v>0</v>
      </c>
      <c r="AN267" s="65">
        <v>12.5</v>
      </c>
      <c r="AO267" s="61">
        <v>37</v>
      </c>
      <c r="AP267" s="62">
        <v>10.6</v>
      </c>
      <c r="AQ267" s="62">
        <v>130</v>
      </c>
      <c r="AR267" s="62">
        <v>0</v>
      </c>
      <c r="AS267" s="65">
        <v>16.34</v>
      </c>
      <c r="AT267" s="64">
        <v>31</v>
      </c>
      <c r="AU267" s="65">
        <v>110</v>
      </c>
      <c r="AV267" s="64">
        <v>94.657386779785199</v>
      </c>
      <c r="AW267" s="65">
        <v>286.79313816900054</v>
      </c>
      <c r="AX267" s="8"/>
      <c r="AZ267" s="1">
        <v>90</v>
      </c>
      <c r="BB267" s="82">
        <f t="shared" si="23"/>
        <v>36.540140000000001</v>
      </c>
    </row>
    <row r="268" spans="3:54" ht="15" customHeight="1" x14ac:dyDescent="0.25">
      <c r="C268" s="42">
        <f>C256+1</f>
        <v>22</v>
      </c>
      <c r="D268" s="66">
        <f>DATE([3]Dash!$F$3,VLOOKUP([3]Dash!$E$3,[3]Abb!$C$3:$D$14,2,FALSE),C268)</f>
        <v>45738</v>
      </c>
      <c r="E268" s="67">
        <f>E267+2/24</f>
        <v>21.249999999999968</v>
      </c>
      <c r="F268" s="68">
        <f t="shared" si="25"/>
        <v>45738.250000000611</v>
      </c>
      <c r="G268" s="46">
        <v>42</v>
      </c>
      <c r="H268" s="47">
        <v>41</v>
      </c>
      <c r="I268" s="48">
        <v>10.5</v>
      </c>
      <c r="J268" s="48">
        <v>350</v>
      </c>
      <c r="K268" s="49">
        <v>0</v>
      </c>
      <c r="L268" s="50">
        <v>41</v>
      </c>
      <c r="M268" s="48">
        <v>10.6</v>
      </c>
      <c r="N268" s="48">
        <v>350</v>
      </c>
      <c r="O268" s="51">
        <v>0</v>
      </c>
      <c r="P268" s="47">
        <v>40</v>
      </c>
      <c r="Q268" s="48">
        <v>10.6</v>
      </c>
      <c r="R268" s="49">
        <v>0</v>
      </c>
      <c r="S268" s="49">
        <v>0</v>
      </c>
      <c r="T268" s="51">
        <v>17.88</v>
      </c>
      <c r="U268" s="50">
        <v>40</v>
      </c>
      <c r="V268" s="48">
        <v>10.7</v>
      </c>
      <c r="W268" s="49">
        <v>0</v>
      </c>
      <c r="X268" s="49">
        <v>0</v>
      </c>
      <c r="Y268" s="51">
        <v>13.46</v>
      </c>
      <c r="Z268" s="47">
        <v>38</v>
      </c>
      <c r="AA268" s="48">
        <v>10.7</v>
      </c>
      <c r="AB268" s="49">
        <v>0</v>
      </c>
      <c r="AC268" s="49">
        <v>0</v>
      </c>
      <c r="AD268" s="51">
        <v>8.65</v>
      </c>
      <c r="AE268" s="50">
        <v>38</v>
      </c>
      <c r="AF268" s="48">
        <v>10.7</v>
      </c>
      <c r="AG268" s="49">
        <v>0</v>
      </c>
      <c r="AH268" s="49">
        <v>0</v>
      </c>
      <c r="AI268" s="51">
        <v>13.46</v>
      </c>
      <c r="AJ268" s="50">
        <v>37</v>
      </c>
      <c r="AK268" s="48">
        <v>10.6</v>
      </c>
      <c r="AL268" s="48">
        <v>0</v>
      </c>
      <c r="AM268" s="48">
        <v>0</v>
      </c>
      <c r="AN268" s="51">
        <v>12.5</v>
      </c>
      <c r="AO268" s="47">
        <v>37</v>
      </c>
      <c r="AP268" s="48">
        <v>10.6</v>
      </c>
      <c r="AQ268" s="48">
        <v>130</v>
      </c>
      <c r="AR268" s="48">
        <v>0</v>
      </c>
      <c r="AS268" s="51">
        <v>16.73</v>
      </c>
      <c r="AT268" s="50">
        <v>31</v>
      </c>
      <c r="AU268" s="51">
        <v>110</v>
      </c>
      <c r="AV268" s="50"/>
      <c r="AW268" s="51"/>
      <c r="AX268" s="8"/>
      <c r="AZ268" s="1">
        <v>90</v>
      </c>
      <c r="BB268" s="82">
        <f t="shared" si="23"/>
        <v>36.544559999999997</v>
      </c>
    </row>
    <row r="269" spans="3:54" ht="15" customHeight="1" x14ac:dyDescent="0.25">
      <c r="C269" s="42"/>
      <c r="D269" s="43">
        <f>D268</f>
        <v>45738</v>
      </c>
      <c r="E269" s="44">
        <f>E268+2/24</f>
        <v>21.3333333333333</v>
      </c>
      <c r="F269" s="45">
        <f t="shared" si="25"/>
        <v>45738.333333333947</v>
      </c>
      <c r="G269" s="52">
        <v>42</v>
      </c>
      <c r="H269" s="53">
        <v>43</v>
      </c>
      <c r="I269" s="54">
        <v>10</v>
      </c>
      <c r="J269" s="54">
        <v>300</v>
      </c>
      <c r="K269" s="55">
        <v>0</v>
      </c>
      <c r="L269" s="56">
        <v>43</v>
      </c>
      <c r="M269" s="54">
        <v>10.4</v>
      </c>
      <c r="N269" s="54">
        <v>250</v>
      </c>
      <c r="O269" s="57">
        <v>0</v>
      </c>
      <c r="P269" s="53">
        <v>42</v>
      </c>
      <c r="Q269" s="54">
        <v>10.4</v>
      </c>
      <c r="R269" s="55">
        <v>0</v>
      </c>
      <c r="S269" s="55">
        <v>0</v>
      </c>
      <c r="T269" s="57">
        <v>16.53</v>
      </c>
      <c r="U269" s="56">
        <v>43</v>
      </c>
      <c r="V269" s="54">
        <v>10.6</v>
      </c>
      <c r="W269" s="55">
        <v>0</v>
      </c>
      <c r="X269" s="55">
        <v>0</v>
      </c>
      <c r="Y269" s="57">
        <v>11.92</v>
      </c>
      <c r="Z269" s="53">
        <v>41</v>
      </c>
      <c r="AA269" s="54">
        <v>10.6</v>
      </c>
      <c r="AB269" s="55">
        <v>0</v>
      </c>
      <c r="AC269" s="55">
        <v>0</v>
      </c>
      <c r="AD269" s="57">
        <v>8.07</v>
      </c>
      <c r="AE269" s="56">
        <v>42</v>
      </c>
      <c r="AF269" s="54">
        <v>10.7</v>
      </c>
      <c r="AG269" s="55">
        <v>0</v>
      </c>
      <c r="AH269" s="55">
        <v>0</v>
      </c>
      <c r="AI269" s="57">
        <v>13.07</v>
      </c>
      <c r="AJ269" s="56">
        <v>41</v>
      </c>
      <c r="AK269" s="54">
        <v>10.8</v>
      </c>
      <c r="AL269" s="54">
        <v>0</v>
      </c>
      <c r="AM269" s="54">
        <v>0</v>
      </c>
      <c r="AN269" s="57">
        <v>11.53</v>
      </c>
      <c r="AO269" s="53">
        <v>40</v>
      </c>
      <c r="AP269" s="54">
        <v>10.8</v>
      </c>
      <c r="AQ269" s="54">
        <v>150</v>
      </c>
      <c r="AR269" s="54">
        <v>0</v>
      </c>
      <c r="AS269" s="57">
        <v>11.92</v>
      </c>
      <c r="AT269" s="56">
        <v>30</v>
      </c>
      <c r="AU269" s="57">
        <v>110</v>
      </c>
      <c r="AV269" s="56"/>
      <c r="AW269" s="57"/>
      <c r="AX269" s="8"/>
      <c r="AZ269" s="1">
        <v>90</v>
      </c>
      <c r="BB269" s="82">
        <f t="shared" si="23"/>
        <v>32.283679999999997</v>
      </c>
    </row>
    <row r="270" spans="3:54" ht="15" customHeight="1" x14ac:dyDescent="0.25">
      <c r="C270" s="42"/>
      <c r="D270" s="43">
        <f>D268</f>
        <v>45738</v>
      </c>
      <c r="E270" s="44">
        <f t="shared" ref="E270:E279" si="30">E269+2/24</f>
        <v>21.416666666666632</v>
      </c>
      <c r="F270" s="45">
        <f t="shared" si="25"/>
        <v>45738.416666667283</v>
      </c>
      <c r="G270" s="52">
        <v>41</v>
      </c>
      <c r="H270" s="53">
        <v>43</v>
      </c>
      <c r="I270" s="54">
        <v>11</v>
      </c>
      <c r="J270" s="54">
        <v>300</v>
      </c>
      <c r="K270" s="55">
        <v>0</v>
      </c>
      <c r="L270" s="56">
        <v>39</v>
      </c>
      <c r="M270" s="54">
        <v>10.3</v>
      </c>
      <c r="N270" s="54">
        <v>300</v>
      </c>
      <c r="O270" s="57">
        <v>0</v>
      </c>
      <c r="P270" s="53">
        <v>42</v>
      </c>
      <c r="Q270" s="54">
        <v>10.5</v>
      </c>
      <c r="R270" s="55">
        <v>0</v>
      </c>
      <c r="S270" s="55">
        <v>0</v>
      </c>
      <c r="T270" s="57">
        <v>16.34</v>
      </c>
      <c r="U270" s="56">
        <v>42</v>
      </c>
      <c r="V270" s="54">
        <v>10.4</v>
      </c>
      <c r="W270" s="55">
        <v>0</v>
      </c>
      <c r="X270" s="55">
        <v>0</v>
      </c>
      <c r="Y270" s="57">
        <v>13.07</v>
      </c>
      <c r="Z270" s="53">
        <v>42</v>
      </c>
      <c r="AA270" s="54">
        <v>10.5</v>
      </c>
      <c r="AB270" s="55">
        <v>0</v>
      </c>
      <c r="AC270" s="55">
        <v>0</v>
      </c>
      <c r="AD270" s="57">
        <v>8.26</v>
      </c>
      <c r="AE270" s="56">
        <v>42</v>
      </c>
      <c r="AF270" s="54">
        <v>10.6</v>
      </c>
      <c r="AG270" s="55">
        <v>0</v>
      </c>
      <c r="AH270" s="55">
        <v>0</v>
      </c>
      <c r="AI270" s="57">
        <v>12.69</v>
      </c>
      <c r="AJ270" s="56">
        <v>42</v>
      </c>
      <c r="AK270" s="54">
        <v>10.6</v>
      </c>
      <c r="AL270" s="54">
        <v>0</v>
      </c>
      <c r="AM270" s="54">
        <v>0</v>
      </c>
      <c r="AN270" s="57">
        <v>11.15</v>
      </c>
      <c r="AO270" s="53">
        <v>39</v>
      </c>
      <c r="AP270" s="54">
        <v>10.6</v>
      </c>
      <c r="AQ270" s="54">
        <v>150</v>
      </c>
      <c r="AR270" s="54">
        <v>0</v>
      </c>
      <c r="AS270" s="57">
        <v>13.07</v>
      </c>
      <c r="AT270" s="56">
        <v>30</v>
      </c>
      <c r="AU270" s="57">
        <v>120</v>
      </c>
      <c r="AV270" s="56"/>
      <c r="AW270" s="57"/>
      <c r="AX270" s="8"/>
      <c r="AZ270" s="1">
        <v>90</v>
      </c>
      <c r="BB270" s="82">
        <f t="shared" si="23"/>
        <v>32.964359999999999</v>
      </c>
    </row>
    <row r="271" spans="3:54" ht="15" customHeight="1" x14ac:dyDescent="0.25">
      <c r="C271" s="42"/>
      <c r="D271" s="43">
        <f>D268</f>
        <v>45738</v>
      </c>
      <c r="E271" s="44">
        <f t="shared" si="30"/>
        <v>21.499999999999964</v>
      </c>
      <c r="F271" s="45">
        <f t="shared" si="25"/>
        <v>45738.500000000618</v>
      </c>
      <c r="G271" s="52">
        <v>42</v>
      </c>
      <c r="H271" s="53">
        <v>41</v>
      </c>
      <c r="I271" s="54">
        <v>11.2</v>
      </c>
      <c r="J271" s="54">
        <v>300</v>
      </c>
      <c r="K271" s="55">
        <v>0</v>
      </c>
      <c r="L271" s="56">
        <v>40</v>
      </c>
      <c r="M271" s="54">
        <v>10.5</v>
      </c>
      <c r="N271" s="54">
        <v>300</v>
      </c>
      <c r="O271" s="57">
        <v>0</v>
      </c>
      <c r="P271" s="53">
        <v>41</v>
      </c>
      <c r="Q271" s="54">
        <v>10.5</v>
      </c>
      <c r="R271" s="55">
        <v>0</v>
      </c>
      <c r="S271" s="55">
        <v>0</v>
      </c>
      <c r="T271" s="57">
        <v>16.34</v>
      </c>
      <c r="U271" s="56">
        <v>42</v>
      </c>
      <c r="V271" s="54">
        <v>10.4</v>
      </c>
      <c r="W271" s="55">
        <v>0</v>
      </c>
      <c r="X271" s="55">
        <v>0</v>
      </c>
      <c r="Y271" s="57">
        <v>13.07</v>
      </c>
      <c r="Z271" s="53">
        <v>40</v>
      </c>
      <c r="AA271" s="54">
        <v>10.4</v>
      </c>
      <c r="AB271" s="55">
        <v>0</v>
      </c>
      <c r="AC271" s="55">
        <v>0</v>
      </c>
      <c r="AD271" s="57">
        <v>7.69</v>
      </c>
      <c r="AE271" s="56">
        <v>40</v>
      </c>
      <c r="AF271" s="54">
        <v>10.5</v>
      </c>
      <c r="AG271" s="55">
        <v>0</v>
      </c>
      <c r="AH271" s="55">
        <v>0</v>
      </c>
      <c r="AI271" s="57">
        <v>13.84</v>
      </c>
      <c r="AJ271" s="56">
        <v>39</v>
      </c>
      <c r="AK271" s="54">
        <v>10.6</v>
      </c>
      <c r="AL271" s="54">
        <v>0</v>
      </c>
      <c r="AM271" s="54">
        <v>0</v>
      </c>
      <c r="AN271" s="57">
        <v>11.34</v>
      </c>
      <c r="AO271" s="53">
        <v>39</v>
      </c>
      <c r="AP271" s="54">
        <v>10.6</v>
      </c>
      <c r="AQ271" s="54">
        <v>150</v>
      </c>
      <c r="AR271" s="54">
        <v>0</v>
      </c>
      <c r="AS271" s="57">
        <v>13.46</v>
      </c>
      <c r="AT271" s="56">
        <v>31</v>
      </c>
      <c r="AU271" s="57">
        <v>110</v>
      </c>
      <c r="AV271" s="56"/>
      <c r="AW271" s="57"/>
      <c r="AX271" s="8"/>
      <c r="AZ271" s="1">
        <v>90</v>
      </c>
      <c r="BB271" s="82">
        <f t="shared" si="23"/>
        <v>33.477080000000001</v>
      </c>
    </row>
    <row r="272" spans="3:54" ht="15" customHeight="1" x14ac:dyDescent="0.25">
      <c r="C272" s="42"/>
      <c r="D272" s="43">
        <f>D268</f>
        <v>45738</v>
      </c>
      <c r="E272" s="44">
        <f t="shared" si="30"/>
        <v>21.583333333333297</v>
      </c>
      <c r="F272" s="45">
        <f t="shared" si="25"/>
        <v>45738.583333333954</v>
      </c>
      <c r="G272" s="52">
        <v>41</v>
      </c>
      <c r="H272" s="53">
        <v>39</v>
      </c>
      <c r="I272" s="54">
        <v>10.1</v>
      </c>
      <c r="J272" s="54">
        <v>300</v>
      </c>
      <c r="K272" s="55">
        <v>0</v>
      </c>
      <c r="L272" s="56">
        <v>40</v>
      </c>
      <c r="M272" s="54">
        <v>10.5</v>
      </c>
      <c r="N272" s="54">
        <v>250</v>
      </c>
      <c r="O272" s="57">
        <v>0</v>
      </c>
      <c r="P272" s="53">
        <v>39</v>
      </c>
      <c r="Q272" s="54">
        <v>10.5</v>
      </c>
      <c r="R272" s="55">
        <v>0</v>
      </c>
      <c r="S272" s="55">
        <v>0</v>
      </c>
      <c r="T272" s="57">
        <v>16.53</v>
      </c>
      <c r="U272" s="56">
        <v>40</v>
      </c>
      <c r="V272" s="54">
        <v>10.3</v>
      </c>
      <c r="W272" s="55">
        <v>0</v>
      </c>
      <c r="X272" s="55">
        <v>0</v>
      </c>
      <c r="Y272" s="57">
        <v>13.63</v>
      </c>
      <c r="Z272" s="53">
        <v>41</v>
      </c>
      <c r="AA272" s="54">
        <v>10.3</v>
      </c>
      <c r="AB272" s="55">
        <v>0</v>
      </c>
      <c r="AC272" s="55">
        <v>0</v>
      </c>
      <c r="AD272" s="57">
        <v>8.07</v>
      </c>
      <c r="AE272" s="56">
        <v>40</v>
      </c>
      <c r="AF272" s="54">
        <v>10.4</v>
      </c>
      <c r="AG272" s="55">
        <v>0</v>
      </c>
      <c r="AH272" s="55">
        <v>0</v>
      </c>
      <c r="AI272" s="57">
        <v>13.84</v>
      </c>
      <c r="AJ272" s="56">
        <v>39</v>
      </c>
      <c r="AK272" s="54">
        <v>10.6</v>
      </c>
      <c r="AL272" s="54">
        <v>0</v>
      </c>
      <c r="AM272" s="54">
        <v>0</v>
      </c>
      <c r="AN272" s="57">
        <v>11.92</v>
      </c>
      <c r="AO272" s="53">
        <v>39</v>
      </c>
      <c r="AP272" s="54">
        <v>10.7</v>
      </c>
      <c r="AQ272" s="54">
        <v>140</v>
      </c>
      <c r="AR272" s="54">
        <v>0</v>
      </c>
      <c r="AS272" s="57">
        <v>13.07</v>
      </c>
      <c r="AT272" s="56">
        <v>30</v>
      </c>
      <c r="AU272" s="57">
        <v>110</v>
      </c>
      <c r="AV272" s="56"/>
      <c r="AW272" s="57"/>
      <c r="AX272" s="8"/>
      <c r="AZ272" s="1">
        <v>90</v>
      </c>
      <c r="BB272" s="82">
        <f t="shared" si="23"/>
        <v>34.060519999999997</v>
      </c>
    </row>
    <row r="273" spans="3:54" ht="15" customHeight="1" x14ac:dyDescent="0.25">
      <c r="C273" s="42"/>
      <c r="D273" s="43">
        <f>D268</f>
        <v>45738</v>
      </c>
      <c r="E273" s="44">
        <f t="shared" si="30"/>
        <v>21.666666666666629</v>
      </c>
      <c r="F273" s="45">
        <f t="shared" si="25"/>
        <v>45738.66666666729</v>
      </c>
      <c r="G273" s="52">
        <v>43</v>
      </c>
      <c r="H273" s="53">
        <v>42</v>
      </c>
      <c r="I273" s="54">
        <v>10.6</v>
      </c>
      <c r="J273" s="54">
        <v>250</v>
      </c>
      <c r="K273" s="55">
        <v>0</v>
      </c>
      <c r="L273" s="56">
        <v>41</v>
      </c>
      <c r="M273" s="54">
        <v>10.4</v>
      </c>
      <c r="N273" s="54">
        <v>200</v>
      </c>
      <c r="O273" s="57">
        <v>0</v>
      </c>
      <c r="P273" s="53">
        <v>44</v>
      </c>
      <c r="Q273" s="54">
        <v>10.3</v>
      </c>
      <c r="R273" s="55">
        <v>0</v>
      </c>
      <c r="S273" s="55">
        <v>0</v>
      </c>
      <c r="T273" s="57">
        <v>15.38</v>
      </c>
      <c r="U273" s="56">
        <v>39</v>
      </c>
      <c r="V273" s="54">
        <v>10.3</v>
      </c>
      <c r="W273" s="55">
        <v>0</v>
      </c>
      <c r="X273" s="55">
        <v>0</v>
      </c>
      <c r="Y273" s="57">
        <v>12.11</v>
      </c>
      <c r="Z273" s="53">
        <v>39</v>
      </c>
      <c r="AA273" s="54">
        <v>10.4</v>
      </c>
      <c r="AB273" s="55">
        <v>0</v>
      </c>
      <c r="AC273" s="55">
        <v>0</v>
      </c>
      <c r="AD273" s="57">
        <v>7.88</v>
      </c>
      <c r="AE273" s="56">
        <v>40</v>
      </c>
      <c r="AF273" s="54">
        <v>10.4</v>
      </c>
      <c r="AG273" s="55">
        <v>0</v>
      </c>
      <c r="AH273" s="55">
        <v>0</v>
      </c>
      <c r="AI273" s="57">
        <v>12.11</v>
      </c>
      <c r="AJ273" s="56">
        <v>41</v>
      </c>
      <c r="AK273" s="54">
        <v>10.4</v>
      </c>
      <c r="AL273" s="54">
        <v>0</v>
      </c>
      <c r="AM273" s="54">
        <v>0</v>
      </c>
      <c r="AN273" s="57">
        <v>12.11</v>
      </c>
      <c r="AO273" s="53">
        <v>39</v>
      </c>
      <c r="AP273" s="54">
        <v>10.5</v>
      </c>
      <c r="AQ273" s="54">
        <v>110</v>
      </c>
      <c r="AR273" s="54">
        <v>0</v>
      </c>
      <c r="AS273" s="57">
        <v>12.3</v>
      </c>
      <c r="AT273" s="56">
        <v>31</v>
      </c>
      <c r="AU273" s="57">
        <v>100</v>
      </c>
      <c r="AV273" s="56"/>
      <c r="AW273" s="57"/>
      <c r="AX273" s="8"/>
      <c r="AZ273" s="1">
        <v>90</v>
      </c>
      <c r="BB273" s="82">
        <f t="shared" ref="BB273:BB336" si="31">((T273*442)+(Y273*442)+(AD273*442)+(AI273*442)+(AN273*442)+(AS273*442))/1000</f>
        <v>31.775379999999998</v>
      </c>
    </row>
    <row r="274" spans="3:54" ht="15" customHeight="1" x14ac:dyDescent="0.25">
      <c r="C274" s="42"/>
      <c r="D274" s="43">
        <f>D268</f>
        <v>45738</v>
      </c>
      <c r="E274" s="44">
        <f t="shared" si="30"/>
        <v>21.749999999999961</v>
      </c>
      <c r="F274" s="45">
        <f t="shared" ref="F274:F337" si="32">F273+(E274-E273)</f>
        <v>45738.750000000626</v>
      </c>
      <c r="G274" s="52">
        <v>42</v>
      </c>
      <c r="H274" s="53">
        <v>41</v>
      </c>
      <c r="I274" s="54">
        <v>10.7</v>
      </c>
      <c r="J274" s="54">
        <v>250</v>
      </c>
      <c r="K274" s="55">
        <v>0</v>
      </c>
      <c r="L274" s="56">
        <v>40</v>
      </c>
      <c r="M274" s="54">
        <v>10.5</v>
      </c>
      <c r="N274" s="54">
        <v>200</v>
      </c>
      <c r="O274" s="57">
        <v>0</v>
      </c>
      <c r="P274" s="53">
        <v>40</v>
      </c>
      <c r="Q274" s="54">
        <v>10.3</v>
      </c>
      <c r="R274" s="55">
        <v>0</v>
      </c>
      <c r="S274" s="55">
        <v>0</v>
      </c>
      <c r="T274" s="57">
        <v>16.34</v>
      </c>
      <c r="U274" s="56">
        <v>40</v>
      </c>
      <c r="V274" s="54">
        <v>10.3</v>
      </c>
      <c r="W274" s="55">
        <v>0</v>
      </c>
      <c r="X274" s="55">
        <v>0</v>
      </c>
      <c r="Y274" s="57">
        <v>13.92</v>
      </c>
      <c r="Z274" s="53">
        <v>41</v>
      </c>
      <c r="AA274" s="54">
        <v>10.3</v>
      </c>
      <c r="AB274" s="55">
        <v>0</v>
      </c>
      <c r="AC274" s="55">
        <v>0</v>
      </c>
      <c r="AD274" s="57">
        <v>7.69</v>
      </c>
      <c r="AE274" s="56">
        <v>39</v>
      </c>
      <c r="AF274" s="54">
        <v>10.5</v>
      </c>
      <c r="AG274" s="55">
        <v>0</v>
      </c>
      <c r="AH274" s="55">
        <v>0</v>
      </c>
      <c r="AI274" s="57">
        <v>12.69</v>
      </c>
      <c r="AJ274" s="56">
        <v>40</v>
      </c>
      <c r="AK274" s="54">
        <v>10.5</v>
      </c>
      <c r="AL274" s="54">
        <v>0</v>
      </c>
      <c r="AM274" s="54">
        <v>0</v>
      </c>
      <c r="AN274" s="57">
        <v>11.92</v>
      </c>
      <c r="AO274" s="53">
        <v>38</v>
      </c>
      <c r="AP274" s="54">
        <v>10.6</v>
      </c>
      <c r="AQ274" s="54">
        <v>120</v>
      </c>
      <c r="AR274" s="54">
        <v>0</v>
      </c>
      <c r="AS274" s="57">
        <v>13.46</v>
      </c>
      <c r="AT274" s="56">
        <v>30</v>
      </c>
      <c r="AU274" s="57">
        <v>110</v>
      </c>
      <c r="AV274" s="56"/>
      <c r="AW274" s="57"/>
      <c r="AX274" s="8"/>
      <c r="AZ274" s="1">
        <v>90</v>
      </c>
      <c r="BB274" s="82">
        <f t="shared" si="31"/>
        <v>33.600840000000005</v>
      </c>
    </row>
    <row r="275" spans="3:54" ht="15" customHeight="1" x14ac:dyDescent="0.25">
      <c r="C275" s="42"/>
      <c r="D275" s="43">
        <f>D268</f>
        <v>45738</v>
      </c>
      <c r="E275" s="44">
        <f t="shared" si="30"/>
        <v>21.833333333333293</v>
      </c>
      <c r="F275" s="45">
        <f t="shared" si="32"/>
        <v>45738.833333333961</v>
      </c>
      <c r="G275" s="52">
        <v>43</v>
      </c>
      <c r="H275" s="53">
        <v>42</v>
      </c>
      <c r="I275" s="54">
        <v>10.3</v>
      </c>
      <c r="J275" s="54">
        <v>300</v>
      </c>
      <c r="K275" s="55">
        <v>0</v>
      </c>
      <c r="L275" s="56">
        <v>42</v>
      </c>
      <c r="M275" s="54">
        <v>10.3</v>
      </c>
      <c r="N275" s="54">
        <v>300</v>
      </c>
      <c r="O275" s="57">
        <v>0</v>
      </c>
      <c r="P275" s="53">
        <v>39</v>
      </c>
      <c r="Q275" s="54">
        <v>10.3</v>
      </c>
      <c r="R275" s="55">
        <v>0</v>
      </c>
      <c r="S275" s="55">
        <v>0</v>
      </c>
      <c r="T275" s="57">
        <v>9.23</v>
      </c>
      <c r="U275" s="56">
        <v>40</v>
      </c>
      <c r="V275" s="54">
        <v>10.5</v>
      </c>
      <c r="W275" s="55">
        <v>0</v>
      </c>
      <c r="X275" s="55">
        <v>0</v>
      </c>
      <c r="Y275" s="57">
        <v>13.07</v>
      </c>
      <c r="Z275" s="53">
        <v>39</v>
      </c>
      <c r="AA275" s="54">
        <v>10.4</v>
      </c>
      <c r="AB275" s="55">
        <v>0</v>
      </c>
      <c r="AC275" s="55">
        <v>0</v>
      </c>
      <c r="AD275" s="57">
        <v>8.07</v>
      </c>
      <c r="AE275" s="56">
        <v>40</v>
      </c>
      <c r="AF275" s="54">
        <v>10.4</v>
      </c>
      <c r="AG275" s="55">
        <v>0</v>
      </c>
      <c r="AH275" s="55">
        <v>0</v>
      </c>
      <c r="AI275" s="57">
        <v>12.3</v>
      </c>
      <c r="AJ275" s="56">
        <v>39</v>
      </c>
      <c r="AK275" s="54">
        <v>10.4</v>
      </c>
      <c r="AL275" s="54">
        <v>0</v>
      </c>
      <c r="AM275" s="54">
        <v>0</v>
      </c>
      <c r="AN275" s="57">
        <v>11.42</v>
      </c>
      <c r="AO275" s="53">
        <v>39</v>
      </c>
      <c r="AP275" s="54">
        <v>10.5</v>
      </c>
      <c r="AQ275" s="54">
        <v>150</v>
      </c>
      <c r="AR275" s="54">
        <v>0</v>
      </c>
      <c r="AS275" s="57">
        <v>13.84</v>
      </c>
      <c r="AT275" s="56">
        <v>32</v>
      </c>
      <c r="AU275" s="57">
        <v>120</v>
      </c>
      <c r="AV275" s="56"/>
      <c r="AW275" s="57"/>
      <c r="AX275" s="8"/>
      <c r="AZ275" s="1">
        <v>90</v>
      </c>
      <c r="BB275" s="82">
        <f t="shared" si="31"/>
        <v>30.025059999999996</v>
      </c>
    </row>
    <row r="276" spans="3:54" ht="15" customHeight="1" x14ac:dyDescent="0.25">
      <c r="C276" s="42"/>
      <c r="D276" s="43">
        <f>D268</f>
        <v>45738</v>
      </c>
      <c r="E276" s="44">
        <f t="shared" si="30"/>
        <v>21.916666666666625</v>
      </c>
      <c r="F276" s="45">
        <f t="shared" si="32"/>
        <v>45738.916666667297</v>
      </c>
      <c r="G276" s="52">
        <v>43</v>
      </c>
      <c r="H276" s="53">
        <v>42</v>
      </c>
      <c r="I276" s="54">
        <v>9.9</v>
      </c>
      <c r="J276" s="54">
        <v>350</v>
      </c>
      <c r="K276" s="55">
        <v>0</v>
      </c>
      <c r="L276" s="56">
        <v>41</v>
      </c>
      <c r="M276" s="54">
        <v>10.3</v>
      </c>
      <c r="N276" s="54">
        <v>250</v>
      </c>
      <c r="O276" s="57">
        <v>0</v>
      </c>
      <c r="P276" s="53">
        <v>40</v>
      </c>
      <c r="Q276" s="54">
        <v>10.3</v>
      </c>
      <c r="R276" s="55">
        <v>0</v>
      </c>
      <c r="S276" s="55">
        <v>0</v>
      </c>
      <c r="T276" s="57">
        <v>8.65</v>
      </c>
      <c r="U276" s="56">
        <v>40</v>
      </c>
      <c r="V276" s="54">
        <v>10.5</v>
      </c>
      <c r="W276" s="55">
        <v>0</v>
      </c>
      <c r="X276" s="55">
        <v>0</v>
      </c>
      <c r="Y276" s="57">
        <v>14.42</v>
      </c>
      <c r="Z276" s="53">
        <v>38</v>
      </c>
      <c r="AA276" s="54">
        <v>10.4</v>
      </c>
      <c r="AB276" s="55">
        <v>0</v>
      </c>
      <c r="AC276" s="55">
        <v>0</v>
      </c>
      <c r="AD276" s="57">
        <v>12.5</v>
      </c>
      <c r="AE276" s="56">
        <v>39</v>
      </c>
      <c r="AF276" s="54">
        <v>10.4</v>
      </c>
      <c r="AG276" s="55">
        <v>0</v>
      </c>
      <c r="AH276" s="55">
        <v>0</v>
      </c>
      <c r="AI276" s="57">
        <v>13.84</v>
      </c>
      <c r="AJ276" s="56">
        <v>37</v>
      </c>
      <c r="AK276" s="54">
        <v>10.4</v>
      </c>
      <c r="AL276" s="54">
        <v>0</v>
      </c>
      <c r="AM276" s="54">
        <v>0</v>
      </c>
      <c r="AN276" s="57">
        <v>11.53</v>
      </c>
      <c r="AO276" s="53">
        <v>39</v>
      </c>
      <c r="AP276" s="54">
        <v>10.5</v>
      </c>
      <c r="AQ276" s="54">
        <v>130</v>
      </c>
      <c r="AR276" s="54">
        <v>0</v>
      </c>
      <c r="AS276" s="57">
        <v>12.5</v>
      </c>
      <c r="AT276" s="56">
        <v>32</v>
      </c>
      <c r="AU276" s="57">
        <v>110</v>
      </c>
      <c r="AV276" s="56"/>
      <c r="AW276" s="57"/>
      <c r="AX276" s="8"/>
      <c r="AZ276" s="1">
        <v>90</v>
      </c>
      <c r="BB276" s="82">
        <f t="shared" si="31"/>
        <v>32.460479999999997</v>
      </c>
    </row>
    <row r="277" spans="3:54" ht="15" customHeight="1" x14ac:dyDescent="0.25">
      <c r="C277" s="42"/>
      <c r="D277" s="43">
        <f>D268</f>
        <v>45738</v>
      </c>
      <c r="E277" s="44">
        <f t="shared" si="30"/>
        <v>21.999999999999957</v>
      </c>
      <c r="F277" s="45">
        <f t="shared" si="32"/>
        <v>45739.000000000633</v>
      </c>
      <c r="G277" s="52">
        <v>42</v>
      </c>
      <c r="H277" s="53">
        <v>43</v>
      </c>
      <c r="I277" s="54">
        <v>11</v>
      </c>
      <c r="J277" s="54">
        <v>400</v>
      </c>
      <c r="K277" s="55">
        <v>0</v>
      </c>
      <c r="L277" s="56">
        <v>41</v>
      </c>
      <c r="M277" s="54">
        <v>10.5</v>
      </c>
      <c r="N277" s="54">
        <v>250</v>
      </c>
      <c r="O277" s="57">
        <v>0</v>
      </c>
      <c r="P277" s="53">
        <v>37</v>
      </c>
      <c r="Q277" s="54">
        <v>10.5</v>
      </c>
      <c r="R277" s="55">
        <v>0</v>
      </c>
      <c r="S277" s="55">
        <v>0</v>
      </c>
      <c r="T277" s="57">
        <v>6.92</v>
      </c>
      <c r="U277" s="56">
        <v>39</v>
      </c>
      <c r="V277" s="54">
        <v>10.6</v>
      </c>
      <c r="W277" s="55">
        <v>0</v>
      </c>
      <c r="X277" s="55">
        <v>0</v>
      </c>
      <c r="Y277" s="57">
        <v>13.46</v>
      </c>
      <c r="Z277" s="53">
        <v>38</v>
      </c>
      <c r="AA277" s="54">
        <v>10.5</v>
      </c>
      <c r="AB277" s="55">
        <v>0</v>
      </c>
      <c r="AC277" s="55">
        <v>0</v>
      </c>
      <c r="AD277" s="57">
        <v>11.53</v>
      </c>
      <c r="AE277" s="56">
        <v>39</v>
      </c>
      <c r="AF277" s="54">
        <v>10.5</v>
      </c>
      <c r="AG277" s="55">
        <v>0</v>
      </c>
      <c r="AH277" s="55">
        <v>0</v>
      </c>
      <c r="AI277" s="57">
        <v>13.46</v>
      </c>
      <c r="AJ277" s="56">
        <v>38</v>
      </c>
      <c r="AK277" s="54">
        <v>10.5</v>
      </c>
      <c r="AL277" s="54">
        <v>0</v>
      </c>
      <c r="AM277" s="54">
        <v>0</v>
      </c>
      <c r="AN277" s="57">
        <v>11.92</v>
      </c>
      <c r="AO277" s="53">
        <v>38</v>
      </c>
      <c r="AP277" s="54">
        <v>10.5</v>
      </c>
      <c r="AQ277" s="54">
        <v>140</v>
      </c>
      <c r="AR277" s="54">
        <v>0</v>
      </c>
      <c r="AS277" s="57">
        <v>11.53</v>
      </c>
      <c r="AT277" s="56">
        <v>31</v>
      </c>
      <c r="AU277" s="57">
        <v>100</v>
      </c>
      <c r="AV277" s="56"/>
      <c r="AW277" s="57"/>
      <c r="AX277" s="8"/>
      <c r="AZ277" s="1">
        <v>90</v>
      </c>
      <c r="BB277" s="82">
        <f t="shared" si="31"/>
        <v>30.41844</v>
      </c>
    </row>
    <row r="278" spans="3:54" ht="15" customHeight="1" x14ac:dyDescent="0.25">
      <c r="C278" s="42"/>
      <c r="D278" s="43">
        <f>D268</f>
        <v>45738</v>
      </c>
      <c r="E278" s="44">
        <f t="shared" si="30"/>
        <v>22.08333333333329</v>
      </c>
      <c r="F278" s="45">
        <f t="shared" si="32"/>
        <v>45739.083333333969</v>
      </c>
      <c r="G278" s="52">
        <v>38</v>
      </c>
      <c r="H278" s="53">
        <v>41</v>
      </c>
      <c r="I278" s="54">
        <v>11</v>
      </c>
      <c r="J278" s="54">
        <v>400</v>
      </c>
      <c r="K278" s="55">
        <v>0</v>
      </c>
      <c r="L278" s="56">
        <v>41</v>
      </c>
      <c r="M278" s="54">
        <v>10.8</v>
      </c>
      <c r="N278" s="54">
        <v>350</v>
      </c>
      <c r="O278" s="57">
        <v>0</v>
      </c>
      <c r="P278" s="53">
        <v>40</v>
      </c>
      <c r="Q278" s="54">
        <v>10.5</v>
      </c>
      <c r="R278" s="55">
        <v>0</v>
      </c>
      <c r="S278" s="55">
        <v>0</v>
      </c>
      <c r="T278" s="57">
        <v>11.15</v>
      </c>
      <c r="U278" s="56">
        <v>39</v>
      </c>
      <c r="V278" s="54">
        <v>10.6</v>
      </c>
      <c r="W278" s="55">
        <v>0</v>
      </c>
      <c r="X278" s="55">
        <v>0</v>
      </c>
      <c r="Y278" s="57">
        <v>7.69</v>
      </c>
      <c r="Z278" s="53">
        <v>39</v>
      </c>
      <c r="AA278" s="54">
        <v>10.6</v>
      </c>
      <c r="AB278" s="55">
        <v>0</v>
      </c>
      <c r="AC278" s="55">
        <v>0</v>
      </c>
      <c r="AD278" s="57">
        <v>8.07</v>
      </c>
      <c r="AE278" s="56">
        <v>39</v>
      </c>
      <c r="AF278" s="54">
        <v>10.6</v>
      </c>
      <c r="AG278" s="55">
        <v>0</v>
      </c>
      <c r="AH278" s="55">
        <v>0</v>
      </c>
      <c r="AI278" s="57">
        <v>13.07</v>
      </c>
      <c r="AJ278" s="56">
        <v>39</v>
      </c>
      <c r="AK278" s="54">
        <v>10.5</v>
      </c>
      <c r="AL278" s="54">
        <v>0</v>
      </c>
      <c r="AM278" s="54">
        <v>0</v>
      </c>
      <c r="AN278" s="57">
        <v>10</v>
      </c>
      <c r="AO278" s="53">
        <v>40</v>
      </c>
      <c r="AP278" s="54">
        <v>10.4</v>
      </c>
      <c r="AQ278" s="54">
        <v>130</v>
      </c>
      <c r="AR278" s="54">
        <v>0</v>
      </c>
      <c r="AS278" s="57">
        <v>11.15</v>
      </c>
      <c r="AT278" s="56">
        <v>33</v>
      </c>
      <c r="AU278" s="57">
        <v>110</v>
      </c>
      <c r="AV278" s="56"/>
      <c r="AW278" s="57"/>
      <c r="AX278" s="8"/>
      <c r="AZ278" s="1">
        <v>90</v>
      </c>
      <c r="BB278" s="82">
        <f t="shared" si="31"/>
        <v>27.019460000000002</v>
      </c>
    </row>
    <row r="279" spans="3:54" ht="15" customHeight="1" x14ac:dyDescent="0.25">
      <c r="C279" s="42"/>
      <c r="D279" s="69">
        <f>D268</f>
        <v>45738</v>
      </c>
      <c r="E279" s="70">
        <f t="shared" si="30"/>
        <v>22.166666666666622</v>
      </c>
      <c r="F279" s="71">
        <f t="shared" si="32"/>
        <v>45739.166666667305</v>
      </c>
      <c r="G279" s="60">
        <v>40</v>
      </c>
      <c r="H279" s="61">
        <v>42</v>
      </c>
      <c r="I279" s="62">
        <v>11</v>
      </c>
      <c r="J279" s="62">
        <v>400</v>
      </c>
      <c r="K279" s="63">
        <v>0</v>
      </c>
      <c r="L279" s="64">
        <v>42</v>
      </c>
      <c r="M279" s="62">
        <v>11</v>
      </c>
      <c r="N279" s="62">
        <v>350</v>
      </c>
      <c r="O279" s="65">
        <v>0</v>
      </c>
      <c r="P279" s="61">
        <v>40</v>
      </c>
      <c r="Q279" s="62">
        <v>10.8</v>
      </c>
      <c r="R279" s="63">
        <v>0</v>
      </c>
      <c r="S279" s="63">
        <v>0</v>
      </c>
      <c r="T279" s="65">
        <v>13.46</v>
      </c>
      <c r="U279" s="64">
        <v>38</v>
      </c>
      <c r="V279" s="62">
        <v>10.8</v>
      </c>
      <c r="W279" s="63">
        <v>0</v>
      </c>
      <c r="X279" s="63">
        <v>0</v>
      </c>
      <c r="Y279" s="65">
        <v>6.97</v>
      </c>
      <c r="Z279" s="61">
        <v>39</v>
      </c>
      <c r="AA279" s="62">
        <v>10.6</v>
      </c>
      <c r="AB279" s="63">
        <v>0</v>
      </c>
      <c r="AC279" s="63">
        <v>0</v>
      </c>
      <c r="AD279" s="65">
        <v>6.15</v>
      </c>
      <c r="AE279" s="64">
        <v>39</v>
      </c>
      <c r="AF279" s="62">
        <v>10.6</v>
      </c>
      <c r="AG279" s="63">
        <v>0</v>
      </c>
      <c r="AH279" s="63">
        <v>0</v>
      </c>
      <c r="AI279" s="65">
        <v>13.46</v>
      </c>
      <c r="AJ279" s="64">
        <v>39</v>
      </c>
      <c r="AK279" s="62">
        <v>10.5</v>
      </c>
      <c r="AL279" s="62">
        <v>0</v>
      </c>
      <c r="AM279" s="62">
        <v>0</v>
      </c>
      <c r="AN279" s="65">
        <v>12.3</v>
      </c>
      <c r="AO279" s="61">
        <v>39</v>
      </c>
      <c r="AP279" s="62">
        <v>10.4</v>
      </c>
      <c r="AQ279" s="62">
        <v>130</v>
      </c>
      <c r="AR279" s="62">
        <v>0</v>
      </c>
      <c r="AS279" s="65">
        <v>13.84</v>
      </c>
      <c r="AT279" s="64">
        <v>31</v>
      </c>
      <c r="AU279" s="65">
        <v>100</v>
      </c>
      <c r="AV279" s="64"/>
      <c r="AW279" s="65"/>
      <c r="AX279" s="8"/>
      <c r="AZ279" s="1">
        <v>90</v>
      </c>
      <c r="BB279" s="82">
        <f t="shared" si="31"/>
        <v>29.251559999999998</v>
      </c>
    </row>
    <row r="280" spans="3:54" ht="15" customHeight="1" x14ac:dyDescent="0.25">
      <c r="C280" s="42">
        <f>C268+1</f>
        <v>23</v>
      </c>
      <c r="D280" s="66">
        <f>DATE([3]Dash!$F$3,VLOOKUP([3]Dash!$E$3,[3]Abb!$C$3:$D$14,2,FALSE),C280)</f>
        <v>45739</v>
      </c>
      <c r="E280" s="67">
        <f>E279+2/24</f>
        <v>22.249999999999954</v>
      </c>
      <c r="F280" s="68">
        <f t="shared" si="32"/>
        <v>45739.25000000064</v>
      </c>
      <c r="G280" s="46">
        <v>43</v>
      </c>
      <c r="H280" s="47">
        <v>41</v>
      </c>
      <c r="I280" s="48">
        <v>11</v>
      </c>
      <c r="J280" s="48">
        <v>400</v>
      </c>
      <c r="K280" s="49">
        <v>0</v>
      </c>
      <c r="L280" s="50">
        <v>41</v>
      </c>
      <c r="M280" s="48">
        <v>11</v>
      </c>
      <c r="N280" s="48">
        <v>350</v>
      </c>
      <c r="O280" s="51">
        <v>0</v>
      </c>
      <c r="P280" s="47">
        <v>39</v>
      </c>
      <c r="Q280" s="48">
        <v>10.7</v>
      </c>
      <c r="R280" s="49">
        <v>0</v>
      </c>
      <c r="S280" s="49">
        <v>0</v>
      </c>
      <c r="T280" s="51">
        <v>15.38</v>
      </c>
      <c r="U280" s="50">
        <v>40</v>
      </c>
      <c r="V280" s="48">
        <v>10.7</v>
      </c>
      <c r="W280" s="49">
        <v>0</v>
      </c>
      <c r="X280" s="49">
        <v>0</v>
      </c>
      <c r="Y280" s="51">
        <v>5</v>
      </c>
      <c r="Z280" s="47">
        <v>39</v>
      </c>
      <c r="AA280" s="48">
        <v>10.5</v>
      </c>
      <c r="AB280" s="49">
        <v>0</v>
      </c>
      <c r="AC280" s="49">
        <v>0</v>
      </c>
      <c r="AD280" s="51">
        <v>10</v>
      </c>
      <c r="AE280" s="50">
        <v>39</v>
      </c>
      <c r="AF280" s="48">
        <v>10.6</v>
      </c>
      <c r="AG280" s="49">
        <v>0</v>
      </c>
      <c r="AH280" s="49">
        <v>0</v>
      </c>
      <c r="AI280" s="51">
        <v>8.07</v>
      </c>
      <c r="AJ280" s="50">
        <v>38</v>
      </c>
      <c r="AK280" s="48">
        <v>10.5</v>
      </c>
      <c r="AL280" s="48">
        <v>0</v>
      </c>
      <c r="AM280" s="48">
        <v>0</v>
      </c>
      <c r="AN280" s="51">
        <v>11.92</v>
      </c>
      <c r="AO280" s="47">
        <v>37</v>
      </c>
      <c r="AP280" s="48">
        <v>10.4</v>
      </c>
      <c r="AQ280" s="48">
        <v>120</v>
      </c>
      <c r="AR280" s="48">
        <v>0</v>
      </c>
      <c r="AS280" s="51">
        <v>13.02</v>
      </c>
      <c r="AT280" s="50">
        <v>32</v>
      </c>
      <c r="AU280" s="51">
        <v>90</v>
      </c>
      <c r="AV280" s="50"/>
      <c r="AW280" s="51"/>
      <c r="AX280" s="8"/>
      <c r="AZ280" s="1">
        <v>90</v>
      </c>
      <c r="BB280" s="82">
        <f t="shared" si="31"/>
        <v>28.018379999999997</v>
      </c>
    </row>
    <row r="281" spans="3:54" ht="15" customHeight="1" x14ac:dyDescent="0.25">
      <c r="C281" s="42"/>
      <c r="D281" s="43">
        <f>D280</f>
        <v>45739</v>
      </c>
      <c r="E281" s="44">
        <f>E280+2/24</f>
        <v>22.333333333333286</v>
      </c>
      <c r="F281" s="45">
        <f t="shared" si="32"/>
        <v>45739.333333333976</v>
      </c>
      <c r="G281" s="52">
        <v>40</v>
      </c>
      <c r="H281" s="53">
        <v>40</v>
      </c>
      <c r="I281" s="54">
        <v>10.48</v>
      </c>
      <c r="J281" s="54">
        <v>400</v>
      </c>
      <c r="K281" s="55">
        <v>0</v>
      </c>
      <c r="L281" s="56">
        <v>40</v>
      </c>
      <c r="M281" s="54">
        <v>10.54</v>
      </c>
      <c r="N281" s="54">
        <v>350</v>
      </c>
      <c r="O281" s="57">
        <v>0</v>
      </c>
      <c r="P281" s="53">
        <v>41</v>
      </c>
      <c r="Q281" s="54">
        <v>10.7</v>
      </c>
      <c r="R281" s="55">
        <v>0</v>
      </c>
      <c r="S281" s="55">
        <v>0</v>
      </c>
      <c r="T281" s="57">
        <v>15.76</v>
      </c>
      <c r="U281" s="56">
        <v>43</v>
      </c>
      <c r="V281" s="54">
        <v>10.7</v>
      </c>
      <c r="W281" s="55">
        <v>0</v>
      </c>
      <c r="X281" s="55">
        <v>0</v>
      </c>
      <c r="Y281" s="57">
        <v>5</v>
      </c>
      <c r="Z281" s="53">
        <v>42</v>
      </c>
      <c r="AA281" s="54">
        <v>10.52</v>
      </c>
      <c r="AB281" s="55">
        <v>0</v>
      </c>
      <c r="AC281" s="55">
        <v>0</v>
      </c>
      <c r="AD281" s="57">
        <v>10.38</v>
      </c>
      <c r="AE281" s="56">
        <v>40</v>
      </c>
      <c r="AF281" s="54">
        <v>10.46</v>
      </c>
      <c r="AG281" s="55">
        <v>0</v>
      </c>
      <c r="AH281" s="55">
        <v>0</v>
      </c>
      <c r="AI281" s="57">
        <v>8.07</v>
      </c>
      <c r="AJ281" s="56">
        <v>40</v>
      </c>
      <c r="AK281" s="54">
        <v>10.35</v>
      </c>
      <c r="AL281" s="54">
        <v>0</v>
      </c>
      <c r="AM281" s="54">
        <v>0</v>
      </c>
      <c r="AN281" s="57">
        <v>11.53</v>
      </c>
      <c r="AO281" s="53">
        <v>37</v>
      </c>
      <c r="AP281" s="54">
        <v>10.48</v>
      </c>
      <c r="AQ281" s="54">
        <v>110</v>
      </c>
      <c r="AR281" s="54">
        <v>0</v>
      </c>
      <c r="AS281" s="57">
        <v>7.3</v>
      </c>
      <c r="AT281" s="56">
        <v>34</v>
      </c>
      <c r="AU281" s="57">
        <v>100</v>
      </c>
      <c r="AV281" s="56"/>
      <c r="AW281" s="57"/>
      <c r="AX281" s="8"/>
      <c r="AZ281" s="1">
        <v>90</v>
      </c>
      <c r="BB281" s="82">
        <f t="shared" si="31"/>
        <v>25.653679999999998</v>
      </c>
    </row>
    <row r="282" spans="3:54" ht="15" customHeight="1" x14ac:dyDescent="0.25">
      <c r="C282" s="42"/>
      <c r="D282" s="43">
        <f>D280</f>
        <v>45739</v>
      </c>
      <c r="E282" s="44">
        <f t="shared" ref="E282:E291" si="33">E281+2/24</f>
        <v>22.416666666666618</v>
      </c>
      <c r="F282" s="45">
        <f t="shared" si="32"/>
        <v>45739.416666667312</v>
      </c>
      <c r="G282" s="52">
        <v>47</v>
      </c>
      <c r="H282" s="53">
        <v>43</v>
      </c>
      <c r="I282" s="54">
        <v>10.1</v>
      </c>
      <c r="J282" s="54">
        <v>450</v>
      </c>
      <c r="K282" s="55">
        <v>0</v>
      </c>
      <c r="L282" s="56">
        <v>44</v>
      </c>
      <c r="M282" s="54">
        <v>10.4</v>
      </c>
      <c r="N282" s="54">
        <v>350</v>
      </c>
      <c r="O282" s="57">
        <v>0</v>
      </c>
      <c r="P282" s="53">
        <v>42</v>
      </c>
      <c r="Q282" s="54">
        <v>10.7</v>
      </c>
      <c r="R282" s="55">
        <v>0</v>
      </c>
      <c r="S282" s="55">
        <v>0</v>
      </c>
      <c r="T282" s="57">
        <v>15.38</v>
      </c>
      <c r="U282" s="56">
        <v>43</v>
      </c>
      <c r="V282" s="54">
        <v>10.7</v>
      </c>
      <c r="W282" s="55">
        <v>0</v>
      </c>
      <c r="X282" s="55">
        <v>0</v>
      </c>
      <c r="Y282" s="57">
        <v>4.8</v>
      </c>
      <c r="Z282" s="53">
        <v>42</v>
      </c>
      <c r="AA282" s="54">
        <v>10.5</v>
      </c>
      <c r="AB282" s="55">
        <v>0</v>
      </c>
      <c r="AC282" s="55">
        <v>0</v>
      </c>
      <c r="AD282" s="57">
        <v>10.57</v>
      </c>
      <c r="AE282" s="56">
        <v>41</v>
      </c>
      <c r="AF282" s="54">
        <v>10.4</v>
      </c>
      <c r="AG282" s="55">
        <v>0</v>
      </c>
      <c r="AH282" s="55">
        <v>0</v>
      </c>
      <c r="AI282" s="57">
        <v>7.69</v>
      </c>
      <c r="AJ282" s="56">
        <v>41</v>
      </c>
      <c r="AK282" s="54">
        <v>10.3</v>
      </c>
      <c r="AL282" s="54">
        <v>0</v>
      </c>
      <c r="AM282" s="54">
        <v>0</v>
      </c>
      <c r="AN282" s="57">
        <v>11.15</v>
      </c>
      <c r="AO282" s="53">
        <v>42</v>
      </c>
      <c r="AP282" s="54">
        <v>10.4</v>
      </c>
      <c r="AQ282" s="54">
        <v>150</v>
      </c>
      <c r="AR282" s="54">
        <v>0</v>
      </c>
      <c r="AS282" s="57">
        <v>17.3</v>
      </c>
      <c r="AT282" s="56">
        <v>38</v>
      </c>
      <c r="AU282" s="57">
        <v>130</v>
      </c>
      <c r="AV282" s="56"/>
      <c r="AW282" s="57"/>
      <c r="AX282" s="8"/>
      <c r="AZ282" s="1">
        <v>90</v>
      </c>
      <c r="BB282" s="82">
        <f t="shared" si="31"/>
        <v>29.565379999999998</v>
      </c>
    </row>
    <row r="283" spans="3:54" ht="15" customHeight="1" x14ac:dyDescent="0.25">
      <c r="C283" s="42"/>
      <c r="D283" s="43">
        <f>D280</f>
        <v>45739</v>
      </c>
      <c r="E283" s="44">
        <f t="shared" si="33"/>
        <v>22.49999999999995</v>
      </c>
      <c r="F283" s="45">
        <f t="shared" si="32"/>
        <v>45739.500000000648</v>
      </c>
      <c r="G283" s="52">
        <v>46</v>
      </c>
      <c r="H283" s="53">
        <v>42</v>
      </c>
      <c r="I283" s="54">
        <v>10.1</v>
      </c>
      <c r="J283" s="54">
        <v>400</v>
      </c>
      <c r="K283" s="55">
        <v>0</v>
      </c>
      <c r="L283" s="56">
        <v>44</v>
      </c>
      <c r="M283" s="54">
        <v>10.7</v>
      </c>
      <c r="N283" s="54">
        <v>350</v>
      </c>
      <c r="O283" s="57">
        <v>0</v>
      </c>
      <c r="P283" s="53">
        <v>41</v>
      </c>
      <c r="Q283" s="54">
        <v>10.6</v>
      </c>
      <c r="R283" s="55">
        <v>0</v>
      </c>
      <c r="S283" s="55">
        <v>0</v>
      </c>
      <c r="T283" s="57">
        <v>15.76</v>
      </c>
      <c r="U283" s="56">
        <v>40</v>
      </c>
      <c r="V283" s="54">
        <v>10.6</v>
      </c>
      <c r="W283" s="55">
        <v>0</v>
      </c>
      <c r="X283" s="55">
        <v>0</v>
      </c>
      <c r="Y283" s="57">
        <v>4.8</v>
      </c>
      <c r="Z283" s="53">
        <v>44</v>
      </c>
      <c r="AA283" s="54">
        <v>10.5</v>
      </c>
      <c r="AB283" s="55">
        <v>0</v>
      </c>
      <c r="AC283" s="55">
        <v>0</v>
      </c>
      <c r="AD283" s="57">
        <v>10.38</v>
      </c>
      <c r="AE283" s="56">
        <v>43</v>
      </c>
      <c r="AF283" s="54">
        <v>10.5</v>
      </c>
      <c r="AG283" s="55">
        <v>0</v>
      </c>
      <c r="AH283" s="55">
        <v>0</v>
      </c>
      <c r="AI283" s="57">
        <v>8.07</v>
      </c>
      <c r="AJ283" s="56">
        <v>42</v>
      </c>
      <c r="AK283" s="54">
        <v>10.4</v>
      </c>
      <c r="AL283" s="54">
        <v>0</v>
      </c>
      <c r="AM283" s="54">
        <v>0</v>
      </c>
      <c r="AN283" s="57">
        <v>11.53</v>
      </c>
      <c r="AO283" s="53">
        <v>41</v>
      </c>
      <c r="AP283" s="54">
        <v>10.4</v>
      </c>
      <c r="AQ283" s="54">
        <v>150</v>
      </c>
      <c r="AR283" s="54">
        <v>0</v>
      </c>
      <c r="AS283" s="57">
        <v>23.07</v>
      </c>
      <c r="AT283" s="56">
        <v>34</v>
      </c>
      <c r="AU283" s="57">
        <v>100</v>
      </c>
      <c r="AV283" s="56"/>
      <c r="AW283" s="57"/>
      <c r="AX283" s="8"/>
      <c r="AZ283" s="1">
        <v>90</v>
      </c>
      <c r="BB283" s="82">
        <f t="shared" si="31"/>
        <v>32.535619999999994</v>
      </c>
    </row>
    <row r="284" spans="3:54" ht="15" customHeight="1" x14ac:dyDescent="0.25">
      <c r="C284" s="42"/>
      <c r="D284" s="43">
        <f>D280</f>
        <v>45739</v>
      </c>
      <c r="E284" s="44">
        <f t="shared" si="33"/>
        <v>22.583333333333282</v>
      </c>
      <c r="F284" s="45">
        <f t="shared" si="32"/>
        <v>45739.583333333983</v>
      </c>
      <c r="G284" s="52">
        <v>44</v>
      </c>
      <c r="H284" s="53">
        <v>44</v>
      </c>
      <c r="I284" s="54">
        <v>9.6</v>
      </c>
      <c r="J284" s="54">
        <v>350</v>
      </c>
      <c r="K284" s="55">
        <v>0</v>
      </c>
      <c r="L284" s="56">
        <v>44</v>
      </c>
      <c r="M284" s="54">
        <v>10.1</v>
      </c>
      <c r="N284" s="54">
        <v>350</v>
      </c>
      <c r="O284" s="57">
        <v>0</v>
      </c>
      <c r="P284" s="53">
        <v>42</v>
      </c>
      <c r="Q284" s="54">
        <v>10.4</v>
      </c>
      <c r="R284" s="55">
        <v>0</v>
      </c>
      <c r="S284" s="55">
        <v>0</v>
      </c>
      <c r="T284" s="57">
        <v>16.34</v>
      </c>
      <c r="U284" s="56">
        <v>41</v>
      </c>
      <c r="V284" s="54">
        <v>10.6</v>
      </c>
      <c r="W284" s="55">
        <v>0</v>
      </c>
      <c r="X284" s="55">
        <v>0</v>
      </c>
      <c r="Y284" s="57">
        <v>9.61</v>
      </c>
      <c r="Z284" s="53">
        <v>43</v>
      </c>
      <c r="AA284" s="54">
        <v>10.5</v>
      </c>
      <c r="AB284" s="55">
        <v>0</v>
      </c>
      <c r="AC284" s="55">
        <v>0</v>
      </c>
      <c r="AD284" s="57">
        <v>8.65</v>
      </c>
      <c r="AE284" s="56">
        <v>41</v>
      </c>
      <c r="AF284" s="54">
        <v>10.4</v>
      </c>
      <c r="AG284" s="55">
        <v>0</v>
      </c>
      <c r="AH284" s="55">
        <v>0</v>
      </c>
      <c r="AI284" s="57">
        <v>4.8</v>
      </c>
      <c r="AJ284" s="56">
        <v>43</v>
      </c>
      <c r="AK284" s="54">
        <v>10.199999999999999</v>
      </c>
      <c r="AL284" s="54">
        <v>0</v>
      </c>
      <c r="AM284" s="54">
        <v>0</v>
      </c>
      <c r="AN284" s="57">
        <v>19.23</v>
      </c>
      <c r="AO284" s="53">
        <v>41</v>
      </c>
      <c r="AP284" s="54">
        <v>10.1</v>
      </c>
      <c r="AQ284" s="54">
        <v>130</v>
      </c>
      <c r="AR284" s="54">
        <v>0</v>
      </c>
      <c r="AS284" s="57">
        <v>15.38</v>
      </c>
      <c r="AT284" s="56">
        <v>36</v>
      </c>
      <c r="AU284" s="57">
        <v>90</v>
      </c>
      <c r="AV284" s="56"/>
      <c r="AW284" s="57"/>
      <c r="AX284" s="8"/>
      <c r="AZ284" s="1">
        <v>90</v>
      </c>
      <c r="BB284" s="82">
        <f t="shared" si="31"/>
        <v>32.712420000000002</v>
      </c>
    </row>
    <row r="285" spans="3:54" ht="15" customHeight="1" x14ac:dyDescent="0.25">
      <c r="C285" s="42"/>
      <c r="D285" s="43">
        <f>D280</f>
        <v>45739</v>
      </c>
      <c r="E285" s="44">
        <f t="shared" si="33"/>
        <v>22.666666666666615</v>
      </c>
      <c r="F285" s="45">
        <f t="shared" si="32"/>
        <v>45739.666666667319</v>
      </c>
      <c r="G285" s="52">
        <v>40</v>
      </c>
      <c r="H285" s="53">
        <v>40</v>
      </c>
      <c r="I285" s="54">
        <v>11.3</v>
      </c>
      <c r="J285" s="54">
        <v>450</v>
      </c>
      <c r="K285" s="55">
        <v>0</v>
      </c>
      <c r="L285" s="56">
        <v>40</v>
      </c>
      <c r="M285" s="54">
        <v>10.5</v>
      </c>
      <c r="N285" s="54">
        <v>400</v>
      </c>
      <c r="O285" s="57">
        <v>0</v>
      </c>
      <c r="P285" s="53">
        <v>42</v>
      </c>
      <c r="Q285" s="54">
        <v>10.199999999999999</v>
      </c>
      <c r="R285" s="55">
        <v>0</v>
      </c>
      <c r="S285" s="55">
        <v>0</v>
      </c>
      <c r="T285" s="57">
        <v>15.38</v>
      </c>
      <c r="U285" s="56">
        <v>41</v>
      </c>
      <c r="V285" s="54">
        <v>10.1</v>
      </c>
      <c r="W285" s="55">
        <v>0</v>
      </c>
      <c r="X285" s="55">
        <v>0</v>
      </c>
      <c r="Y285" s="57">
        <v>10</v>
      </c>
      <c r="Z285" s="53">
        <v>40</v>
      </c>
      <c r="AA285" s="54">
        <v>10.199999999999999</v>
      </c>
      <c r="AB285" s="55">
        <v>0</v>
      </c>
      <c r="AC285" s="55">
        <v>0</v>
      </c>
      <c r="AD285" s="57">
        <v>10.57</v>
      </c>
      <c r="AE285" s="56">
        <v>39</v>
      </c>
      <c r="AF285" s="54">
        <v>10.3</v>
      </c>
      <c r="AG285" s="55">
        <v>0</v>
      </c>
      <c r="AH285" s="55">
        <v>0</v>
      </c>
      <c r="AI285" s="57">
        <v>5.76</v>
      </c>
      <c r="AJ285" s="56">
        <v>38</v>
      </c>
      <c r="AK285" s="54">
        <v>10.3</v>
      </c>
      <c r="AL285" s="54">
        <v>0</v>
      </c>
      <c r="AM285" s="54">
        <v>0</v>
      </c>
      <c r="AN285" s="57">
        <v>17.3</v>
      </c>
      <c r="AO285" s="53">
        <v>40</v>
      </c>
      <c r="AP285" s="54">
        <v>10.199999999999999</v>
      </c>
      <c r="AQ285" s="54">
        <v>90</v>
      </c>
      <c r="AR285" s="54">
        <v>0</v>
      </c>
      <c r="AS285" s="57">
        <v>15.38</v>
      </c>
      <c r="AT285" s="56">
        <v>33</v>
      </c>
      <c r="AU285" s="57">
        <v>60</v>
      </c>
      <c r="AV285" s="56"/>
      <c r="AW285" s="57"/>
      <c r="AX285" s="8"/>
      <c r="AZ285" s="1">
        <v>90</v>
      </c>
      <c r="BB285" s="82">
        <f t="shared" si="31"/>
        <v>32.880379999999995</v>
      </c>
    </row>
    <row r="286" spans="3:54" ht="15" customHeight="1" x14ac:dyDescent="0.25">
      <c r="C286" s="42"/>
      <c r="D286" s="43">
        <f>D280</f>
        <v>45739</v>
      </c>
      <c r="E286" s="44">
        <f t="shared" si="33"/>
        <v>22.749999999999947</v>
      </c>
      <c r="F286" s="45">
        <f t="shared" si="32"/>
        <v>45739.750000000655</v>
      </c>
      <c r="G286" s="52">
        <v>41</v>
      </c>
      <c r="H286" s="53">
        <v>40</v>
      </c>
      <c r="I286" s="54">
        <v>11.1</v>
      </c>
      <c r="J286" s="54">
        <v>450</v>
      </c>
      <c r="K286" s="55">
        <v>0</v>
      </c>
      <c r="L286" s="56">
        <v>39</v>
      </c>
      <c r="M286" s="54">
        <v>10.8</v>
      </c>
      <c r="N286" s="54">
        <v>450</v>
      </c>
      <c r="O286" s="57">
        <v>0</v>
      </c>
      <c r="P286" s="53">
        <v>40</v>
      </c>
      <c r="Q286" s="54">
        <v>10.3</v>
      </c>
      <c r="R286" s="55">
        <v>0</v>
      </c>
      <c r="S286" s="55">
        <v>0</v>
      </c>
      <c r="T286" s="57">
        <v>15.38</v>
      </c>
      <c r="U286" s="56">
        <v>39</v>
      </c>
      <c r="V286" s="54">
        <v>10.199999999999999</v>
      </c>
      <c r="W286" s="55">
        <v>0</v>
      </c>
      <c r="X286" s="55">
        <v>0</v>
      </c>
      <c r="Y286" s="57">
        <v>9.61</v>
      </c>
      <c r="Z286" s="53">
        <v>39</v>
      </c>
      <c r="AA286" s="54">
        <v>10.199999999999999</v>
      </c>
      <c r="AB286" s="55">
        <v>0</v>
      </c>
      <c r="AC286" s="55">
        <v>0</v>
      </c>
      <c r="AD286" s="57">
        <v>8.65</v>
      </c>
      <c r="AE286" s="56">
        <v>38</v>
      </c>
      <c r="AF286" s="54">
        <v>10.3</v>
      </c>
      <c r="AG286" s="55">
        <v>0</v>
      </c>
      <c r="AH286" s="55">
        <v>0</v>
      </c>
      <c r="AI286" s="57">
        <v>12.5</v>
      </c>
      <c r="AJ286" s="56">
        <v>38</v>
      </c>
      <c r="AK286" s="54">
        <v>10.3</v>
      </c>
      <c r="AL286" s="54">
        <v>0</v>
      </c>
      <c r="AM286" s="54">
        <v>0</v>
      </c>
      <c r="AN286" s="57">
        <v>18.260000000000002</v>
      </c>
      <c r="AO286" s="53">
        <v>38</v>
      </c>
      <c r="AP286" s="54">
        <v>10.199999999999999</v>
      </c>
      <c r="AQ286" s="54">
        <v>120</v>
      </c>
      <c r="AR286" s="54">
        <v>0</v>
      </c>
      <c r="AS286" s="57">
        <v>15.38</v>
      </c>
      <c r="AT286" s="56">
        <v>32</v>
      </c>
      <c r="AU286" s="57">
        <v>80</v>
      </c>
      <c r="AV286" s="56"/>
      <c r="AW286" s="57"/>
      <c r="AX286" s="8"/>
      <c r="AZ286" s="1">
        <v>90</v>
      </c>
      <c r="BB286" s="82">
        <f t="shared" si="31"/>
        <v>35.26276</v>
      </c>
    </row>
    <row r="287" spans="3:54" ht="15" customHeight="1" x14ac:dyDescent="0.25">
      <c r="C287" s="42"/>
      <c r="D287" s="43">
        <f>D280</f>
        <v>45739</v>
      </c>
      <c r="E287" s="44">
        <f t="shared" si="33"/>
        <v>22.833333333333279</v>
      </c>
      <c r="F287" s="45">
        <f t="shared" si="32"/>
        <v>45739.833333333991</v>
      </c>
      <c r="G287" s="52">
        <v>40</v>
      </c>
      <c r="H287" s="53">
        <v>41</v>
      </c>
      <c r="I287" s="54">
        <v>11</v>
      </c>
      <c r="J287" s="54">
        <v>500</v>
      </c>
      <c r="K287" s="55">
        <v>0</v>
      </c>
      <c r="L287" s="56">
        <v>41</v>
      </c>
      <c r="M287" s="54">
        <v>11</v>
      </c>
      <c r="N287" s="54">
        <v>500</v>
      </c>
      <c r="O287" s="57">
        <v>0</v>
      </c>
      <c r="P287" s="53">
        <v>41</v>
      </c>
      <c r="Q287" s="54">
        <v>10.6</v>
      </c>
      <c r="R287" s="55">
        <v>0</v>
      </c>
      <c r="S287" s="55">
        <v>0</v>
      </c>
      <c r="T287" s="57">
        <v>16.53</v>
      </c>
      <c r="U287" s="56">
        <v>40</v>
      </c>
      <c r="V287" s="54">
        <v>10.5</v>
      </c>
      <c r="W287" s="55">
        <v>0</v>
      </c>
      <c r="X287" s="55">
        <v>0</v>
      </c>
      <c r="Y287" s="57">
        <v>9.61</v>
      </c>
      <c r="Z287" s="53">
        <v>40</v>
      </c>
      <c r="AA287" s="54">
        <v>10.4</v>
      </c>
      <c r="AB287" s="55">
        <v>0</v>
      </c>
      <c r="AC287" s="55">
        <v>0</v>
      </c>
      <c r="AD287" s="57">
        <v>9.61</v>
      </c>
      <c r="AE287" s="56">
        <v>39</v>
      </c>
      <c r="AF287" s="54">
        <v>10.3</v>
      </c>
      <c r="AG287" s="55">
        <v>0</v>
      </c>
      <c r="AH287" s="55">
        <v>0</v>
      </c>
      <c r="AI287" s="57">
        <v>8.84</v>
      </c>
      <c r="AJ287" s="56">
        <v>40</v>
      </c>
      <c r="AK287" s="54">
        <v>10.3</v>
      </c>
      <c r="AL287" s="54">
        <v>0</v>
      </c>
      <c r="AM287" s="54">
        <v>0</v>
      </c>
      <c r="AN287" s="57">
        <v>14.42</v>
      </c>
      <c r="AO287" s="53">
        <v>40</v>
      </c>
      <c r="AP287" s="54">
        <v>10.3</v>
      </c>
      <c r="AQ287" s="54">
        <v>110</v>
      </c>
      <c r="AR287" s="54">
        <v>0</v>
      </c>
      <c r="AS287" s="57">
        <v>13.46</v>
      </c>
      <c r="AT287" s="56">
        <v>33</v>
      </c>
      <c r="AU287" s="57">
        <v>100</v>
      </c>
      <c r="AV287" s="56"/>
      <c r="AW287" s="57"/>
      <c r="AX287" s="8"/>
      <c r="AZ287" s="1">
        <v>90</v>
      </c>
      <c r="BB287" s="82">
        <f t="shared" si="31"/>
        <v>32.031739999999999</v>
      </c>
    </row>
    <row r="288" spans="3:54" ht="15" customHeight="1" x14ac:dyDescent="0.25">
      <c r="C288" s="42"/>
      <c r="D288" s="43">
        <f>D280</f>
        <v>45739</v>
      </c>
      <c r="E288" s="44">
        <f t="shared" si="33"/>
        <v>22.916666666666611</v>
      </c>
      <c r="F288" s="45">
        <f t="shared" si="32"/>
        <v>45739.916666667326</v>
      </c>
      <c r="G288" s="52">
        <v>40</v>
      </c>
      <c r="H288" s="53">
        <v>40</v>
      </c>
      <c r="I288" s="54">
        <v>11</v>
      </c>
      <c r="J288" s="54">
        <v>400</v>
      </c>
      <c r="K288" s="55">
        <v>0</v>
      </c>
      <c r="L288" s="56">
        <v>41</v>
      </c>
      <c r="M288" s="54">
        <v>11</v>
      </c>
      <c r="N288" s="54">
        <v>450</v>
      </c>
      <c r="O288" s="57">
        <v>0</v>
      </c>
      <c r="P288" s="53">
        <v>42</v>
      </c>
      <c r="Q288" s="54">
        <v>10.8</v>
      </c>
      <c r="R288" s="55">
        <v>0</v>
      </c>
      <c r="S288" s="55">
        <v>0</v>
      </c>
      <c r="T288" s="57">
        <v>16.34</v>
      </c>
      <c r="U288" s="56">
        <v>40</v>
      </c>
      <c r="V288" s="54">
        <v>10.6</v>
      </c>
      <c r="W288" s="55">
        <v>0</v>
      </c>
      <c r="X288" s="55">
        <v>0</v>
      </c>
      <c r="Y288" s="57">
        <v>10.38</v>
      </c>
      <c r="Z288" s="53">
        <v>40</v>
      </c>
      <c r="AA288" s="54">
        <v>10.5</v>
      </c>
      <c r="AB288" s="55">
        <v>0</v>
      </c>
      <c r="AC288" s="55">
        <v>0</v>
      </c>
      <c r="AD288" s="57">
        <v>9.61</v>
      </c>
      <c r="AE288" s="56">
        <v>39</v>
      </c>
      <c r="AF288" s="54">
        <v>10.4</v>
      </c>
      <c r="AG288" s="55">
        <v>0</v>
      </c>
      <c r="AH288" s="55">
        <v>0</v>
      </c>
      <c r="AI288" s="57">
        <v>10.76</v>
      </c>
      <c r="AJ288" s="56">
        <v>39</v>
      </c>
      <c r="AK288" s="54">
        <v>10.4</v>
      </c>
      <c r="AL288" s="54">
        <v>0</v>
      </c>
      <c r="AM288" s="54">
        <v>0</v>
      </c>
      <c r="AN288" s="57">
        <v>14.42</v>
      </c>
      <c r="AO288" s="53">
        <v>40</v>
      </c>
      <c r="AP288" s="54">
        <v>10.3</v>
      </c>
      <c r="AQ288" s="54">
        <v>110</v>
      </c>
      <c r="AR288" s="54">
        <v>0</v>
      </c>
      <c r="AS288" s="57">
        <v>15</v>
      </c>
      <c r="AT288" s="56">
        <v>30</v>
      </c>
      <c r="AU288" s="57">
        <v>100</v>
      </c>
      <c r="AV288" s="56"/>
      <c r="AW288" s="57"/>
      <c r="AX288" s="8"/>
      <c r="AZ288" s="1">
        <v>90</v>
      </c>
      <c r="BB288" s="82">
        <f t="shared" si="31"/>
        <v>33.817419999999998</v>
      </c>
    </row>
    <row r="289" spans="3:54" ht="15" customHeight="1" x14ac:dyDescent="0.25">
      <c r="C289" s="42"/>
      <c r="D289" s="43">
        <f>D280</f>
        <v>45739</v>
      </c>
      <c r="E289" s="44">
        <f t="shared" si="33"/>
        <v>22.999999999999943</v>
      </c>
      <c r="F289" s="45">
        <f t="shared" si="32"/>
        <v>45740.000000000662</v>
      </c>
      <c r="G289" s="52">
        <v>41</v>
      </c>
      <c r="H289" s="53">
        <v>40</v>
      </c>
      <c r="I289" s="54">
        <v>11</v>
      </c>
      <c r="J289" s="54">
        <v>400</v>
      </c>
      <c r="K289" s="55">
        <v>0</v>
      </c>
      <c r="L289" s="56">
        <v>40</v>
      </c>
      <c r="M289" s="54">
        <v>11</v>
      </c>
      <c r="N289" s="54">
        <v>450</v>
      </c>
      <c r="O289" s="57">
        <v>0</v>
      </c>
      <c r="P289" s="53">
        <v>42</v>
      </c>
      <c r="Q289" s="54">
        <v>10.8</v>
      </c>
      <c r="R289" s="55">
        <v>0</v>
      </c>
      <c r="S289" s="55">
        <v>0</v>
      </c>
      <c r="T289" s="57">
        <v>16.920000000000002</v>
      </c>
      <c r="U289" s="56">
        <v>40</v>
      </c>
      <c r="V289" s="54">
        <v>10.7</v>
      </c>
      <c r="W289" s="55">
        <v>0</v>
      </c>
      <c r="X289" s="55">
        <v>0</v>
      </c>
      <c r="Y289" s="57">
        <v>10.38</v>
      </c>
      <c r="Z289" s="53">
        <v>39</v>
      </c>
      <c r="AA289" s="54">
        <v>10.5</v>
      </c>
      <c r="AB289" s="55">
        <v>0</v>
      </c>
      <c r="AC289" s="55">
        <v>0</v>
      </c>
      <c r="AD289" s="57">
        <v>9.42</v>
      </c>
      <c r="AE289" s="56">
        <v>38</v>
      </c>
      <c r="AF289" s="54">
        <v>10.4</v>
      </c>
      <c r="AG289" s="55">
        <v>0</v>
      </c>
      <c r="AH289" s="55">
        <v>0</v>
      </c>
      <c r="AI289" s="57">
        <v>9.23</v>
      </c>
      <c r="AJ289" s="56">
        <v>38</v>
      </c>
      <c r="AK289" s="54">
        <v>10.4</v>
      </c>
      <c r="AL289" s="54">
        <v>0</v>
      </c>
      <c r="AM289" s="54">
        <v>0</v>
      </c>
      <c r="AN289" s="57">
        <v>13.84</v>
      </c>
      <c r="AO289" s="53">
        <v>39</v>
      </c>
      <c r="AP289" s="54">
        <v>10.3</v>
      </c>
      <c r="AQ289" s="54">
        <v>110</v>
      </c>
      <c r="AR289" s="54">
        <v>0</v>
      </c>
      <c r="AS289" s="57">
        <v>14.03</v>
      </c>
      <c r="AT289" s="56">
        <v>32</v>
      </c>
      <c r="AU289" s="57">
        <v>90</v>
      </c>
      <c r="AV289" s="56"/>
      <c r="AW289" s="57"/>
      <c r="AX289" s="8"/>
      <c r="AZ289" s="1">
        <v>90</v>
      </c>
      <c r="BB289" s="82">
        <f t="shared" si="31"/>
        <v>32.628439999999998</v>
      </c>
    </row>
    <row r="290" spans="3:54" ht="15" customHeight="1" x14ac:dyDescent="0.25">
      <c r="C290" s="42"/>
      <c r="D290" s="43">
        <f>D280</f>
        <v>45739</v>
      </c>
      <c r="E290" s="44">
        <f t="shared" si="33"/>
        <v>23.083333333333275</v>
      </c>
      <c r="F290" s="45">
        <f t="shared" si="32"/>
        <v>45740.083333333998</v>
      </c>
      <c r="G290" s="52">
        <v>41</v>
      </c>
      <c r="H290" s="53">
        <v>40</v>
      </c>
      <c r="I290" s="54">
        <v>10.5</v>
      </c>
      <c r="J290" s="54">
        <v>450</v>
      </c>
      <c r="K290" s="55">
        <v>0</v>
      </c>
      <c r="L290" s="56">
        <v>41</v>
      </c>
      <c r="M290" s="54">
        <v>10.9</v>
      </c>
      <c r="N290" s="54">
        <v>450</v>
      </c>
      <c r="O290" s="57">
        <v>0</v>
      </c>
      <c r="P290" s="53">
        <v>40</v>
      </c>
      <c r="Q290" s="54">
        <v>10.8</v>
      </c>
      <c r="R290" s="55">
        <v>0</v>
      </c>
      <c r="S290" s="55">
        <v>0</v>
      </c>
      <c r="T290" s="57">
        <v>15.38</v>
      </c>
      <c r="U290" s="56">
        <v>39</v>
      </c>
      <c r="V290" s="54">
        <v>10.7</v>
      </c>
      <c r="W290" s="55">
        <v>0</v>
      </c>
      <c r="X290" s="55">
        <v>0</v>
      </c>
      <c r="Y290" s="57">
        <v>9.23</v>
      </c>
      <c r="Z290" s="53">
        <v>40</v>
      </c>
      <c r="AA290" s="54">
        <v>10.6</v>
      </c>
      <c r="AB290" s="55">
        <v>0</v>
      </c>
      <c r="AC290" s="55">
        <v>0</v>
      </c>
      <c r="AD290" s="57">
        <v>9.61</v>
      </c>
      <c r="AE290" s="56">
        <v>39</v>
      </c>
      <c r="AF290" s="54">
        <v>10.5</v>
      </c>
      <c r="AG290" s="55">
        <v>0</v>
      </c>
      <c r="AH290" s="55">
        <v>0</v>
      </c>
      <c r="AI290" s="57">
        <v>9.61</v>
      </c>
      <c r="AJ290" s="56">
        <v>39</v>
      </c>
      <c r="AK290" s="54">
        <v>10.5</v>
      </c>
      <c r="AL290" s="54">
        <v>0</v>
      </c>
      <c r="AM290" s="54">
        <v>0</v>
      </c>
      <c r="AN290" s="57">
        <v>14.42</v>
      </c>
      <c r="AO290" s="53">
        <v>39</v>
      </c>
      <c r="AP290" s="54">
        <v>10.5</v>
      </c>
      <c r="AQ290" s="54">
        <v>120</v>
      </c>
      <c r="AR290" s="54">
        <v>0</v>
      </c>
      <c r="AS290" s="57">
        <v>13.46</v>
      </c>
      <c r="AT290" s="56">
        <v>30</v>
      </c>
      <c r="AU290" s="57">
        <v>100</v>
      </c>
      <c r="AV290" s="56"/>
      <c r="AW290" s="57"/>
      <c r="AX290" s="8"/>
      <c r="AZ290" s="1">
        <v>90</v>
      </c>
      <c r="BB290" s="82">
        <f t="shared" si="31"/>
        <v>31.695820000000001</v>
      </c>
    </row>
    <row r="291" spans="3:54" ht="15" customHeight="1" x14ac:dyDescent="0.25">
      <c r="C291" s="42"/>
      <c r="D291" s="69">
        <f>D280</f>
        <v>45739</v>
      </c>
      <c r="E291" s="70">
        <f t="shared" si="33"/>
        <v>23.166666666666607</v>
      </c>
      <c r="F291" s="71">
        <f t="shared" si="32"/>
        <v>45740.166666667334</v>
      </c>
      <c r="G291" s="60">
        <v>40</v>
      </c>
      <c r="H291" s="61">
        <v>41</v>
      </c>
      <c r="I291" s="62">
        <v>10.5</v>
      </c>
      <c r="J291" s="62">
        <v>350</v>
      </c>
      <c r="K291" s="63">
        <v>0</v>
      </c>
      <c r="L291" s="64">
        <v>41</v>
      </c>
      <c r="M291" s="62">
        <v>10.6</v>
      </c>
      <c r="N291" s="62">
        <v>400</v>
      </c>
      <c r="O291" s="65">
        <v>0</v>
      </c>
      <c r="P291" s="61">
        <v>40</v>
      </c>
      <c r="Q291" s="62">
        <v>10.7</v>
      </c>
      <c r="R291" s="63">
        <v>0</v>
      </c>
      <c r="S291" s="63">
        <v>0</v>
      </c>
      <c r="T291" s="65">
        <v>16.34</v>
      </c>
      <c r="U291" s="64">
        <v>40</v>
      </c>
      <c r="V291" s="62">
        <v>10.6</v>
      </c>
      <c r="W291" s="63">
        <v>0</v>
      </c>
      <c r="X291" s="63">
        <v>0</v>
      </c>
      <c r="Y291" s="65">
        <v>9.61</v>
      </c>
      <c r="Z291" s="61">
        <v>39</v>
      </c>
      <c r="AA291" s="62">
        <v>10.5</v>
      </c>
      <c r="AB291" s="63">
        <v>0</v>
      </c>
      <c r="AC291" s="63">
        <v>0</v>
      </c>
      <c r="AD291" s="65">
        <v>9.23</v>
      </c>
      <c r="AE291" s="64">
        <v>39</v>
      </c>
      <c r="AF291" s="62">
        <v>10.5</v>
      </c>
      <c r="AG291" s="63">
        <v>0</v>
      </c>
      <c r="AH291" s="63">
        <v>0</v>
      </c>
      <c r="AI291" s="65">
        <v>10.67</v>
      </c>
      <c r="AJ291" s="64">
        <v>39</v>
      </c>
      <c r="AK291" s="62">
        <v>10.5</v>
      </c>
      <c r="AL291" s="62">
        <v>0</v>
      </c>
      <c r="AM291" s="62">
        <v>0</v>
      </c>
      <c r="AN291" s="65">
        <v>14.42</v>
      </c>
      <c r="AO291" s="61">
        <v>39</v>
      </c>
      <c r="AP291" s="62">
        <v>10.5</v>
      </c>
      <c r="AQ291" s="62">
        <v>120</v>
      </c>
      <c r="AR291" s="62">
        <v>0</v>
      </c>
      <c r="AS291" s="65">
        <v>15.19</v>
      </c>
      <c r="AT291" s="64">
        <v>31</v>
      </c>
      <c r="AU291" s="65">
        <v>100</v>
      </c>
      <c r="AV291" s="64"/>
      <c r="AW291" s="65"/>
      <c r="AX291" s="8"/>
      <c r="AZ291" s="1">
        <v>90</v>
      </c>
      <c r="BB291" s="82">
        <f t="shared" si="31"/>
        <v>33.353319999999997</v>
      </c>
    </row>
    <row r="292" spans="3:54" ht="15" customHeight="1" x14ac:dyDescent="0.25">
      <c r="C292" s="42">
        <f>C280+1</f>
        <v>24</v>
      </c>
      <c r="D292" s="66">
        <f>DATE([3]Dash!$F$3,VLOOKUP([3]Dash!$E$3,[3]Abb!$C$3:$D$14,2,FALSE),C292)</f>
        <v>45740</v>
      </c>
      <c r="E292" s="67">
        <f>E291+2/24</f>
        <v>23.24999999999994</v>
      </c>
      <c r="F292" s="68">
        <f t="shared" si="32"/>
        <v>45740.250000000669</v>
      </c>
      <c r="G292" s="46">
        <v>44</v>
      </c>
      <c r="H292" s="47">
        <v>43</v>
      </c>
      <c r="I292" s="48">
        <v>11</v>
      </c>
      <c r="J292" s="48">
        <v>400</v>
      </c>
      <c r="K292" s="49">
        <v>0</v>
      </c>
      <c r="L292" s="50">
        <v>42</v>
      </c>
      <c r="M292" s="48">
        <v>10.8</v>
      </c>
      <c r="N292" s="48">
        <v>450</v>
      </c>
      <c r="O292" s="51">
        <v>0</v>
      </c>
      <c r="P292" s="47">
        <v>42</v>
      </c>
      <c r="Q292" s="48">
        <v>10.8</v>
      </c>
      <c r="R292" s="49">
        <v>0</v>
      </c>
      <c r="S292" s="49">
        <v>0</v>
      </c>
      <c r="T292" s="51">
        <v>16.34</v>
      </c>
      <c r="U292" s="50">
        <v>41</v>
      </c>
      <c r="V292" s="48">
        <v>10.6</v>
      </c>
      <c r="W292" s="49">
        <v>0</v>
      </c>
      <c r="X292" s="49">
        <v>0</v>
      </c>
      <c r="Y292" s="51">
        <v>10.38</v>
      </c>
      <c r="Z292" s="47">
        <v>40</v>
      </c>
      <c r="AA292" s="48">
        <v>10.5</v>
      </c>
      <c r="AB292" s="49">
        <v>0</v>
      </c>
      <c r="AC292" s="49">
        <v>0</v>
      </c>
      <c r="AD292" s="51">
        <v>9.61</v>
      </c>
      <c r="AE292" s="50">
        <v>39</v>
      </c>
      <c r="AF292" s="48">
        <v>10.5</v>
      </c>
      <c r="AG292" s="49">
        <v>0</v>
      </c>
      <c r="AH292" s="49">
        <v>0</v>
      </c>
      <c r="AI292" s="51">
        <v>9.61</v>
      </c>
      <c r="AJ292" s="50">
        <v>39</v>
      </c>
      <c r="AK292" s="48">
        <v>10.5</v>
      </c>
      <c r="AL292" s="48">
        <v>0</v>
      </c>
      <c r="AM292" s="48">
        <v>0</v>
      </c>
      <c r="AN292" s="51">
        <v>14.42</v>
      </c>
      <c r="AO292" s="47">
        <v>39</v>
      </c>
      <c r="AP292" s="48">
        <v>10.5</v>
      </c>
      <c r="AQ292" s="48">
        <v>100</v>
      </c>
      <c r="AR292" s="48">
        <v>0</v>
      </c>
      <c r="AS292" s="51">
        <v>15.38</v>
      </c>
      <c r="AT292" s="50">
        <v>29</v>
      </c>
      <c r="AU292" s="51">
        <v>90</v>
      </c>
      <c r="AV292" s="50"/>
      <c r="AW292" s="51"/>
      <c r="AX292" s="8"/>
      <c r="AZ292" s="1">
        <v>90</v>
      </c>
      <c r="BB292" s="82">
        <f t="shared" si="31"/>
        <v>33.477080000000001</v>
      </c>
    </row>
    <row r="293" spans="3:54" ht="15" customHeight="1" x14ac:dyDescent="0.25">
      <c r="C293" s="42"/>
      <c r="D293" s="43">
        <f>D292</f>
        <v>45740</v>
      </c>
      <c r="E293" s="44">
        <f>E292+2/24</f>
        <v>23.333333333333272</v>
      </c>
      <c r="F293" s="45">
        <f t="shared" si="32"/>
        <v>45740.333333334005</v>
      </c>
      <c r="G293" s="52">
        <v>44</v>
      </c>
      <c r="H293" s="53">
        <v>42</v>
      </c>
      <c r="I293" s="54">
        <v>11</v>
      </c>
      <c r="J293" s="54">
        <v>450</v>
      </c>
      <c r="K293" s="55">
        <v>0</v>
      </c>
      <c r="L293" s="56">
        <v>39</v>
      </c>
      <c r="M293" s="54">
        <v>10.8</v>
      </c>
      <c r="N293" s="54">
        <v>400</v>
      </c>
      <c r="O293" s="57">
        <v>0</v>
      </c>
      <c r="P293" s="53">
        <v>40</v>
      </c>
      <c r="Q293" s="54">
        <v>10.8</v>
      </c>
      <c r="R293" s="55">
        <v>0</v>
      </c>
      <c r="S293" s="55">
        <v>0</v>
      </c>
      <c r="T293" s="57">
        <v>15.38</v>
      </c>
      <c r="U293" s="56">
        <v>40</v>
      </c>
      <c r="V293" s="54">
        <v>10.9</v>
      </c>
      <c r="W293" s="55">
        <v>0</v>
      </c>
      <c r="X293" s="55">
        <v>0</v>
      </c>
      <c r="Y293" s="57">
        <v>7.69</v>
      </c>
      <c r="Z293" s="53">
        <v>39</v>
      </c>
      <c r="AA293" s="54">
        <v>11</v>
      </c>
      <c r="AB293" s="55">
        <v>0</v>
      </c>
      <c r="AC293" s="55">
        <v>0</v>
      </c>
      <c r="AD293" s="57">
        <v>9.61</v>
      </c>
      <c r="AE293" s="56">
        <v>39</v>
      </c>
      <c r="AF293" s="54">
        <v>10.6</v>
      </c>
      <c r="AG293" s="55">
        <v>0</v>
      </c>
      <c r="AH293" s="55">
        <v>0</v>
      </c>
      <c r="AI293" s="57">
        <v>10.57</v>
      </c>
      <c r="AJ293" s="56">
        <v>39</v>
      </c>
      <c r="AK293" s="54">
        <v>10.6</v>
      </c>
      <c r="AL293" s="54">
        <v>0</v>
      </c>
      <c r="AM293" s="54">
        <v>0</v>
      </c>
      <c r="AN293" s="57">
        <v>13.46</v>
      </c>
      <c r="AO293" s="53">
        <v>39</v>
      </c>
      <c r="AP293" s="54">
        <v>10.5</v>
      </c>
      <c r="AQ293" s="54">
        <v>120</v>
      </c>
      <c r="AR293" s="54">
        <v>0</v>
      </c>
      <c r="AS293" s="57">
        <v>13.65</v>
      </c>
      <c r="AT293" s="56">
        <v>29</v>
      </c>
      <c r="AU293" s="57">
        <v>100</v>
      </c>
      <c r="AV293" s="56"/>
      <c r="AW293" s="57"/>
      <c r="AX293" s="8"/>
      <c r="AZ293" s="1">
        <v>90</v>
      </c>
      <c r="BB293" s="82">
        <f t="shared" si="31"/>
        <v>31.099119999999999</v>
      </c>
    </row>
    <row r="294" spans="3:54" ht="15" customHeight="1" x14ac:dyDescent="0.25">
      <c r="C294" s="42"/>
      <c r="D294" s="43">
        <f>D292</f>
        <v>45740</v>
      </c>
      <c r="E294" s="44">
        <f t="shared" ref="E294:E303" si="34">E293+2/24</f>
        <v>23.416666666666604</v>
      </c>
      <c r="F294" s="45">
        <f t="shared" si="32"/>
        <v>45740.416666667341</v>
      </c>
      <c r="G294" s="52">
        <v>41</v>
      </c>
      <c r="H294" s="53">
        <v>41</v>
      </c>
      <c r="I294" s="54">
        <v>10.7</v>
      </c>
      <c r="J294" s="54">
        <v>400</v>
      </c>
      <c r="K294" s="55">
        <v>0</v>
      </c>
      <c r="L294" s="56">
        <v>38</v>
      </c>
      <c r="M294" s="54">
        <v>10.6</v>
      </c>
      <c r="N294" s="54">
        <v>500</v>
      </c>
      <c r="O294" s="57">
        <v>0</v>
      </c>
      <c r="P294" s="53">
        <v>39</v>
      </c>
      <c r="Q294" s="54">
        <v>10.7</v>
      </c>
      <c r="R294" s="55">
        <v>0</v>
      </c>
      <c r="S294" s="55">
        <v>0</v>
      </c>
      <c r="T294" s="57">
        <v>15.76</v>
      </c>
      <c r="U294" s="56">
        <v>40</v>
      </c>
      <c r="V294" s="54">
        <v>10.7</v>
      </c>
      <c r="W294" s="55">
        <v>0</v>
      </c>
      <c r="X294" s="55">
        <v>0</v>
      </c>
      <c r="Y294" s="57">
        <v>8.07</v>
      </c>
      <c r="Z294" s="53">
        <v>39</v>
      </c>
      <c r="AA294" s="54">
        <v>10.9</v>
      </c>
      <c r="AB294" s="55">
        <v>0</v>
      </c>
      <c r="AC294" s="55">
        <v>0</v>
      </c>
      <c r="AD294" s="57">
        <v>9.23</v>
      </c>
      <c r="AE294" s="56">
        <v>40</v>
      </c>
      <c r="AF294" s="54">
        <v>10.7</v>
      </c>
      <c r="AG294" s="55">
        <v>0</v>
      </c>
      <c r="AH294" s="55">
        <v>0</v>
      </c>
      <c r="AI294" s="57">
        <v>10.19</v>
      </c>
      <c r="AJ294" s="56">
        <v>38</v>
      </c>
      <c r="AK294" s="54">
        <v>10.6</v>
      </c>
      <c r="AL294" s="54">
        <v>0</v>
      </c>
      <c r="AM294" s="54">
        <v>0</v>
      </c>
      <c r="AN294" s="57">
        <v>13.84</v>
      </c>
      <c r="AO294" s="53">
        <v>39</v>
      </c>
      <c r="AP294" s="54">
        <v>10.5</v>
      </c>
      <c r="AQ294" s="54">
        <v>150</v>
      </c>
      <c r="AR294" s="54">
        <v>0</v>
      </c>
      <c r="AS294" s="57">
        <v>14.42</v>
      </c>
      <c r="AT294" s="56">
        <v>31</v>
      </c>
      <c r="AU294" s="57">
        <v>120</v>
      </c>
      <c r="AV294" s="56"/>
      <c r="AW294" s="57"/>
      <c r="AX294" s="8"/>
      <c r="AZ294" s="1">
        <v>90</v>
      </c>
      <c r="BB294" s="82">
        <f t="shared" si="31"/>
        <v>31.607419999999998</v>
      </c>
    </row>
    <row r="295" spans="3:54" ht="15" customHeight="1" x14ac:dyDescent="0.25">
      <c r="C295" s="42"/>
      <c r="D295" s="43">
        <f>D292</f>
        <v>45740</v>
      </c>
      <c r="E295" s="44">
        <f t="shared" si="34"/>
        <v>23.499999999999936</v>
      </c>
      <c r="F295" s="45">
        <f t="shared" si="32"/>
        <v>45740.500000000677</v>
      </c>
      <c r="G295" s="52">
        <v>43</v>
      </c>
      <c r="H295" s="53">
        <v>42</v>
      </c>
      <c r="I295" s="54">
        <v>10.4</v>
      </c>
      <c r="J295" s="54">
        <v>250</v>
      </c>
      <c r="K295" s="55">
        <v>0</v>
      </c>
      <c r="L295" s="56">
        <v>40</v>
      </c>
      <c r="M295" s="54">
        <v>10.6</v>
      </c>
      <c r="N295" s="54">
        <v>400</v>
      </c>
      <c r="O295" s="57">
        <v>0</v>
      </c>
      <c r="P295" s="53">
        <v>41</v>
      </c>
      <c r="Q295" s="54">
        <v>10.6</v>
      </c>
      <c r="R295" s="55">
        <v>0</v>
      </c>
      <c r="S295" s="55">
        <v>0</v>
      </c>
      <c r="T295" s="57">
        <v>15.38</v>
      </c>
      <c r="U295" s="56">
        <v>39</v>
      </c>
      <c r="V295" s="54">
        <v>10.5</v>
      </c>
      <c r="W295" s="55">
        <v>0</v>
      </c>
      <c r="X295" s="55">
        <v>0</v>
      </c>
      <c r="Y295" s="57">
        <v>8.07</v>
      </c>
      <c r="Z295" s="53">
        <v>41</v>
      </c>
      <c r="AA295" s="54">
        <v>10.5</v>
      </c>
      <c r="AB295" s="55">
        <v>0</v>
      </c>
      <c r="AC295" s="55">
        <v>0</v>
      </c>
      <c r="AD295" s="57">
        <v>9.61</v>
      </c>
      <c r="AE295" s="56">
        <v>35</v>
      </c>
      <c r="AF295" s="54">
        <v>10.6</v>
      </c>
      <c r="AG295" s="55">
        <v>0</v>
      </c>
      <c r="AH295" s="55">
        <v>0</v>
      </c>
      <c r="AI295" s="57">
        <v>10.57</v>
      </c>
      <c r="AJ295" s="56">
        <v>40</v>
      </c>
      <c r="AK295" s="54">
        <v>10.5</v>
      </c>
      <c r="AL295" s="54">
        <v>0</v>
      </c>
      <c r="AM295" s="54">
        <v>0</v>
      </c>
      <c r="AN295" s="57">
        <v>13.46</v>
      </c>
      <c r="AO295" s="53">
        <v>38</v>
      </c>
      <c r="AP295" s="54">
        <v>10.5</v>
      </c>
      <c r="AQ295" s="54">
        <v>180</v>
      </c>
      <c r="AR295" s="54">
        <v>0</v>
      </c>
      <c r="AS295" s="57">
        <v>13.65</v>
      </c>
      <c r="AT295" s="56">
        <v>31</v>
      </c>
      <c r="AU295" s="57">
        <v>120</v>
      </c>
      <c r="AV295" s="56"/>
      <c r="AW295" s="57"/>
      <c r="AX295" s="8"/>
      <c r="AZ295" s="1">
        <v>90</v>
      </c>
      <c r="BB295" s="82">
        <f t="shared" si="31"/>
        <v>31.267079999999996</v>
      </c>
    </row>
    <row r="296" spans="3:54" ht="15" customHeight="1" x14ac:dyDescent="0.25">
      <c r="C296" s="42"/>
      <c r="D296" s="43">
        <f>D292</f>
        <v>45740</v>
      </c>
      <c r="E296" s="44">
        <f t="shared" si="34"/>
        <v>23.583333333333268</v>
      </c>
      <c r="F296" s="45">
        <f t="shared" si="32"/>
        <v>45740.583333334012</v>
      </c>
      <c r="G296" s="52">
        <v>0</v>
      </c>
      <c r="H296" s="53">
        <v>42</v>
      </c>
      <c r="I296" s="54">
        <v>10.4</v>
      </c>
      <c r="J296" s="54">
        <v>300</v>
      </c>
      <c r="K296" s="55">
        <v>0</v>
      </c>
      <c r="L296" s="56">
        <v>40</v>
      </c>
      <c r="M296" s="54">
        <v>10.6</v>
      </c>
      <c r="N296" s="54">
        <v>400</v>
      </c>
      <c r="O296" s="57">
        <v>0</v>
      </c>
      <c r="P296" s="53">
        <v>41</v>
      </c>
      <c r="Q296" s="54">
        <v>10.7</v>
      </c>
      <c r="R296" s="55">
        <v>0</v>
      </c>
      <c r="S296" s="55">
        <v>0</v>
      </c>
      <c r="T296" s="57">
        <v>15.76</v>
      </c>
      <c r="U296" s="56">
        <v>40</v>
      </c>
      <c r="V296" s="54">
        <v>10.5</v>
      </c>
      <c r="W296" s="55">
        <v>0</v>
      </c>
      <c r="X296" s="55">
        <v>0</v>
      </c>
      <c r="Y296" s="57">
        <v>8.65</v>
      </c>
      <c r="Z296" s="53">
        <v>41</v>
      </c>
      <c r="AA296" s="54">
        <v>10.5</v>
      </c>
      <c r="AB296" s="55">
        <v>0</v>
      </c>
      <c r="AC296" s="55">
        <v>0</v>
      </c>
      <c r="AD296" s="57">
        <v>9.23</v>
      </c>
      <c r="AE296" s="56">
        <v>38</v>
      </c>
      <c r="AF296" s="54">
        <v>10.6</v>
      </c>
      <c r="AG296" s="55">
        <v>0</v>
      </c>
      <c r="AH296" s="55">
        <v>0</v>
      </c>
      <c r="AI296" s="57">
        <v>10.19</v>
      </c>
      <c r="AJ296" s="56">
        <v>40</v>
      </c>
      <c r="AK296" s="54">
        <v>10.5</v>
      </c>
      <c r="AL296" s="54">
        <v>0</v>
      </c>
      <c r="AM296" s="54">
        <v>0</v>
      </c>
      <c r="AN296" s="57">
        <v>13.46</v>
      </c>
      <c r="AO296" s="53">
        <v>38</v>
      </c>
      <c r="AP296" s="54">
        <v>10.5</v>
      </c>
      <c r="AQ296" s="54">
        <v>180</v>
      </c>
      <c r="AR296" s="54">
        <v>0</v>
      </c>
      <c r="AS296" s="57">
        <v>13.65</v>
      </c>
      <c r="AT296" s="56">
        <v>0</v>
      </c>
      <c r="AU296" s="57">
        <v>0</v>
      </c>
      <c r="AV296" s="56"/>
      <c r="AW296" s="57"/>
      <c r="AX296" s="8"/>
      <c r="AZ296" s="1">
        <v>90</v>
      </c>
      <c r="BB296" s="82">
        <f t="shared" si="31"/>
        <v>31.35548</v>
      </c>
    </row>
    <row r="297" spans="3:54" ht="15" customHeight="1" x14ac:dyDescent="0.25">
      <c r="C297" s="42"/>
      <c r="D297" s="43">
        <f>D292</f>
        <v>45740</v>
      </c>
      <c r="E297" s="44">
        <f t="shared" si="34"/>
        <v>23.6666666666666</v>
      </c>
      <c r="F297" s="45">
        <f t="shared" si="32"/>
        <v>45740.666666667348</v>
      </c>
      <c r="G297" s="52">
        <v>0</v>
      </c>
      <c r="H297" s="53">
        <v>40</v>
      </c>
      <c r="I297" s="54">
        <v>10.3</v>
      </c>
      <c r="J297" s="54">
        <v>250</v>
      </c>
      <c r="K297" s="55">
        <v>0</v>
      </c>
      <c r="L297" s="56">
        <v>39</v>
      </c>
      <c r="M297" s="54">
        <v>10.6</v>
      </c>
      <c r="N297" s="54">
        <v>400</v>
      </c>
      <c r="O297" s="57">
        <v>0</v>
      </c>
      <c r="P297" s="53">
        <v>39</v>
      </c>
      <c r="Q297" s="54">
        <v>10.7</v>
      </c>
      <c r="R297" s="55">
        <v>0</v>
      </c>
      <c r="S297" s="55">
        <v>0</v>
      </c>
      <c r="T297" s="57">
        <v>15.76</v>
      </c>
      <c r="U297" s="56">
        <v>39</v>
      </c>
      <c r="V297" s="54">
        <v>10.5</v>
      </c>
      <c r="W297" s="55">
        <v>0</v>
      </c>
      <c r="X297" s="55">
        <v>0</v>
      </c>
      <c r="Y297" s="57">
        <v>8.07</v>
      </c>
      <c r="Z297" s="53">
        <v>39</v>
      </c>
      <c r="AA297" s="54">
        <v>10.5</v>
      </c>
      <c r="AB297" s="55">
        <v>0</v>
      </c>
      <c r="AC297" s="55">
        <v>0</v>
      </c>
      <c r="AD297" s="57">
        <v>9.61</v>
      </c>
      <c r="AE297" s="56">
        <v>38</v>
      </c>
      <c r="AF297" s="54">
        <v>10.6</v>
      </c>
      <c r="AG297" s="55">
        <v>0</v>
      </c>
      <c r="AH297" s="55">
        <v>0</v>
      </c>
      <c r="AI297" s="57">
        <v>10.57</v>
      </c>
      <c r="AJ297" s="56">
        <v>38</v>
      </c>
      <c r="AK297" s="54">
        <v>10.5</v>
      </c>
      <c r="AL297" s="54">
        <v>0</v>
      </c>
      <c r="AM297" s="54">
        <v>0</v>
      </c>
      <c r="AN297" s="57">
        <v>13.84</v>
      </c>
      <c r="AO297" s="53">
        <v>37</v>
      </c>
      <c r="AP297" s="54">
        <v>10.5</v>
      </c>
      <c r="AQ297" s="54">
        <v>180</v>
      </c>
      <c r="AR297" s="54">
        <v>0</v>
      </c>
      <c r="AS297" s="57">
        <v>13.65</v>
      </c>
      <c r="AT297" s="56">
        <v>0</v>
      </c>
      <c r="AU297" s="57">
        <v>0</v>
      </c>
      <c r="AV297" s="56"/>
      <c r="AW297" s="57"/>
      <c r="AX297" s="8"/>
      <c r="AZ297" s="1">
        <v>90</v>
      </c>
      <c r="BB297" s="82">
        <f t="shared" si="31"/>
        <v>31.602999999999998</v>
      </c>
    </row>
    <row r="298" spans="3:54" ht="15" customHeight="1" x14ac:dyDescent="0.25">
      <c r="C298" s="42"/>
      <c r="D298" s="43">
        <f>D292</f>
        <v>45740</v>
      </c>
      <c r="E298" s="44">
        <f t="shared" si="34"/>
        <v>23.749999999999932</v>
      </c>
      <c r="F298" s="45">
        <f t="shared" si="32"/>
        <v>45740.750000000684</v>
      </c>
      <c r="G298" s="52">
        <v>40</v>
      </c>
      <c r="H298" s="53">
        <v>39</v>
      </c>
      <c r="I298" s="54">
        <v>10.5</v>
      </c>
      <c r="J298" s="54">
        <v>350</v>
      </c>
      <c r="K298" s="55">
        <v>0</v>
      </c>
      <c r="L298" s="56">
        <v>39</v>
      </c>
      <c r="M298" s="54">
        <v>10.7</v>
      </c>
      <c r="N298" s="54">
        <v>450</v>
      </c>
      <c r="O298" s="57">
        <v>0</v>
      </c>
      <c r="P298" s="53">
        <v>38</v>
      </c>
      <c r="Q298" s="54">
        <v>10.8</v>
      </c>
      <c r="R298" s="55">
        <v>0</v>
      </c>
      <c r="S298" s="55">
        <v>0</v>
      </c>
      <c r="T298" s="57">
        <v>15.38</v>
      </c>
      <c r="U298" s="56">
        <v>38</v>
      </c>
      <c r="V298" s="54">
        <v>10.6</v>
      </c>
      <c r="W298" s="55">
        <v>0</v>
      </c>
      <c r="X298" s="55">
        <v>0</v>
      </c>
      <c r="Y298" s="57">
        <v>8.65</v>
      </c>
      <c r="Z298" s="53">
        <v>38</v>
      </c>
      <c r="AA298" s="54">
        <v>10.5</v>
      </c>
      <c r="AB298" s="55">
        <v>0</v>
      </c>
      <c r="AC298" s="55">
        <v>0</v>
      </c>
      <c r="AD298" s="57">
        <v>9.23</v>
      </c>
      <c r="AE298" s="56">
        <v>37</v>
      </c>
      <c r="AF298" s="54">
        <v>10.6</v>
      </c>
      <c r="AG298" s="55">
        <v>0</v>
      </c>
      <c r="AH298" s="55">
        <v>0</v>
      </c>
      <c r="AI298" s="57">
        <v>10.19</v>
      </c>
      <c r="AJ298" s="56">
        <v>37</v>
      </c>
      <c r="AK298" s="54">
        <v>10.5</v>
      </c>
      <c r="AL298" s="54">
        <v>0</v>
      </c>
      <c r="AM298" s="54">
        <v>0</v>
      </c>
      <c r="AN298" s="57">
        <v>13.46</v>
      </c>
      <c r="AO298" s="53">
        <v>36</v>
      </c>
      <c r="AP298" s="54">
        <v>10.5</v>
      </c>
      <c r="AQ298" s="54">
        <v>170</v>
      </c>
      <c r="AR298" s="54">
        <v>0</v>
      </c>
      <c r="AS298" s="57">
        <v>13.65</v>
      </c>
      <c r="AT298" s="56">
        <v>0</v>
      </c>
      <c r="AU298" s="57">
        <v>0</v>
      </c>
      <c r="AV298" s="56"/>
      <c r="AW298" s="57"/>
      <c r="AX298" s="8"/>
      <c r="AZ298" s="1">
        <v>90</v>
      </c>
      <c r="BB298" s="82">
        <f t="shared" si="31"/>
        <v>31.187519999999999</v>
      </c>
    </row>
    <row r="299" spans="3:54" ht="15" customHeight="1" x14ac:dyDescent="0.25">
      <c r="C299" s="42"/>
      <c r="D299" s="43">
        <f>D292</f>
        <v>45740</v>
      </c>
      <c r="E299" s="44">
        <f t="shared" si="34"/>
        <v>23.833333333333265</v>
      </c>
      <c r="F299" s="45">
        <f t="shared" si="32"/>
        <v>45740.83333333402</v>
      </c>
      <c r="G299" s="52">
        <v>40</v>
      </c>
      <c r="H299" s="53">
        <v>40</v>
      </c>
      <c r="I299" s="54">
        <v>10.5</v>
      </c>
      <c r="J299" s="54">
        <v>500</v>
      </c>
      <c r="K299" s="55">
        <v>0</v>
      </c>
      <c r="L299" s="56">
        <v>40</v>
      </c>
      <c r="M299" s="54">
        <v>10.7</v>
      </c>
      <c r="N299" s="54">
        <v>400</v>
      </c>
      <c r="O299" s="57">
        <v>0</v>
      </c>
      <c r="P299" s="53">
        <v>39</v>
      </c>
      <c r="Q299" s="54">
        <v>10.6</v>
      </c>
      <c r="R299" s="55">
        <v>0</v>
      </c>
      <c r="S299" s="55">
        <v>0</v>
      </c>
      <c r="T299" s="57">
        <v>17.3</v>
      </c>
      <c r="U299" s="56">
        <v>37</v>
      </c>
      <c r="V299" s="54">
        <v>10.7</v>
      </c>
      <c r="W299" s="55">
        <v>0</v>
      </c>
      <c r="X299" s="55">
        <v>0</v>
      </c>
      <c r="Y299" s="57">
        <v>9.61</v>
      </c>
      <c r="Z299" s="53">
        <v>37</v>
      </c>
      <c r="AA299" s="54">
        <v>10.7</v>
      </c>
      <c r="AB299" s="55">
        <v>0</v>
      </c>
      <c r="AC299" s="55">
        <v>0</v>
      </c>
      <c r="AD299" s="57">
        <v>10.38</v>
      </c>
      <c r="AE299" s="56">
        <v>34</v>
      </c>
      <c r="AF299" s="54">
        <v>10.6</v>
      </c>
      <c r="AG299" s="55">
        <v>0</v>
      </c>
      <c r="AH299" s="55">
        <v>0</v>
      </c>
      <c r="AI299" s="57">
        <v>11.53</v>
      </c>
      <c r="AJ299" s="56">
        <v>35</v>
      </c>
      <c r="AK299" s="54">
        <v>10.7</v>
      </c>
      <c r="AL299" s="54">
        <v>0</v>
      </c>
      <c r="AM299" s="54">
        <v>0</v>
      </c>
      <c r="AN299" s="57">
        <v>14.43</v>
      </c>
      <c r="AO299" s="53">
        <v>35</v>
      </c>
      <c r="AP299" s="54">
        <v>10.6</v>
      </c>
      <c r="AQ299" s="54">
        <v>150</v>
      </c>
      <c r="AR299" s="54">
        <v>0</v>
      </c>
      <c r="AS299" s="57">
        <v>17.3</v>
      </c>
      <c r="AT299" s="56">
        <v>28</v>
      </c>
      <c r="AU299" s="57">
        <v>120</v>
      </c>
      <c r="AV299" s="56"/>
      <c r="AW299" s="57"/>
      <c r="AX299" s="8"/>
      <c r="AZ299" s="1">
        <v>90</v>
      </c>
      <c r="BB299" s="82">
        <f t="shared" si="31"/>
        <v>35.603099999999998</v>
      </c>
    </row>
    <row r="300" spans="3:54" ht="15" customHeight="1" x14ac:dyDescent="0.25">
      <c r="C300" s="42"/>
      <c r="D300" s="43">
        <f>D292</f>
        <v>45740</v>
      </c>
      <c r="E300" s="44">
        <f t="shared" si="34"/>
        <v>23.916666666666597</v>
      </c>
      <c r="F300" s="45">
        <f t="shared" si="32"/>
        <v>45740.916666667355</v>
      </c>
      <c r="G300" s="52">
        <v>40</v>
      </c>
      <c r="H300" s="53">
        <v>39</v>
      </c>
      <c r="I300" s="54">
        <v>10.199999999999999</v>
      </c>
      <c r="J300" s="54">
        <v>500</v>
      </c>
      <c r="K300" s="55">
        <v>0</v>
      </c>
      <c r="L300" s="56">
        <v>40</v>
      </c>
      <c r="M300" s="54">
        <v>10.5</v>
      </c>
      <c r="N300" s="54">
        <v>450</v>
      </c>
      <c r="O300" s="57">
        <v>0</v>
      </c>
      <c r="P300" s="53">
        <v>40</v>
      </c>
      <c r="Q300" s="54">
        <v>10.7</v>
      </c>
      <c r="R300" s="55">
        <v>0</v>
      </c>
      <c r="S300" s="55">
        <v>0</v>
      </c>
      <c r="T300" s="57">
        <v>17.11</v>
      </c>
      <c r="U300" s="56">
        <v>37</v>
      </c>
      <c r="V300" s="54">
        <v>10.6</v>
      </c>
      <c r="W300" s="55">
        <v>0</v>
      </c>
      <c r="X300" s="55">
        <v>0</v>
      </c>
      <c r="Y300" s="57">
        <v>10</v>
      </c>
      <c r="Z300" s="53">
        <v>38</v>
      </c>
      <c r="AA300" s="54">
        <v>10.7</v>
      </c>
      <c r="AB300" s="55">
        <v>0</v>
      </c>
      <c r="AC300" s="55">
        <v>0</v>
      </c>
      <c r="AD300" s="57">
        <v>10.19</v>
      </c>
      <c r="AE300" s="56">
        <v>36</v>
      </c>
      <c r="AF300" s="54">
        <v>10.6</v>
      </c>
      <c r="AG300" s="55">
        <v>0</v>
      </c>
      <c r="AH300" s="55">
        <v>0</v>
      </c>
      <c r="AI300" s="57">
        <v>11.34</v>
      </c>
      <c r="AJ300" s="56">
        <v>36</v>
      </c>
      <c r="AK300" s="54">
        <v>10.7</v>
      </c>
      <c r="AL300" s="54">
        <v>0</v>
      </c>
      <c r="AM300" s="54">
        <v>0</v>
      </c>
      <c r="AN300" s="57">
        <v>14.23</v>
      </c>
      <c r="AO300" s="53">
        <v>37</v>
      </c>
      <c r="AP300" s="54">
        <v>10.5</v>
      </c>
      <c r="AQ300" s="54">
        <v>170</v>
      </c>
      <c r="AR300" s="54">
        <v>0</v>
      </c>
      <c r="AS300" s="57">
        <v>17.5</v>
      </c>
      <c r="AT300" s="56">
        <v>30</v>
      </c>
      <c r="AU300" s="57">
        <v>130</v>
      </c>
      <c r="AV300" s="56"/>
      <c r="AW300" s="57"/>
      <c r="AX300" s="8"/>
      <c r="AZ300" s="1">
        <v>90</v>
      </c>
      <c r="BB300" s="82">
        <f t="shared" si="31"/>
        <v>35.523539999999997</v>
      </c>
    </row>
    <row r="301" spans="3:54" ht="15" customHeight="1" x14ac:dyDescent="0.25">
      <c r="C301" s="42"/>
      <c r="D301" s="43">
        <f>D292</f>
        <v>45740</v>
      </c>
      <c r="E301" s="44">
        <f t="shared" si="34"/>
        <v>23.999999999999929</v>
      </c>
      <c r="F301" s="45">
        <f t="shared" si="32"/>
        <v>45741.000000000691</v>
      </c>
      <c r="G301" s="52">
        <v>41</v>
      </c>
      <c r="H301" s="53">
        <v>40</v>
      </c>
      <c r="I301" s="54">
        <v>10.5</v>
      </c>
      <c r="J301" s="54">
        <v>500</v>
      </c>
      <c r="K301" s="55">
        <v>0</v>
      </c>
      <c r="L301" s="56">
        <v>40</v>
      </c>
      <c r="M301" s="54">
        <v>10.4</v>
      </c>
      <c r="N301" s="54">
        <v>450</v>
      </c>
      <c r="O301" s="57">
        <v>0</v>
      </c>
      <c r="P301" s="53">
        <v>39</v>
      </c>
      <c r="Q301" s="54">
        <v>10.8</v>
      </c>
      <c r="R301" s="55">
        <v>0</v>
      </c>
      <c r="S301" s="55">
        <v>0</v>
      </c>
      <c r="T301" s="57">
        <v>17.5</v>
      </c>
      <c r="U301" s="56">
        <v>38</v>
      </c>
      <c r="V301" s="54">
        <v>10.7</v>
      </c>
      <c r="W301" s="55">
        <v>0</v>
      </c>
      <c r="X301" s="55">
        <v>0</v>
      </c>
      <c r="Y301" s="57">
        <v>9.42</v>
      </c>
      <c r="Z301" s="53">
        <v>37</v>
      </c>
      <c r="AA301" s="54">
        <v>10.7</v>
      </c>
      <c r="AB301" s="55">
        <v>0</v>
      </c>
      <c r="AC301" s="55">
        <v>0</v>
      </c>
      <c r="AD301" s="57">
        <v>10.38</v>
      </c>
      <c r="AE301" s="56">
        <v>35</v>
      </c>
      <c r="AF301" s="54">
        <v>10.6</v>
      </c>
      <c r="AG301" s="55">
        <v>0</v>
      </c>
      <c r="AH301" s="55">
        <v>0</v>
      </c>
      <c r="AI301" s="57">
        <v>11.53</v>
      </c>
      <c r="AJ301" s="56">
        <v>36</v>
      </c>
      <c r="AK301" s="54">
        <v>10.6</v>
      </c>
      <c r="AL301" s="54">
        <v>0</v>
      </c>
      <c r="AM301" s="54">
        <v>0</v>
      </c>
      <c r="AN301" s="57">
        <v>14.61</v>
      </c>
      <c r="AO301" s="53">
        <v>36</v>
      </c>
      <c r="AP301" s="54">
        <v>10.5</v>
      </c>
      <c r="AQ301" s="54">
        <v>160</v>
      </c>
      <c r="AR301" s="54">
        <v>0</v>
      </c>
      <c r="AS301" s="57">
        <v>17.690000000000001</v>
      </c>
      <c r="AT301" s="56">
        <v>31</v>
      </c>
      <c r="AU301" s="57">
        <v>130</v>
      </c>
      <c r="AV301" s="56"/>
      <c r="AW301" s="57"/>
      <c r="AX301" s="8"/>
      <c r="AZ301" s="1">
        <v>90</v>
      </c>
      <c r="BB301" s="82">
        <f t="shared" si="31"/>
        <v>35.859459999999999</v>
      </c>
    </row>
    <row r="302" spans="3:54" ht="15" customHeight="1" x14ac:dyDescent="0.25">
      <c r="C302" s="42"/>
      <c r="D302" s="43">
        <f>D292</f>
        <v>45740</v>
      </c>
      <c r="E302" s="44">
        <f t="shared" si="34"/>
        <v>24.083333333333261</v>
      </c>
      <c r="F302" s="45">
        <f t="shared" si="32"/>
        <v>45741.083333334027</v>
      </c>
      <c r="G302" s="52">
        <v>41</v>
      </c>
      <c r="H302" s="53">
        <v>41</v>
      </c>
      <c r="I302" s="54">
        <v>10.6</v>
      </c>
      <c r="J302" s="54">
        <v>500</v>
      </c>
      <c r="K302" s="55">
        <v>0</v>
      </c>
      <c r="L302" s="56">
        <v>41</v>
      </c>
      <c r="M302" s="54">
        <v>10.4</v>
      </c>
      <c r="N302" s="54">
        <v>450</v>
      </c>
      <c r="O302" s="57">
        <v>0</v>
      </c>
      <c r="P302" s="53">
        <v>40</v>
      </c>
      <c r="Q302" s="54">
        <v>10.5</v>
      </c>
      <c r="R302" s="55">
        <v>0</v>
      </c>
      <c r="S302" s="55">
        <v>0</v>
      </c>
      <c r="T302" s="57">
        <v>17.11</v>
      </c>
      <c r="U302" s="56">
        <v>39</v>
      </c>
      <c r="V302" s="54">
        <v>10.5</v>
      </c>
      <c r="W302" s="55">
        <v>0</v>
      </c>
      <c r="X302" s="55">
        <v>0</v>
      </c>
      <c r="Y302" s="57">
        <v>9.61</v>
      </c>
      <c r="Z302" s="53">
        <v>38</v>
      </c>
      <c r="AA302" s="54">
        <v>10.6</v>
      </c>
      <c r="AB302" s="55">
        <v>0</v>
      </c>
      <c r="AC302" s="55">
        <v>0</v>
      </c>
      <c r="AD302" s="57">
        <v>10.19</v>
      </c>
      <c r="AE302" s="56">
        <v>37</v>
      </c>
      <c r="AF302" s="54">
        <v>10.5</v>
      </c>
      <c r="AG302" s="55">
        <v>0</v>
      </c>
      <c r="AH302" s="55">
        <v>0</v>
      </c>
      <c r="AI302" s="57">
        <v>11.53</v>
      </c>
      <c r="AJ302" s="56">
        <v>36</v>
      </c>
      <c r="AK302" s="54">
        <v>10.5</v>
      </c>
      <c r="AL302" s="54">
        <v>0</v>
      </c>
      <c r="AM302" s="54">
        <v>0</v>
      </c>
      <c r="AN302" s="57">
        <v>14.42</v>
      </c>
      <c r="AO302" s="53">
        <v>35</v>
      </c>
      <c r="AP302" s="54">
        <v>10.6</v>
      </c>
      <c r="AQ302" s="54">
        <v>150</v>
      </c>
      <c r="AR302" s="54">
        <v>0</v>
      </c>
      <c r="AS302" s="57">
        <v>17.3</v>
      </c>
      <c r="AT302" s="56">
        <v>30</v>
      </c>
      <c r="AU302" s="57">
        <v>120</v>
      </c>
      <c r="AV302" s="56"/>
      <c r="AW302" s="57"/>
      <c r="AX302" s="8"/>
      <c r="AZ302" s="1">
        <v>90</v>
      </c>
      <c r="BB302" s="82">
        <f t="shared" si="31"/>
        <v>35.430720000000001</v>
      </c>
    </row>
    <row r="303" spans="3:54" ht="15" customHeight="1" x14ac:dyDescent="0.25">
      <c r="C303" s="42"/>
      <c r="D303" s="69">
        <f>D292</f>
        <v>45740</v>
      </c>
      <c r="E303" s="70">
        <f t="shared" si="34"/>
        <v>24.166666666666593</v>
      </c>
      <c r="F303" s="71">
        <f t="shared" si="32"/>
        <v>45741.166666667363</v>
      </c>
      <c r="G303" s="60">
        <v>43</v>
      </c>
      <c r="H303" s="61">
        <v>41</v>
      </c>
      <c r="I303" s="62">
        <v>10.8</v>
      </c>
      <c r="J303" s="62">
        <v>450</v>
      </c>
      <c r="K303" s="63">
        <v>0</v>
      </c>
      <c r="L303" s="64">
        <v>40</v>
      </c>
      <c r="M303" s="62">
        <v>10.5</v>
      </c>
      <c r="N303" s="62">
        <v>500</v>
      </c>
      <c r="O303" s="65">
        <v>0</v>
      </c>
      <c r="P303" s="61">
        <v>38</v>
      </c>
      <c r="Q303" s="62">
        <v>10.199999999999999</v>
      </c>
      <c r="R303" s="63">
        <v>0</v>
      </c>
      <c r="S303" s="63">
        <v>0</v>
      </c>
      <c r="T303" s="65">
        <v>17.3</v>
      </c>
      <c r="U303" s="64">
        <v>38</v>
      </c>
      <c r="V303" s="62">
        <v>10.4</v>
      </c>
      <c r="W303" s="63">
        <v>0</v>
      </c>
      <c r="X303" s="63">
        <v>0</v>
      </c>
      <c r="Y303" s="65">
        <v>9.61</v>
      </c>
      <c r="Z303" s="61">
        <v>37</v>
      </c>
      <c r="AA303" s="62">
        <v>10.5</v>
      </c>
      <c r="AB303" s="63">
        <v>0</v>
      </c>
      <c r="AC303" s="63">
        <v>0</v>
      </c>
      <c r="AD303" s="65">
        <v>10.19</v>
      </c>
      <c r="AE303" s="64">
        <v>34</v>
      </c>
      <c r="AF303" s="62">
        <v>10.5</v>
      </c>
      <c r="AG303" s="63">
        <v>0</v>
      </c>
      <c r="AH303" s="63">
        <v>0</v>
      </c>
      <c r="AI303" s="65">
        <v>11.53</v>
      </c>
      <c r="AJ303" s="64">
        <v>35</v>
      </c>
      <c r="AK303" s="62">
        <v>10.5</v>
      </c>
      <c r="AL303" s="62">
        <v>0</v>
      </c>
      <c r="AM303" s="62">
        <v>0</v>
      </c>
      <c r="AN303" s="65">
        <v>15.38</v>
      </c>
      <c r="AO303" s="61">
        <v>36</v>
      </c>
      <c r="AP303" s="62">
        <v>10.6</v>
      </c>
      <c r="AQ303" s="62">
        <v>140</v>
      </c>
      <c r="AR303" s="62">
        <v>0</v>
      </c>
      <c r="AS303" s="65">
        <v>16.920000000000002</v>
      </c>
      <c r="AT303" s="64">
        <v>29</v>
      </c>
      <c r="AU303" s="65">
        <v>120</v>
      </c>
      <c r="AV303" s="64"/>
      <c r="AW303" s="65"/>
      <c r="AX303" s="8"/>
      <c r="AZ303" s="1">
        <v>90</v>
      </c>
      <c r="BB303" s="82">
        <f t="shared" si="31"/>
        <v>35.771059999999999</v>
      </c>
    </row>
    <row r="304" spans="3:54" ht="15" customHeight="1" x14ac:dyDescent="0.25">
      <c r="C304" s="42">
        <f>C292+1</f>
        <v>25</v>
      </c>
      <c r="D304" s="66">
        <f>DATE([3]Dash!$F$3,VLOOKUP([3]Dash!$E$3,[3]Abb!$C$3:$D$14,2,FALSE),C304)</f>
        <v>45741</v>
      </c>
      <c r="E304" s="67">
        <f>E303+2/24</f>
        <v>24.249999999999925</v>
      </c>
      <c r="F304" s="68">
        <f t="shared" si="32"/>
        <v>45741.250000000698</v>
      </c>
      <c r="G304" s="46">
        <v>42</v>
      </c>
      <c r="H304" s="47">
        <v>42</v>
      </c>
      <c r="I304" s="48">
        <v>10.7</v>
      </c>
      <c r="J304" s="48">
        <v>450</v>
      </c>
      <c r="K304" s="49">
        <v>0</v>
      </c>
      <c r="L304" s="50">
        <v>40</v>
      </c>
      <c r="M304" s="48">
        <v>10.6</v>
      </c>
      <c r="N304" s="48">
        <v>500</v>
      </c>
      <c r="O304" s="51">
        <v>0</v>
      </c>
      <c r="P304" s="47">
        <v>39</v>
      </c>
      <c r="Q304" s="48">
        <v>10.3</v>
      </c>
      <c r="R304" s="49">
        <v>0</v>
      </c>
      <c r="S304" s="49">
        <v>0</v>
      </c>
      <c r="T304" s="51">
        <v>16.920000000000002</v>
      </c>
      <c r="U304" s="50">
        <v>37</v>
      </c>
      <c r="V304" s="48">
        <v>10.4</v>
      </c>
      <c r="W304" s="49">
        <v>0</v>
      </c>
      <c r="X304" s="49">
        <v>0</v>
      </c>
      <c r="Y304" s="51">
        <v>9.43</v>
      </c>
      <c r="Z304" s="47">
        <v>38</v>
      </c>
      <c r="AA304" s="48">
        <v>10.5</v>
      </c>
      <c r="AB304" s="49">
        <v>0</v>
      </c>
      <c r="AC304" s="49">
        <v>0</v>
      </c>
      <c r="AD304" s="51">
        <v>10.57</v>
      </c>
      <c r="AE304" s="50">
        <v>35</v>
      </c>
      <c r="AF304" s="48">
        <v>10.5</v>
      </c>
      <c r="AG304" s="49">
        <v>0</v>
      </c>
      <c r="AH304" s="49">
        <v>0</v>
      </c>
      <c r="AI304" s="51">
        <v>11.92</v>
      </c>
      <c r="AJ304" s="50">
        <v>35</v>
      </c>
      <c r="AK304" s="48">
        <v>10.5</v>
      </c>
      <c r="AL304" s="48">
        <v>0</v>
      </c>
      <c r="AM304" s="48">
        <v>0</v>
      </c>
      <c r="AN304" s="51">
        <v>14.23</v>
      </c>
      <c r="AO304" s="47">
        <v>37</v>
      </c>
      <c r="AP304" s="48">
        <v>10.5</v>
      </c>
      <c r="AQ304" s="48">
        <v>160</v>
      </c>
      <c r="AR304" s="48">
        <v>0</v>
      </c>
      <c r="AS304" s="51">
        <v>17.3</v>
      </c>
      <c r="AT304" s="50">
        <v>30</v>
      </c>
      <c r="AU304" s="51">
        <v>130</v>
      </c>
      <c r="AV304" s="50"/>
      <c r="AW304" s="51"/>
      <c r="AX304" s="8"/>
      <c r="AZ304" s="1">
        <v>90</v>
      </c>
      <c r="BB304" s="82">
        <f t="shared" si="31"/>
        <v>35.523540000000004</v>
      </c>
    </row>
    <row r="305" spans="3:54" ht="15" customHeight="1" x14ac:dyDescent="0.25">
      <c r="C305" s="42"/>
      <c r="D305" s="43">
        <f>D304</f>
        <v>45741</v>
      </c>
      <c r="E305" s="44">
        <f>E304+2/24</f>
        <v>24.333333333333258</v>
      </c>
      <c r="F305" s="45">
        <f t="shared" si="32"/>
        <v>45741.333333334034</v>
      </c>
      <c r="G305" s="52">
        <v>42</v>
      </c>
      <c r="H305" s="53">
        <v>41</v>
      </c>
      <c r="I305" s="54">
        <v>11.5</v>
      </c>
      <c r="J305" s="54">
        <v>500</v>
      </c>
      <c r="K305" s="55">
        <v>0</v>
      </c>
      <c r="L305" s="56">
        <v>41</v>
      </c>
      <c r="M305" s="54">
        <v>10.6</v>
      </c>
      <c r="N305" s="54">
        <v>500</v>
      </c>
      <c r="O305" s="57">
        <v>0</v>
      </c>
      <c r="P305" s="53">
        <v>40</v>
      </c>
      <c r="Q305" s="54">
        <v>10.6</v>
      </c>
      <c r="R305" s="55">
        <v>0</v>
      </c>
      <c r="S305" s="55">
        <v>0</v>
      </c>
      <c r="T305" s="57">
        <v>18.260000000000002</v>
      </c>
      <c r="U305" s="56">
        <v>39</v>
      </c>
      <c r="V305" s="54">
        <v>10.5</v>
      </c>
      <c r="W305" s="55">
        <v>0</v>
      </c>
      <c r="X305" s="55">
        <v>0</v>
      </c>
      <c r="Y305" s="57">
        <v>9.23</v>
      </c>
      <c r="Z305" s="53">
        <v>39</v>
      </c>
      <c r="AA305" s="54">
        <v>10.5</v>
      </c>
      <c r="AB305" s="55">
        <v>0</v>
      </c>
      <c r="AC305" s="55">
        <v>0</v>
      </c>
      <c r="AD305" s="57">
        <v>11.53</v>
      </c>
      <c r="AE305" s="56">
        <v>34</v>
      </c>
      <c r="AF305" s="54">
        <v>10.7</v>
      </c>
      <c r="AG305" s="55">
        <v>0</v>
      </c>
      <c r="AH305" s="55">
        <v>0</v>
      </c>
      <c r="AI305" s="57">
        <v>11.53</v>
      </c>
      <c r="AJ305" s="56">
        <v>38</v>
      </c>
      <c r="AK305" s="54">
        <v>10.5</v>
      </c>
      <c r="AL305" s="54">
        <v>0</v>
      </c>
      <c r="AM305" s="54">
        <v>0</v>
      </c>
      <c r="AN305" s="57">
        <v>15.38</v>
      </c>
      <c r="AO305" s="53">
        <v>39</v>
      </c>
      <c r="AP305" s="54">
        <v>10.5</v>
      </c>
      <c r="AQ305" s="54">
        <v>160</v>
      </c>
      <c r="AR305" s="54">
        <v>0</v>
      </c>
      <c r="AS305" s="57">
        <v>16.34</v>
      </c>
      <c r="AT305" s="56">
        <v>30</v>
      </c>
      <c r="AU305" s="57">
        <v>130</v>
      </c>
      <c r="AV305" s="56"/>
      <c r="AW305" s="57"/>
      <c r="AX305" s="8"/>
      <c r="AZ305" s="1">
        <v>90</v>
      </c>
      <c r="BB305" s="82">
        <f t="shared" si="31"/>
        <v>36.363339999999994</v>
      </c>
    </row>
    <row r="306" spans="3:54" ht="15" customHeight="1" x14ac:dyDescent="0.25">
      <c r="C306" s="42"/>
      <c r="D306" s="43">
        <f>D304</f>
        <v>45741</v>
      </c>
      <c r="E306" s="44">
        <f t="shared" ref="E306:E315" si="35">E305+2/24</f>
        <v>24.41666666666659</v>
      </c>
      <c r="F306" s="45">
        <f t="shared" si="32"/>
        <v>45741.41666666737</v>
      </c>
      <c r="G306" s="52">
        <v>39</v>
      </c>
      <c r="H306" s="53">
        <v>41</v>
      </c>
      <c r="I306" s="54">
        <v>11.2</v>
      </c>
      <c r="J306" s="54">
        <v>450</v>
      </c>
      <c r="K306" s="55">
        <v>0</v>
      </c>
      <c r="L306" s="56">
        <v>41</v>
      </c>
      <c r="M306" s="54">
        <v>10.9</v>
      </c>
      <c r="N306" s="54">
        <v>450</v>
      </c>
      <c r="O306" s="57">
        <v>0</v>
      </c>
      <c r="P306" s="53">
        <v>40</v>
      </c>
      <c r="Q306" s="54">
        <v>10.7</v>
      </c>
      <c r="R306" s="55">
        <v>0</v>
      </c>
      <c r="S306" s="55">
        <v>0</v>
      </c>
      <c r="T306" s="57">
        <v>17.3</v>
      </c>
      <c r="U306" s="56">
        <v>40</v>
      </c>
      <c r="V306" s="54">
        <v>10.5</v>
      </c>
      <c r="W306" s="55">
        <v>0</v>
      </c>
      <c r="X306" s="55">
        <v>0</v>
      </c>
      <c r="Y306" s="57">
        <v>9.61</v>
      </c>
      <c r="Z306" s="53">
        <v>39</v>
      </c>
      <c r="AA306" s="54">
        <v>10.5</v>
      </c>
      <c r="AB306" s="55">
        <v>0</v>
      </c>
      <c r="AC306" s="55">
        <v>0</v>
      </c>
      <c r="AD306" s="57">
        <v>11.92</v>
      </c>
      <c r="AE306" s="56">
        <v>37</v>
      </c>
      <c r="AF306" s="54">
        <v>10.6</v>
      </c>
      <c r="AG306" s="55">
        <v>0</v>
      </c>
      <c r="AH306" s="55">
        <v>0</v>
      </c>
      <c r="AI306" s="57">
        <v>11.92</v>
      </c>
      <c r="AJ306" s="56">
        <v>39</v>
      </c>
      <c r="AK306" s="54">
        <v>10.4</v>
      </c>
      <c r="AL306" s="54">
        <v>0</v>
      </c>
      <c r="AM306" s="54">
        <v>0</v>
      </c>
      <c r="AN306" s="57">
        <v>15.19</v>
      </c>
      <c r="AO306" s="53">
        <v>39</v>
      </c>
      <c r="AP306" s="54">
        <v>10.4</v>
      </c>
      <c r="AQ306" s="54">
        <v>170</v>
      </c>
      <c r="AR306" s="54">
        <v>0</v>
      </c>
      <c r="AS306" s="57">
        <v>16.34</v>
      </c>
      <c r="AT306" s="56">
        <v>29</v>
      </c>
      <c r="AU306" s="57">
        <v>120</v>
      </c>
      <c r="AV306" s="56"/>
      <c r="AW306" s="57"/>
      <c r="AX306" s="8"/>
      <c r="AZ306" s="1">
        <v>90</v>
      </c>
      <c r="BB306" s="82">
        <f t="shared" si="31"/>
        <v>36.367760000000004</v>
      </c>
    </row>
    <row r="307" spans="3:54" ht="15" customHeight="1" x14ac:dyDescent="0.25">
      <c r="C307" s="42"/>
      <c r="D307" s="43">
        <f>D304</f>
        <v>45741</v>
      </c>
      <c r="E307" s="44">
        <f t="shared" si="35"/>
        <v>24.499999999999922</v>
      </c>
      <c r="F307" s="45">
        <f t="shared" si="32"/>
        <v>45741.500000000706</v>
      </c>
      <c r="G307" s="52">
        <v>40</v>
      </c>
      <c r="H307" s="53">
        <v>40</v>
      </c>
      <c r="I307" s="54">
        <v>11</v>
      </c>
      <c r="J307" s="54">
        <v>400</v>
      </c>
      <c r="K307" s="55">
        <v>0</v>
      </c>
      <c r="L307" s="56">
        <v>40</v>
      </c>
      <c r="M307" s="54">
        <v>11</v>
      </c>
      <c r="N307" s="54">
        <v>450</v>
      </c>
      <c r="O307" s="57">
        <v>0</v>
      </c>
      <c r="P307" s="53">
        <v>40</v>
      </c>
      <c r="Q307" s="54">
        <v>10.6</v>
      </c>
      <c r="R307" s="55">
        <v>0</v>
      </c>
      <c r="S307" s="55">
        <v>0</v>
      </c>
      <c r="T307" s="57">
        <v>18.07</v>
      </c>
      <c r="U307" s="56">
        <v>40</v>
      </c>
      <c r="V307" s="54">
        <v>10.5</v>
      </c>
      <c r="W307" s="55">
        <v>0</v>
      </c>
      <c r="X307" s="55">
        <v>0</v>
      </c>
      <c r="Y307" s="57">
        <v>9.23</v>
      </c>
      <c r="Z307" s="53">
        <v>40</v>
      </c>
      <c r="AA307" s="54">
        <v>10.5</v>
      </c>
      <c r="AB307" s="55">
        <v>0</v>
      </c>
      <c r="AC307" s="55">
        <v>0</v>
      </c>
      <c r="AD307" s="57">
        <v>11.34</v>
      </c>
      <c r="AE307" s="56">
        <v>38</v>
      </c>
      <c r="AF307" s="54">
        <v>10.5</v>
      </c>
      <c r="AG307" s="55">
        <v>0</v>
      </c>
      <c r="AH307" s="55">
        <v>0</v>
      </c>
      <c r="AI307" s="57">
        <v>11.34</v>
      </c>
      <c r="AJ307" s="56">
        <v>39</v>
      </c>
      <c r="AK307" s="54">
        <v>10.4</v>
      </c>
      <c r="AL307" s="54">
        <v>0</v>
      </c>
      <c r="AM307" s="54">
        <v>0</v>
      </c>
      <c r="AN307" s="57">
        <v>15.38</v>
      </c>
      <c r="AO307" s="53">
        <v>39</v>
      </c>
      <c r="AP307" s="54">
        <v>10.5</v>
      </c>
      <c r="AQ307" s="54">
        <v>150</v>
      </c>
      <c r="AR307" s="54">
        <v>0</v>
      </c>
      <c r="AS307" s="57">
        <v>16.34</v>
      </c>
      <c r="AT307" s="56">
        <v>32</v>
      </c>
      <c r="AU307" s="57">
        <v>120</v>
      </c>
      <c r="AV307" s="56"/>
      <c r="AW307" s="57"/>
      <c r="AX307" s="8"/>
      <c r="AZ307" s="1">
        <v>90</v>
      </c>
      <c r="BB307" s="82">
        <f t="shared" si="31"/>
        <v>36.111400000000003</v>
      </c>
    </row>
    <row r="308" spans="3:54" ht="15" customHeight="1" x14ac:dyDescent="0.25">
      <c r="C308" s="42"/>
      <c r="D308" s="43">
        <f>D304</f>
        <v>45741</v>
      </c>
      <c r="E308" s="44">
        <f t="shared" si="35"/>
        <v>24.583333333333254</v>
      </c>
      <c r="F308" s="45">
        <f t="shared" si="32"/>
        <v>45741.583333334042</v>
      </c>
      <c r="G308" s="52">
        <v>37</v>
      </c>
      <c r="H308" s="53">
        <v>37</v>
      </c>
      <c r="I308" s="54">
        <v>11.5</v>
      </c>
      <c r="J308" s="54">
        <v>600</v>
      </c>
      <c r="K308" s="55">
        <v>0</v>
      </c>
      <c r="L308" s="56">
        <v>39</v>
      </c>
      <c r="M308" s="54">
        <v>11.2</v>
      </c>
      <c r="N308" s="54">
        <v>850</v>
      </c>
      <c r="O308" s="57">
        <v>0</v>
      </c>
      <c r="P308" s="53">
        <v>39</v>
      </c>
      <c r="Q308" s="54">
        <v>10.7</v>
      </c>
      <c r="R308" s="55">
        <v>0</v>
      </c>
      <c r="S308" s="55">
        <v>0</v>
      </c>
      <c r="T308" s="57">
        <v>17.3</v>
      </c>
      <c r="U308" s="56">
        <v>38</v>
      </c>
      <c r="V308" s="54">
        <v>10.6</v>
      </c>
      <c r="W308" s="55">
        <v>0</v>
      </c>
      <c r="X308" s="55">
        <v>0</v>
      </c>
      <c r="Y308" s="57">
        <v>9.61</v>
      </c>
      <c r="Z308" s="53">
        <v>38</v>
      </c>
      <c r="AA308" s="54">
        <v>10.6</v>
      </c>
      <c r="AB308" s="55">
        <v>0</v>
      </c>
      <c r="AC308" s="55">
        <v>0</v>
      </c>
      <c r="AD308" s="57">
        <v>10.57</v>
      </c>
      <c r="AE308" s="56">
        <v>39</v>
      </c>
      <c r="AF308" s="54">
        <v>10.6</v>
      </c>
      <c r="AG308" s="55">
        <v>0</v>
      </c>
      <c r="AH308" s="55">
        <v>0</v>
      </c>
      <c r="AI308" s="57">
        <v>10.57</v>
      </c>
      <c r="AJ308" s="56">
        <v>38</v>
      </c>
      <c r="AK308" s="54">
        <v>10.5</v>
      </c>
      <c r="AL308" s="54">
        <v>0</v>
      </c>
      <c r="AM308" s="54">
        <v>0</v>
      </c>
      <c r="AN308" s="57">
        <v>14.42</v>
      </c>
      <c r="AO308" s="53">
        <v>38</v>
      </c>
      <c r="AP308" s="54">
        <v>10.5</v>
      </c>
      <c r="AQ308" s="54">
        <v>170</v>
      </c>
      <c r="AR308" s="54">
        <v>0</v>
      </c>
      <c r="AS308" s="57">
        <v>15.38</v>
      </c>
      <c r="AT308" s="56">
        <v>30</v>
      </c>
      <c r="AU308" s="57">
        <v>130</v>
      </c>
      <c r="AV308" s="56"/>
      <c r="AW308" s="57"/>
      <c r="AX308" s="8"/>
      <c r="AZ308" s="1">
        <v>90</v>
      </c>
      <c r="BB308" s="82">
        <f t="shared" si="31"/>
        <v>34.409700000000001</v>
      </c>
    </row>
    <row r="309" spans="3:54" ht="15" customHeight="1" x14ac:dyDescent="0.25">
      <c r="C309" s="42"/>
      <c r="D309" s="43">
        <f>D304</f>
        <v>45741</v>
      </c>
      <c r="E309" s="44">
        <f t="shared" si="35"/>
        <v>24.666666666666586</v>
      </c>
      <c r="F309" s="45">
        <f t="shared" si="32"/>
        <v>45741.666666667377</v>
      </c>
      <c r="G309" s="52">
        <v>40</v>
      </c>
      <c r="H309" s="53">
        <v>38</v>
      </c>
      <c r="I309" s="54">
        <v>10.7</v>
      </c>
      <c r="J309" s="54">
        <v>500</v>
      </c>
      <c r="K309" s="55">
        <v>0</v>
      </c>
      <c r="L309" s="56">
        <v>39</v>
      </c>
      <c r="M309" s="54">
        <v>11</v>
      </c>
      <c r="N309" s="54">
        <v>650</v>
      </c>
      <c r="O309" s="57">
        <v>0</v>
      </c>
      <c r="P309" s="53">
        <v>39</v>
      </c>
      <c r="Q309" s="54">
        <v>10.9</v>
      </c>
      <c r="R309" s="55">
        <v>0</v>
      </c>
      <c r="S309" s="55">
        <v>0</v>
      </c>
      <c r="T309" s="57">
        <v>16.34</v>
      </c>
      <c r="U309" s="56">
        <v>37</v>
      </c>
      <c r="V309" s="54">
        <v>10.8</v>
      </c>
      <c r="W309" s="55">
        <v>0</v>
      </c>
      <c r="X309" s="55">
        <v>0</v>
      </c>
      <c r="Y309" s="57">
        <v>9.23</v>
      </c>
      <c r="Z309" s="53">
        <v>38</v>
      </c>
      <c r="AA309" s="54">
        <v>10.7</v>
      </c>
      <c r="AB309" s="55">
        <v>0</v>
      </c>
      <c r="AC309" s="55">
        <v>0</v>
      </c>
      <c r="AD309" s="57">
        <v>10.57</v>
      </c>
      <c r="AE309" s="56">
        <v>39</v>
      </c>
      <c r="AF309" s="54">
        <v>10.4</v>
      </c>
      <c r="AG309" s="55">
        <v>0</v>
      </c>
      <c r="AH309" s="55">
        <v>0</v>
      </c>
      <c r="AI309" s="57">
        <v>10.57</v>
      </c>
      <c r="AJ309" s="56">
        <v>36</v>
      </c>
      <c r="AK309" s="54">
        <v>10.5</v>
      </c>
      <c r="AL309" s="54">
        <v>0</v>
      </c>
      <c r="AM309" s="54">
        <v>0</v>
      </c>
      <c r="AN309" s="57">
        <v>14.42</v>
      </c>
      <c r="AO309" s="53">
        <v>36</v>
      </c>
      <c r="AP309" s="54">
        <v>10.5</v>
      </c>
      <c r="AQ309" s="54">
        <v>160</v>
      </c>
      <c r="AR309" s="54">
        <v>0</v>
      </c>
      <c r="AS309" s="57">
        <v>15.38</v>
      </c>
      <c r="AT309" s="56">
        <v>28</v>
      </c>
      <c r="AU309" s="57">
        <v>120</v>
      </c>
      <c r="AV309" s="56"/>
      <c r="AW309" s="57"/>
      <c r="AX309" s="8"/>
      <c r="AZ309" s="1">
        <v>90</v>
      </c>
      <c r="BB309" s="82">
        <f t="shared" si="31"/>
        <v>33.817419999999998</v>
      </c>
    </row>
    <row r="310" spans="3:54" ht="15" customHeight="1" x14ac:dyDescent="0.25">
      <c r="C310" s="42"/>
      <c r="D310" s="43">
        <f>D304</f>
        <v>45741</v>
      </c>
      <c r="E310" s="44">
        <f t="shared" si="35"/>
        <v>24.749999999999918</v>
      </c>
      <c r="F310" s="45">
        <f t="shared" si="32"/>
        <v>45741.750000000713</v>
      </c>
      <c r="G310" s="52">
        <v>41</v>
      </c>
      <c r="H310" s="53">
        <v>39</v>
      </c>
      <c r="I310" s="54">
        <v>10.3</v>
      </c>
      <c r="J310" s="54">
        <v>450</v>
      </c>
      <c r="K310" s="55">
        <v>0</v>
      </c>
      <c r="L310" s="56">
        <v>38</v>
      </c>
      <c r="M310" s="54">
        <v>10.6</v>
      </c>
      <c r="N310" s="54">
        <v>600</v>
      </c>
      <c r="O310" s="57">
        <v>0</v>
      </c>
      <c r="P310" s="53">
        <v>39</v>
      </c>
      <c r="Q310" s="54">
        <v>10.7</v>
      </c>
      <c r="R310" s="55">
        <v>0</v>
      </c>
      <c r="S310" s="55">
        <v>0</v>
      </c>
      <c r="T310" s="57">
        <v>17.3</v>
      </c>
      <c r="U310" s="56">
        <v>38</v>
      </c>
      <c r="V310" s="54">
        <v>10.6</v>
      </c>
      <c r="W310" s="55">
        <v>0</v>
      </c>
      <c r="X310" s="55">
        <v>0</v>
      </c>
      <c r="Y310" s="57">
        <v>9.61</v>
      </c>
      <c r="Z310" s="53">
        <v>38</v>
      </c>
      <c r="AA310" s="54">
        <v>10.5</v>
      </c>
      <c r="AB310" s="55">
        <v>0</v>
      </c>
      <c r="AC310" s="55">
        <v>0</v>
      </c>
      <c r="AD310" s="57">
        <v>10.57</v>
      </c>
      <c r="AE310" s="56">
        <v>37</v>
      </c>
      <c r="AF310" s="54">
        <v>10.3</v>
      </c>
      <c r="AG310" s="55">
        <v>0</v>
      </c>
      <c r="AH310" s="55">
        <v>0</v>
      </c>
      <c r="AI310" s="57">
        <v>10.57</v>
      </c>
      <c r="AJ310" s="56">
        <v>38</v>
      </c>
      <c r="AK310" s="54">
        <v>10.3</v>
      </c>
      <c r="AL310" s="54">
        <v>0</v>
      </c>
      <c r="AM310" s="54">
        <v>0</v>
      </c>
      <c r="AN310" s="57">
        <v>15.19</v>
      </c>
      <c r="AO310" s="53">
        <v>38</v>
      </c>
      <c r="AP310" s="54">
        <v>10.199999999999999</v>
      </c>
      <c r="AQ310" s="54">
        <v>160</v>
      </c>
      <c r="AR310" s="54">
        <v>0</v>
      </c>
      <c r="AS310" s="57">
        <v>16.34</v>
      </c>
      <c r="AT310" s="56">
        <v>29</v>
      </c>
      <c r="AU310" s="57">
        <v>120</v>
      </c>
      <c r="AV310" s="56"/>
      <c r="AW310" s="57"/>
      <c r="AX310" s="8"/>
      <c r="AZ310" s="1">
        <v>90</v>
      </c>
      <c r="BB310" s="82">
        <f t="shared" si="31"/>
        <v>35.174360000000007</v>
      </c>
    </row>
    <row r="311" spans="3:54" ht="15" customHeight="1" x14ac:dyDescent="0.25">
      <c r="C311" s="42"/>
      <c r="D311" s="43">
        <f>D304</f>
        <v>45741</v>
      </c>
      <c r="E311" s="44">
        <f t="shared" si="35"/>
        <v>24.83333333333325</v>
      </c>
      <c r="F311" s="45">
        <f t="shared" si="32"/>
        <v>45741.833333334049</v>
      </c>
      <c r="G311" s="52">
        <v>41</v>
      </c>
      <c r="H311" s="53">
        <v>39</v>
      </c>
      <c r="I311" s="54">
        <v>11.2</v>
      </c>
      <c r="J311" s="54">
        <v>400</v>
      </c>
      <c r="K311" s="55">
        <v>0</v>
      </c>
      <c r="L311" s="56">
        <v>39</v>
      </c>
      <c r="M311" s="54">
        <v>10.8</v>
      </c>
      <c r="N311" s="54">
        <v>650</v>
      </c>
      <c r="O311" s="57">
        <v>0</v>
      </c>
      <c r="P311" s="53">
        <v>38</v>
      </c>
      <c r="Q311" s="54">
        <v>11</v>
      </c>
      <c r="R311" s="55">
        <v>0</v>
      </c>
      <c r="S311" s="55">
        <v>0</v>
      </c>
      <c r="T311" s="57">
        <v>16.920000000000002</v>
      </c>
      <c r="U311" s="56">
        <v>39</v>
      </c>
      <c r="V311" s="54">
        <v>10.8</v>
      </c>
      <c r="W311" s="55">
        <v>0</v>
      </c>
      <c r="X311" s="55">
        <v>0</v>
      </c>
      <c r="Y311" s="57">
        <v>9.91</v>
      </c>
      <c r="Z311" s="53">
        <v>39</v>
      </c>
      <c r="AA311" s="54">
        <v>10.8</v>
      </c>
      <c r="AB311" s="55">
        <v>0</v>
      </c>
      <c r="AC311" s="55">
        <v>0</v>
      </c>
      <c r="AD311" s="57">
        <v>10.57</v>
      </c>
      <c r="AE311" s="56">
        <v>39</v>
      </c>
      <c r="AF311" s="54">
        <v>10.5</v>
      </c>
      <c r="AG311" s="55">
        <v>0</v>
      </c>
      <c r="AH311" s="55">
        <v>0</v>
      </c>
      <c r="AI311" s="57">
        <v>11.15</v>
      </c>
      <c r="AJ311" s="56">
        <v>40</v>
      </c>
      <c r="AK311" s="54">
        <v>10.6</v>
      </c>
      <c r="AL311" s="54">
        <v>0</v>
      </c>
      <c r="AM311" s="54">
        <v>0</v>
      </c>
      <c r="AN311" s="57">
        <v>15</v>
      </c>
      <c r="AO311" s="53">
        <v>38</v>
      </c>
      <c r="AP311" s="54">
        <v>10.5</v>
      </c>
      <c r="AQ311" s="54">
        <v>200</v>
      </c>
      <c r="AR311" s="54">
        <v>0</v>
      </c>
      <c r="AS311" s="57">
        <v>17.3</v>
      </c>
      <c r="AT311" s="56">
        <v>32</v>
      </c>
      <c r="AU311" s="57">
        <v>140</v>
      </c>
      <c r="AV311" s="56"/>
      <c r="AW311" s="57"/>
      <c r="AX311" s="8"/>
      <c r="AZ311" s="1">
        <v>90</v>
      </c>
      <c r="BB311" s="82">
        <f t="shared" si="31"/>
        <v>35.735700000000001</v>
      </c>
    </row>
    <row r="312" spans="3:54" ht="15" customHeight="1" x14ac:dyDescent="0.25">
      <c r="C312" s="42"/>
      <c r="D312" s="43">
        <f>D304</f>
        <v>45741</v>
      </c>
      <c r="E312" s="44">
        <f t="shared" si="35"/>
        <v>24.916666666666583</v>
      </c>
      <c r="F312" s="45">
        <f t="shared" si="32"/>
        <v>45741.916666667385</v>
      </c>
      <c r="G312" s="52">
        <v>40</v>
      </c>
      <c r="H312" s="53">
        <v>40</v>
      </c>
      <c r="I312" s="54">
        <v>11.1</v>
      </c>
      <c r="J312" s="54">
        <v>350</v>
      </c>
      <c r="K312" s="55">
        <v>0</v>
      </c>
      <c r="L312" s="56">
        <v>39</v>
      </c>
      <c r="M312" s="54">
        <v>11.3</v>
      </c>
      <c r="N312" s="54">
        <v>550</v>
      </c>
      <c r="O312" s="57">
        <v>0</v>
      </c>
      <c r="P312" s="53">
        <v>39</v>
      </c>
      <c r="Q312" s="54">
        <v>11</v>
      </c>
      <c r="R312" s="55">
        <v>0</v>
      </c>
      <c r="S312" s="55">
        <v>0</v>
      </c>
      <c r="T312" s="57">
        <v>13.46</v>
      </c>
      <c r="U312" s="56">
        <v>40</v>
      </c>
      <c r="V312" s="54">
        <v>10.9</v>
      </c>
      <c r="W312" s="55">
        <v>0</v>
      </c>
      <c r="X312" s="55">
        <v>0</v>
      </c>
      <c r="Y312" s="57">
        <v>9.42</v>
      </c>
      <c r="Z312" s="53">
        <v>39</v>
      </c>
      <c r="AA312" s="54">
        <v>10.8</v>
      </c>
      <c r="AB312" s="55">
        <v>0</v>
      </c>
      <c r="AC312" s="55">
        <v>0</v>
      </c>
      <c r="AD312" s="57">
        <v>10</v>
      </c>
      <c r="AE312" s="56">
        <v>39</v>
      </c>
      <c r="AF312" s="54">
        <v>10.7</v>
      </c>
      <c r="AG312" s="55">
        <v>0</v>
      </c>
      <c r="AH312" s="55">
        <v>0</v>
      </c>
      <c r="AI312" s="57">
        <v>11.53</v>
      </c>
      <c r="AJ312" s="56">
        <v>39</v>
      </c>
      <c r="AK312" s="54">
        <v>10.7</v>
      </c>
      <c r="AL312" s="54">
        <v>0</v>
      </c>
      <c r="AM312" s="54">
        <v>0</v>
      </c>
      <c r="AN312" s="57">
        <v>14.61</v>
      </c>
      <c r="AO312" s="53">
        <v>39</v>
      </c>
      <c r="AP312" s="54">
        <v>10.7</v>
      </c>
      <c r="AQ312" s="54">
        <v>200</v>
      </c>
      <c r="AR312" s="54">
        <v>0</v>
      </c>
      <c r="AS312" s="57">
        <v>17.3</v>
      </c>
      <c r="AT312" s="56">
        <v>31</v>
      </c>
      <c r="AU312" s="57">
        <v>130</v>
      </c>
      <c r="AV312" s="56"/>
      <c r="AW312" s="57"/>
      <c r="AX312" s="8"/>
      <c r="AZ312" s="1">
        <v>90</v>
      </c>
      <c r="BB312" s="82">
        <f t="shared" si="31"/>
        <v>33.733440000000002</v>
      </c>
    </row>
    <row r="313" spans="3:54" ht="15" customHeight="1" x14ac:dyDescent="0.25">
      <c r="C313" s="42"/>
      <c r="D313" s="43">
        <f>D304</f>
        <v>45741</v>
      </c>
      <c r="E313" s="44">
        <f t="shared" si="35"/>
        <v>24.999999999999915</v>
      </c>
      <c r="F313" s="45">
        <f t="shared" si="32"/>
        <v>45742.00000000072</v>
      </c>
      <c r="G313" s="52">
        <v>39</v>
      </c>
      <c r="H313" s="53">
        <v>39</v>
      </c>
      <c r="I313" s="54">
        <v>11</v>
      </c>
      <c r="J313" s="54">
        <v>300</v>
      </c>
      <c r="K313" s="55">
        <v>0</v>
      </c>
      <c r="L313" s="56">
        <v>39</v>
      </c>
      <c r="M313" s="54">
        <v>11.2</v>
      </c>
      <c r="N313" s="54">
        <v>500</v>
      </c>
      <c r="O313" s="57">
        <v>0</v>
      </c>
      <c r="P313" s="53">
        <v>38</v>
      </c>
      <c r="Q313" s="54">
        <v>11</v>
      </c>
      <c r="R313" s="55">
        <v>0</v>
      </c>
      <c r="S313" s="55">
        <v>0</v>
      </c>
      <c r="T313" s="57">
        <v>7.69</v>
      </c>
      <c r="U313" s="56">
        <v>40</v>
      </c>
      <c r="V313" s="54">
        <v>10.9</v>
      </c>
      <c r="W313" s="55">
        <v>0</v>
      </c>
      <c r="X313" s="55">
        <v>0</v>
      </c>
      <c r="Y313" s="57">
        <v>9.61</v>
      </c>
      <c r="Z313" s="53">
        <v>39</v>
      </c>
      <c r="AA313" s="54">
        <v>10.8</v>
      </c>
      <c r="AB313" s="55">
        <v>0</v>
      </c>
      <c r="AC313" s="55">
        <v>0</v>
      </c>
      <c r="AD313" s="57">
        <v>10.38</v>
      </c>
      <c r="AE313" s="56">
        <v>39</v>
      </c>
      <c r="AF313" s="54">
        <v>10.6</v>
      </c>
      <c r="AG313" s="55">
        <v>0</v>
      </c>
      <c r="AH313" s="55">
        <v>0</v>
      </c>
      <c r="AI313" s="57">
        <v>11.34</v>
      </c>
      <c r="AJ313" s="56">
        <v>40</v>
      </c>
      <c r="AK313" s="54">
        <v>10.7</v>
      </c>
      <c r="AL313" s="54">
        <v>0</v>
      </c>
      <c r="AM313" s="54">
        <v>0</v>
      </c>
      <c r="AN313" s="57">
        <v>14.42</v>
      </c>
      <c r="AO313" s="53">
        <v>39</v>
      </c>
      <c r="AP313" s="54">
        <v>10.5</v>
      </c>
      <c r="AQ313" s="54">
        <v>200</v>
      </c>
      <c r="AR313" s="54">
        <v>0</v>
      </c>
      <c r="AS313" s="57">
        <v>17.11</v>
      </c>
      <c r="AT313" s="56">
        <v>32</v>
      </c>
      <c r="AU313" s="57">
        <v>150</v>
      </c>
      <c r="AV313" s="56"/>
      <c r="AW313" s="57"/>
      <c r="AX313" s="8"/>
      <c r="AZ313" s="1">
        <v>90</v>
      </c>
      <c r="BB313" s="82">
        <f t="shared" si="31"/>
        <v>31.1831</v>
      </c>
    </row>
    <row r="314" spans="3:54" ht="15" customHeight="1" x14ac:dyDescent="0.25">
      <c r="C314" s="42"/>
      <c r="D314" s="43">
        <f>D304</f>
        <v>45741</v>
      </c>
      <c r="E314" s="44">
        <f t="shared" si="35"/>
        <v>25.083333333333247</v>
      </c>
      <c r="F314" s="45">
        <f t="shared" si="32"/>
        <v>45742.083333334056</v>
      </c>
      <c r="G314" s="52">
        <v>40</v>
      </c>
      <c r="H314" s="53">
        <v>39</v>
      </c>
      <c r="I314" s="54">
        <v>10.6</v>
      </c>
      <c r="J314" s="54">
        <v>250</v>
      </c>
      <c r="K314" s="55">
        <v>0</v>
      </c>
      <c r="L314" s="56">
        <v>40</v>
      </c>
      <c r="M314" s="54">
        <v>11</v>
      </c>
      <c r="N314" s="54">
        <v>400</v>
      </c>
      <c r="O314" s="57">
        <v>0</v>
      </c>
      <c r="P314" s="53">
        <v>39</v>
      </c>
      <c r="Q314" s="54">
        <v>11.1</v>
      </c>
      <c r="R314" s="55">
        <v>0</v>
      </c>
      <c r="S314" s="55">
        <v>0</v>
      </c>
      <c r="T314" s="57">
        <v>12.5</v>
      </c>
      <c r="U314" s="56">
        <v>40</v>
      </c>
      <c r="V314" s="54">
        <v>11</v>
      </c>
      <c r="W314" s="55">
        <v>0</v>
      </c>
      <c r="X314" s="55">
        <v>0</v>
      </c>
      <c r="Y314" s="57">
        <v>8.26</v>
      </c>
      <c r="Z314" s="53">
        <v>39</v>
      </c>
      <c r="AA314" s="54">
        <v>10.8</v>
      </c>
      <c r="AB314" s="55">
        <v>0</v>
      </c>
      <c r="AC314" s="55">
        <v>0</v>
      </c>
      <c r="AD314" s="57">
        <v>5.75</v>
      </c>
      <c r="AE314" s="56">
        <v>39</v>
      </c>
      <c r="AF314" s="54">
        <v>10.7</v>
      </c>
      <c r="AG314" s="55">
        <v>0</v>
      </c>
      <c r="AH314" s="55">
        <v>0</v>
      </c>
      <c r="AI314" s="57">
        <v>11.34</v>
      </c>
      <c r="AJ314" s="56">
        <v>40</v>
      </c>
      <c r="AK314" s="54">
        <v>10.7</v>
      </c>
      <c r="AL314" s="54">
        <v>0</v>
      </c>
      <c r="AM314" s="54">
        <v>0</v>
      </c>
      <c r="AN314" s="57">
        <v>14.61</v>
      </c>
      <c r="AO314" s="53">
        <v>40</v>
      </c>
      <c r="AP314" s="54">
        <v>10.6</v>
      </c>
      <c r="AQ314" s="54">
        <v>220</v>
      </c>
      <c r="AR314" s="54">
        <v>0</v>
      </c>
      <c r="AS314" s="57">
        <v>17.3</v>
      </c>
      <c r="AT314" s="56">
        <v>32</v>
      </c>
      <c r="AU314" s="57">
        <v>150</v>
      </c>
      <c r="AV314" s="56"/>
      <c r="AW314" s="57"/>
      <c r="AX314" s="8"/>
      <c r="AZ314" s="1">
        <v>90</v>
      </c>
      <c r="BB314" s="82">
        <f t="shared" si="31"/>
        <v>30.833919999999999</v>
      </c>
    </row>
    <row r="315" spans="3:54" ht="15" customHeight="1" x14ac:dyDescent="0.25">
      <c r="C315" s="42"/>
      <c r="D315" s="69">
        <f>D304</f>
        <v>45741</v>
      </c>
      <c r="E315" s="70">
        <f t="shared" si="35"/>
        <v>25.166666666666579</v>
      </c>
      <c r="F315" s="71">
        <f t="shared" si="32"/>
        <v>45742.166666667392</v>
      </c>
      <c r="G315" s="60">
        <v>40</v>
      </c>
      <c r="H315" s="61">
        <v>39</v>
      </c>
      <c r="I315" s="62">
        <v>10.3</v>
      </c>
      <c r="J315" s="62">
        <v>250</v>
      </c>
      <c r="K315" s="63">
        <v>0</v>
      </c>
      <c r="L315" s="64">
        <v>39</v>
      </c>
      <c r="M315" s="62">
        <v>10.9</v>
      </c>
      <c r="N315" s="62">
        <v>450</v>
      </c>
      <c r="O315" s="65">
        <v>0</v>
      </c>
      <c r="P315" s="61">
        <v>39</v>
      </c>
      <c r="Q315" s="62">
        <v>10.9</v>
      </c>
      <c r="R315" s="63">
        <v>0</v>
      </c>
      <c r="S315" s="63">
        <v>0</v>
      </c>
      <c r="T315" s="65">
        <v>14.42</v>
      </c>
      <c r="U315" s="64">
        <v>39</v>
      </c>
      <c r="V315" s="62">
        <v>11</v>
      </c>
      <c r="W315" s="63">
        <v>0</v>
      </c>
      <c r="X315" s="63">
        <v>0</v>
      </c>
      <c r="Y315" s="65">
        <v>6.73</v>
      </c>
      <c r="Z315" s="61">
        <v>39</v>
      </c>
      <c r="AA315" s="62">
        <v>10.9</v>
      </c>
      <c r="AB315" s="63">
        <v>0</v>
      </c>
      <c r="AC315" s="63">
        <v>0</v>
      </c>
      <c r="AD315" s="65">
        <v>5.76</v>
      </c>
      <c r="AE315" s="64">
        <v>39</v>
      </c>
      <c r="AF315" s="62">
        <v>10.8</v>
      </c>
      <c r="AG315" s="63">
        <v>0</v>
      </c>
      <c r="AH315" s="63">
        <v>0</v>
      </c>
      <c r="AI315" s="65">
        <v>10.57</v>
      </c>
      <c r="AJ315" s="64">
        <v>39</v>
      </c>
      <c r="AK315" s="62">
        <v>10.8</v>
      </c>
      <c r="AL315" s="62">
        <v>0</v>
      </c>
      <c r="AM315" s="62">
        <v>0</v>
      </c>
      <c r="AN315" s="65">
        <v>15</v>
      </c>
      <c r="AO315" s="61">
        <v>39</v>
      </c>
      <c r="AP315" s="62">
        <v>10.7</v>
      </c>
      <c r="AQ315" s="62">
        <v>200</v>
      </c>
      <c r="AR315" s="62">
        <v>0</v>
      </c>
      <c r="AS315" s="65">
        <v>16.34</v>
      </c>
      <c r="AT315" s="64">
        <v>31</v>
      </c>
      <c r="AU315" s="65">
        <v>140</v>
      </c>
      <c r="AV315" s="64"/>
      <c r="AW315" s="65"/>
      <c r="AX315" s="8"/>
      <c r="AZ315" s="1">
        <v>90</v>
      </c>
      <c r="BB315" s="82">
        <f t="shared" si="31"/>
        <v>30.418440000000004</v>
      </c>
    </row>
    <row r="316" spans="3:54" ht="15" customHeight="1" x14ac:dyDescent="0.25">
      <c r="C316" s="42">
        <f>C304+1</f>
        <v>26</v>
      </c>
      <c r="D316" s="66">
        <f>DATE([3]Dash!$F$3,VLOOKUP([3]Dash!$E$3,[3]Abb!$C$3:$D$14,2,FALSE),C316)</f>
        <v>45742</v>
      </c>
      <c r="E316" s="67">
        <f>E315+2/24</f>
        <v>25.249999999999911</v>
      </c>
      <c r="F316" s="68">
        <f t="shared" si="32"/>
        <v>45742.250000000728</v>
      </c>
      <c r="G316" s="46">
        <v>40</v>
      </c>
      <c r="H316" s="47">
        <v>40</v>
      </c>
      <c r="I316" s="48">
        <v>10.199999999999999</v>
      </c>
      <c r="J316" s="48">
        <v>250</v>
      </c>
      <c r="K316" s="49">
        <v>0</v>
      </c>
      <c r="L316" s="50">
        <v>39</v>
      </c>
      <c r="M316" s="48">
        <v>10.8</v>
      </c>
      <c r="N316" s="48">
        <v>450</v>
      </c>
      <c r="O316" s="51">
        <v>0</v>
      </c>
      <c r="P316" s="47">
        <v>40</v>
      </c>
      <c r="Q316" s="48">
        <v>10.9</v>
      </c>
      <c r="R316" s="49">
        <v>0</v>
      </c>
      <c r="S316" s="49">
        <v>0</v>
      </c>
      <c r="T316" s="51">
        <v>15.38</v>
      </c>
      <c r="U316" s="50">
        <v>39</v>
      </c>
      <c r="V316" s="48">
        <v>10.9</v>
      </c>
      <c r="W316" s="49">
        <v>0</v>
      </c>
      <c r="X316" s="49">
        <v>0</v>
      </c>
      <c r="Y316" s="51">
        <v>5.76</v>
      </c>
      <c r="Z316" s="47">
        <v>39</v>
      </c>
      <c r="AA316" s="48">
        <v>10.9</v>
      </c>
      <c r="AB316" s="49">
        <v>0</v>
      </c>
      <c r="AC316" s="49">
        <v>0</v>
      </c>
      <c r="AD316" s="51">
        <v>5.75</v>
      </c>
      <c r="AE316" s="50">
        <v>39</v>
      </c>
      <c r="AF316" s="48">
        <v>10.8</v>
      </c>
      <c r="AG316" s="49">
        <v>0</v>
      </c>
      <c r="AH316" s="49">
        <v>0</v>
      </c>
      <c r="AI316" s="51">
        <v>11.15</v>
      </c>
      <c r="AJ316" s="50">
        <v>39</v>
      </c>
      <c r="AK316" s="48">
        <v>10.8</v>
      </c>
      <c r="AL316" s="48">
        <v>0</v>
      </c>
      <c r="AM316" s="48">
        <v>0</v>
      </c>
      <c r="AN316" s="51">
        <v>15</v>
      </c>
      <c r="AO316" s="47">
        <v>39</v>
      </c>
      <c r="AP316" s="48">
        <v>10.7</v>
      </c>
      <c r="AQ316" s="48">
        <v>200</v>
      </c>
      <c r="AR316" s="48">
        <v>0</v>
      </c>
      <c r="AS316" s="51">
        <v>16.34</v>
      </c>
      <c r="AT316" s="50">
        <v>33</v>
      </c>
      <c r="AU316" s="51">
        <v>150</v>
      </c>
      <c r="AV316" s="50"/>
      <c r="AW316" s="51"/>
      <c r="AX316" s="8"/>
      <c r="AZ316" s="1">
        <v>90</v>
      </c>
      <c r="BB316" s="82">
        <f t="shared" si="31"/>
        <v>30.665959999999998</v>
      </c>
    </row>
    <row r="317" spans="3:54" ht="15" customHeight="1" x14ac:dyDescent="0.25">
      <c r="C317" s="42"/>
      <c r="D317" s="43">
        <f>D316</f>
        <v>45742</v>
      </c>
      <c r="E317" s="44">
        <f>E316+2/24</f>
        <v>25.333333333333243</v>
      </c>
      <c r="F317" s="45">
        <f t="shared" si="32"/>
        <v>45742.333333334063</v>
      </c>
      <c r="G317" s="52">
        <v>37</v>
      </c>
      <c r="H317" s="53">
        <v>38</v>
      </c>
      <c r="I317" s="54">
        <v>10</v>
      </c>
      <c r="J317" s="54">
        <v>300</v>
      </c>
      <c r="K317" s="55">
        <v>0</v>
      </c>
      <c r="L317" s="56">
        <v>36</v>
      </c>
      <c r="M317" s="54">
        <v>10.7</v>
      </c>
      <c r="N317" s="54">
        <v>350</v>
      </c>
      <c r="O317" s="57">
        <v>0</v>
      </c>
      <c r="P317" s="53">
        <v>39</v>
      </c>
      <c r="Q317" s="54">
        <v>10.7</v>
      </c>
      <c r="R317" s="55">
        <v>0</v>
      </c>
      <c r="S317" s="55">
        <v>0</v>
      </c>
      <c r="T317" s="57">
        <v>15.38</v>
      </c>
      <c r="U317" s="56">
        <v>39</v>
      </c>
      <c r="V317" s="54">
        <v>10.8</v>
      </c>
      <c r="W317" s="55">
        <v>0</v>
      </c>
      <c r="X317" s="55">
        <v>0</v>
      </c>
      <c r="Y317" s="57">
        <v>6.75</v>
      </c>
      <c r="Z317" s="53">
        <v>38</v>
      </c>
      <c r="AA317" s="54">
        <v>10.9</v>
      </c>
      <c r="AB317" s="55">
        <v>0</v>
      </c>
      <c r="AC317" s="55">
        <v>0</v>
      </c>
      <c r="AD317" s="57">
        <v>4.8</v>
      </c>
      <c r="AE317" s="56">
        <v>37</v>
      </c>
      <c r="AF317" s="54">
        <v>10.8</v>
      </c>
      <c r="AG317" s="55">
        <v>0</v>
      </c>
      <c r="AH317" s="55">
        <v>0</v>
      </c>
      <c r="AI317" s="57">
        <v>8.65</v>
      </c>
      <c r="AJ317" s="56">
        <v>37</v>
      </c>
      <c r="AK317" s="54">
        <v>10.8</v>
      </c>
      <c r="AL317" s="54">
        <v>0</v>
      </c>
      <c r="AM317" s="54">
        <v>0</v>
      </c>
      <c r="AN317" s="57">
        <v>16.34</v>
      </c>
      <c r="AO317" s="53">
        <v>39</v>
      </c>
      <c r="AP317" s="54">
        <v>10.8</v>
      </c>
      <c r="AQ317" s="54">
        <v>190</v>
      </c>
      <c r="AR317" s="54">
        <v>0</v>
      </c>
      <c r="AS317" s="57">
        <v>20.190000000000001</v>
      </c>
      <c r="AT317" s="56">
        <v>30</v>
      </c>
      <c r="AU317" s="57">
        <v>170</v>
      </c>
      <c r="AV317" s="56"/>
      <c r="AW317" s="57"/>
      <c r="AX317" s="8"/>
      <c r="AZ317" s="1">
        <v>90</v>
      </c>
      <c r="BB317" s="82">
        <f t="shared" si="31"/>
        <v>31.872620000000001</v>
      </c>
    </row>
    <row r="318" spans="3:54" ht="15" customHeight="1" x14ac:dyDescent="0.25">
      <c r="C318" s="42"/>
      <c r="D318" s="43">
        <f>D316</f>
        <v>45742</v>
      </c>
      <c r="E318" s="44">
        <f t="shared" ref="E318:E327" si="36">E317+2/24</f>
        <v>25.416666666666575</v>
      </c>
      <c r="F318" s="45">
        <f t="shared" si="32"/>
        <v>45742.416666667399</v>
      </c>
      <c r="G318" s="52">
        <v>40</v>
      </c>
      <c r="H318" s="53">
        <v>37</v>
      </c>
      <c r="I318" s="54">
        <v>11.2</v>
      </c>
      <c r="J318" s="54">
        <v>400</v>
      </c>
      <c r="K318" s="55">
        <v>0</v>
      </c>
      <c r="L318" s="56">
        <v>37</v>
      </c>
      <c r="M318" s="54">
        <v>10.6</v>
      </c>
      <c r="N318" s="54">
        <v>450</v>
      </c>
      <c r="O318" s="57">
        <v>0</v>
      </c>
      <c r="P318" s="53">
        <v>38</v>
      </c>
      <c r="Q318" s="54">
        <v>10.7</v>
      </c>
      <c r="R318" s="55">
        <v>0</v>
      </c>
      <c r="S318" s="55">
        <v>0</v>
      </c>
      <c r="T318" s="57">
        <v>15.38</v>
      </c>
      <c r="U318" s="56">
        <v>38</v>
      </c>
      <c r="V318" s="54">
        <v>10.8</v>
      </c>
      <c r="W318" s="55">
        <v>0</v>
      </c>
      <c r="X318" s="55">
        <v>0</v>
      </c>
      <c r="Y318" s="57">
        <v>7.69</v>
      </c>
      <c r="Z318" s="53">
        <v>38</v>
      </c>
      <c r="AA318" s="54">
        <v>10.9</v>
      </c>
      <c r="AB318" s="55">
        <v>0</v>
      </c>
      <c r="AC318" s="55">
        <v>0</v>
      </c>
      <c r="AD318" s="57">
        <v>8.65</v>
      </c>
      <c r="AE318" s="56">
        <v>37</v>
      </c>
      <c r="AF318" s="54">
        <v>10.8</v>
      </c>
      <c r="AG318" s="55">
        <v>0</v>
      </c>
      <c r="AH318" s="55">
        <v>0</v>
      </c>
      <c r="AI318" s="57">
        <v>8.65</v>
      </c>
      <c r="AJ318" s="56">
        <v>37</v>
      </c>
      <c r="AK318" s="54">
        <v>10.7</v>
      </c>
      <c r="AL318" s="54">
        <v>0</v>
      </c>
      <c r="AM318" s="54">
        <v>0</v>
      </c>
      <c r="AN318" s="57">
        <v>15.38</v>
      </c>
      <c r="AO318" s="53">
        <v>36</v>
      </c>
      <c r="AP318" s="54">
        <v>10.7</v>
      </c>
      <c r="AQ318" s="54">
        <v>170</v>
      </c>
      <c r="AR318" s="54">
        <v>0</v>
      </c>
      <c r="AS318" s="57">
        <v>20</v>
      </c>
      <c r="AT318" s="56">
        <v>28</v>
      </c>
      <c r="AU318" s="57">
        <v>160</v>
      </c>
      <c r="AV318" s="56"/>
      <c r="AW318" s="57"/>
      <c r="AX318" s="8"/>
      <c r="AZ318" s="1">
        <v>90</v>
      </c>
      <c r="BB318" s="82">
        <f t="shared" si="31"/>
        <v>33.481499999999997</v>
      </c>
    </row>
    <row r="319" spans="3:54" ht="15" customHeight="1" x14ac:dyDescent="0.25">
      <c r="C319" s="42"/>
      <c r="D319" s="43">
        <f>D316</f>
        <v>45742</v>
      </c>
      <c r="E319" s="44">
        <f t="shared" si="36"/>
        <v>25.499999999999908</v>
      </c>
      <c r="F319" s="45">
        <f t="shared" si="32"/>
        <v>45742.500000000735</v>
      </c>
      <c r="G319" s="52">
        <v>38</v>
      </c>
      <c r="H319" s="53">
        <v>38</v>
      </c>
      <c r="I319" s="54">
        <v>11.3</v>
      </c>
      <c r="J319" s="54">
        <v>400</v>
      </c>
      <c r="K319" s="55">
        <v>0</v>
      </c>
      <c r="L319" s="56">
        <v>37</v>
      </c>
      <c r="M319" s="54">
        <v>11</v>
      </c>
      <c r="N319" s="54">
        <v>450</v>
      </c>
      <c r="O319" s="57">
        <v>0</v>
      </c>
      <c r="P319" s="53">
        <v>38</v>
      </c>
      <c r="Q319" s="54">
        <v>10.8</v>
      </c>
      <c r="R319" s="55">
        <v>0</v>
      </c>
      <c r="S319" s="55">
        <v>0</v>
      </c>
      <c r="T319" s="57">
        <v>17.3</v>
      </c>
      <c r="U319" s="56">
        <v>38</v>
      </c>
      <c r="V319" s="54">
        <v>10.9</v>
      </c>
      <c r="W319" s="55">
        <v>0</v>
      </c>
      <c r="X319" s="55">
        <v>0</v>
      </c>
      <c r="Y319" s="57">
        <v>8.65</v>
      </c>
      <c r="Z319" s="53">
        <v>37</v>
      </c>
      <c r="AA319" s="54">
        <v>10.9</v>
      </c>
      <c r="AB319" s="55">
        <v>0</v>
      </c>
      <c r="AC319" s="55">
        <v>0</v>
      </c>
      <c r="AD319" s="57">
        <v>4.8</v>
      </c>
      <c r="AE319" s="56">
        <v>37</v>
      </c>
      <c r="AF319" s="54">
        <v>10.8</v>
      </c>
      <c r="AG319" s="55">
        <v>0</v>
      </c>
      <c r="AH319" s="55">
        <v>0</v>
      </c>
      <c r="AI319" s="57">
        <v>9.61</v>
      </c>
      <c r="AJ319" s="56">
        <v>38</v>
      </c>
      <c r="AK319" s="54">
        <v>10.7</v>
      </c>
      <c r="AL319" s="54">
        <v>0</v>
      </c>
      <c r="AM319" s="54">
        <v>0</v>
      </c>
      <c r="AN319" s="57">
        <v>14.42</v>
      </c>
      <c r="AO319" s="53">
        <v>38</v>
      </c>
      <c r="AP319" s="54">
        <v>10.7</v>
      </c>
      <c r="AQ319" s="54">
        <v>180</v>
      </c>
      <c r="AR319" s="54">
        <v>0</v>
      </c>
      <c r="AS319" s="57">
        <v>18.07</v>
      </c>
      <c r="AT319" s="56">
        <v>30</v>
      </c>
      <c r="AU319" s="57">
        <v>160</v>
      </c>
      <c r="AV319" s="56"/>
      <c r="AW319" s="57"/>
      <c r="AX319" s="8"/>
      <c r="AZ319" s="1">
        <v>90</v>
      </c>
      <c r="BB319" s="82">
        <f t="shared" si="31"/>
        <v>32.199700000000007</v>
      </c>
    </row>
    <row r="320" spans="3:54" ht="15" customHeight="1" x14ac:dyDescent="0.25">
      <c r="C320" s="42"/>
      <c r="D320" s="43">
        <f>D316</f>
        <v>45742</v>
      </c>
      <c r="E320" s="44">
        <f t="shared" si="36"/>
        <v>25.58333333333324</v>
      </c>
      <c r="F320" s="45">
        <f t="shared" si="32"/>
        <v>45742.583333334071</v>
      </c>
      <c r="G320" s="52">
        <v>38</v>
      </c>
      <c r="H320" s="53">
        <v>37</v>
      </c>
      <c r="I320" s="54">
        <v>11.3</v>
      </c>
      <c r="J320" s="54">
        <v>450</v>
      </c>
      <c r="K320" s="55">
        <v>0</v>
      </c>
      <c r="L320" s="56">
        <v>38</v>
      </c>
      <c r="M320" s="54">
        <v>11.2</v>
      </c>
      <c r="N320" s="54">
        <v>450</v>
      </c>
      <c r="O320" s="57">
        <v>0</v>
      </c>
      <c r="P320" s="53">
        <v>39</v>
      </c>
      <c r="Q320" s="54">
        <v>10.8</v>
      </c>
      <c r="R320" s="55">
        <v>0</v>
      </c>
      <c r="S320" s="55">
        <v>0</v>
      </c>
      <c r="T320" s="57">
        <v>17.3</v>
      </c>
      <c r="U320" s="56">
        <v>37</v>
      </c>
      <c r="V320" s="54">
        <v>10.9</v>
      </c>
      <c r="W320" s="55">
        <v>0</v>
      </c>
      <c r="X320" s="55">
        <v>0</v>
      </c>
      <c r="Y320" s="57">
        <v>8.65</v>
      </c>
      <c r="Z320" s="53">
        <v>37</v>
      </c>
      <c r="AA320" s="54">
        <v>10.8</v>
      </c>
      <c r="AB320" s="55">
        <v>0</v>
      </c>
      <c r="AC320" s="55">
        <v>0</v>
      </c>
      <c r="AD320" s="57">
        <v>6.73</v>
      </c>
      <c r="AE320" s="56">
        <v>37</v>
      </c>
      <c r="AF320" s="54">
        <v>10.7</v>
      </c>
      <c r="AG320" s="55">
        <v>0</v>
      </c>
      <c r="AH320" s="55">
        <v>0</v>
      </c>
      <c r="AI320" s="57">
        <v>6.73</v>
      </c>
      <c r="AJ320" s="56">
        <v>37</v>
      </c>
      <c r="AK320" s="54">
        <v>10.6</v>
      </c>
      <c r="AL320" s="54">
        <v>0</v>
      </c>
      <c r="AM320" s="54">
        <v>0</v>
      </c>
      <c r="AN320" s="57">
        <v>13.46</v>
      </c>
      <c r="AO320" s="53">
        <v>34</v>
      </c>
      <c r="AP320" s="54">
        <v>10.6</v>
      </c>
      <c r="AQ320" s="54">
        <v>210</v>
      </c>
      <c r="AR320" s="54">
        <v>0</v>
      </c>
      <c r="AS320" s="57">
        <v>16.34</v>
      </c>
      <c r="AT320" s="56">
        <v>29</v>
      </c>
      <c r="AU320" s="57">
        <v>170</v>
      </c>
      <c r="AV320" s="56"/>
      <c r="AW320" s="57"/>
      <c r="AX320" s="8"/>
      <c r="AZ320" s="1">
        <v>90</v>
      </c>
      <c r="BB320" s="82">
        <f t="shared" si="31"/>
        <v>30.590820000000001</v>
      </c>
    </row>
    <row r="321" spans="3:54" ht="15" customHeight="1" x14ac:dyDescent="0.25">
      <c r="C321" s="42"/>
      <c r="D321" s="43">
        <f>D316</f>
        <v>45742</v>
      </c>
      <c r="E321" s="44">
        <f t="shared" si="36"/>
        <v>25.666666666666572</v>
      </c>
      <c r="F321" s="45">
        <f t="shared" si="32"/>
        <v>45742.666666667406</v>
      </c>
      <c r="G321" s="52">
        <v>39</v>
      </c>
      <c r="H321" s="53">
        <v>38</v>
      </c>
      <c r="I321" s="54">
        <v>10.9</v>
      </c>
      <c r="J321" s="54">
        <v>350</v>
      </c>
      <c r="K321" s="55">
        <v>0</v>
      </c>
      <c r="L321" s="56">
        <v>39</v>
      </c>
      <c r="M321" s="54">
        <v>11</v>
      </c>
      <c r="N321" s="54">
        <v>400</v>
      </c>
      <c r="O321" s="57">
        <v>0</v>
      </c>
      <c r="P321" s="53">
        <v>38</v>
      </c>
      <c r="Q321" s="54">
        <v>10.9</v>
      </c>
      <c r="R321" s="55">
        <v>0</v>
      </c>
      <c r="S321" s="55">
        <v>0</v>
      </c>
      <c r="T321" s="57">
        <v>16.53</v>
      </c>
      <c r="U321" s="56">
        <v>38</v>
      </c>
      <c r="V321" s="54">
        <v>10.9</v>
      </c>
      <c r="W321" s="55">
        <v>0</v>
      </c>
      <c r="X321" s="55">
        <v>0</v>
      </c>
      <c r="Y321" s="57">
        <v>8.65</v>
      </c>
      <c r="Z321" s="53">
        <v>38</v>
      </c>
      <c r="AA321" s="54">
        <v>10.8</v>
      </c>
      <c r="AB321" s="55">
        <v>0</v>
      </c>
      <c r="AC321" s="55">
        <v>0</v>
      </c>
      <c r="AD321" s="57">
        <v>7.69</v>
      </c>
      <c r="AE321" s="56">
        <v>37</v>
      </c>
      <c r="AF321" s="54">
        <v>10.7</v>
      </c>
      <c r="AG321" s="55">
        <v>0</v>
      </c>
      <c r="AH321" s="55">
        <v>0</v>
      </c>
      <c r="AI321" s="57">
        <v>6.73</v>
      </c>
      <c r="AJ321" s="56">
        <v>37</v>
      </c>
      <c r="AK321" s="54">
        <v>10.7</v>
      </c>
      <c r="AL321" s="54">
        <v>0</v>
      </c>
      <c r="AM321" s="54">
        <v>0</v>
      </c>
      <c r="AN321" s="57">
        <v>14.23</v>
      </c>
      <c r="AO321" s="53">
        <v>37</v>
      </c>
      <c r="AP321" s="54">
        <v>10.7</v>
      </c>
      <c r="AQ321" s="54">
        <v>200</v>
      </c>
      <c r="AR321" s="54">
        <v>0</v>
      </c>
      <c r="AS321" s="57">
        <v>18.07</v>
      </c>
      <c r="AT321" s="56">
        <v>28</v>
      </c>
      <c r="AU321" s="57">
        <v>170</v>
      </c>
      <c r="AV321" s="56"/>
      <c r="AW321" s="57"/>
      <c r="AX321" s="8"/>
      <c r="AZ321" s="1">
        <v>90</v>
      </c>
      <c r="BB321" s="82">
        <f t="shared" si="31"/>
        <v>31.779800000000002</v>
      </c>
    </row>
    <row r="322" spans="3:54" ht="15" customHeight="1" x14ac:dyDescent="0.25">
      <c r="C322" s="42"/>
      <c r="D322" s="43">
        <f>D316</f>
        <v>45742</v>
      </c>
      <c r="E322" s="44">
        <f t="shared" si="36"/>
        <v>25.749999999999904</v>
      </c>
      <c r="F322" s="45">
        <f t="shared" si="32"/>
        <v>45742.750000000742</v>
      </c>
      <c r="G322" s="52">
        <v>38</v>
      </c>
      <c r="H322" s="53">
        <v>37</v>
      </c>
      <c r="I322" s="54">
        <v>10.7</v>
      </c>
      <c r="J322" s="54">
        <v>350</v>
      </c>
      <c r="K322" s="55">
        <v>0</v>
      </c>
      <c r="L322" s="56">
        <v>39</v>
      </c>
      <c r="M322" s="54">
        <v>10.9</v>
      </c>
      <c r="N322" s="54">
        <v>400</v>
      </c>
      <c r="O322" s="57">
        <v>0</v>
      </c>
      <c r="P322" s="53">
        <v>39</v>
      </c>
      <c r="Q322" s="54">
        <v>10.8</v>
      </c>
      <c r="R322" s="55">
        <v>0</v>
      </c>
      <c r="S322" s="55">
        <v>0</v>
      </c>
      <c r="T322" s="57">
        <v>17.3</v>
      </c>
      <c r="U322" s="56">
        <v>39</v>
      </c>
      <c r="V322" s="54">
        <v>10.8</v>
      </c>
      <c r="W322" s="55">
        <v>0</v>
      </c>
      <c r="X322" s="55">
        <v>0</v>
      </c>
      <c r="Y322" s="57">
        <v>8.84</v>
      </c>
      <c r="Z322" s="53">
        <v>38</v>
      </c>
      <c r="AA322" s="54">
        <v>10.7</v>
      </c>
      <c r="AB322" s="55">
        <v>0</v>
      </c>
      <c r="AC322" s="55">
        <v>0</v>
      </c>
      <c r="AD322" s="57">
        <v>7.69</v>
      </c>
      <c r="AE322" s="56">
        <v>38</v>
      </c>
      <c r="AF322" s="54">
        <v>10.6</v>
      </c>
      <c r="AG322" s="55">
        <v>0</v>
      </c>
      <c r="AH322" s="55">
        <v>0</v>
      </c>
      <c r="AI322" s="57">
        <v>6.92</v>
      </c>
      <c r="AJ322" s="56">
        <v>37</v>
      </c>
      <c r="AK322" s="54">
        <v>10.6</v>
      </c>
      <c r="AL322" s="54">
        <v>0</v>
      </c>
      <c r="AM322" s="54">
        <v>0</v>
      </c>
      <c r="AN322" s="57">
        <v>14.23</v>
      </c>
      <c r="AO322" s="53">
        <v>37</v>
      </c>
      <c r="AP322" s="54">
        <v>10.6</v>
      </c>
      <c r="AQ322" s="54">
        <v>190</v>
      </c>
      <c r="AR322" s="54">
        <v>0</v>
      </c>
      <c r="AS322" s="57">
        <v>17.3</v>
      </c>
      <c r="AT322" s="56">
        <v>30</v>
      </c>
      <c r="AU322" s="57">
        <v>160</v>
      </c>
      <c r="AV322" s="56"/>
      <c r="AW322" s="57"/>
      <c r="AX322" s="8"/>
      <c r="AZ322" s="1">
        <v>90</v>
      </c>
      <c r="BB322" s="82">
        <f t="shared" si="31"/>
        <v>31.947760000000002</v>
      </c>
    </row>
    <row r="323" spans="3:54" ht="15" customHeight="1" x14ac:dyDescent="0.25">
      <c r="C323" s="42"/>
      <c r="D323" s="43">
        <f>D316</f>
        <v>45742</v>
      </c>
      <c r="E323" s="44">
        <f t="shared" si="36"/>
        <v>25.833333333333236</v>
      </c>
      <c r="F323" s="45">
        <f t="shared" si="32"/>
        <v>45742.833333334078</v>
      </c>
      <c r="G323" s="52">
        <v>34</v>
      </c>
      <c r="H323" s="53">
        <v>37</v>
      </c>
      <c r="I323" s="54">
        <v>10.5</v>
      </c>
      <c r="J323" s="54">
        <v>500</v>
      </c>
      <c r="K323" s="55">
        <v>0</v>
      </c>
      <c r="L323" s="56">
        <v>37</v>
      </c>
      <c r="M323" s="54">
        <v>10.8</v>
      </c>
      <c r="N323" s="54">
        <v>400</v>
      </c>
      <c r="O323" s="57">
        <v>0</v>
      </c>
      <c r="P323" s="53">
        <v>37</v>
      </c>
      <c r="Q323" s="54">
        <v>10.7</v>
      </c>
      <c r="R323" s="55">
        <v>0</v>
      </c>
      <c r="S323" s="55">
        <v>0</v>
      </c>
      <c r="T323" s="57">
        <v>17.3</v>
      </c>
      <c r="U323" s="56">
        <v>36</v>
      </c>
      <c r="V323" s="54">
        <v>10.8</v>
      </c>
      <c r="W323" s="55">
        <v>0</v>
      </c>
      <c r="X323" s="55">
        <v>0</v>
      </c>
      <c r="Y323" s="57">
        <v>9.61</v>
      </c>
      <c r="Z323" s="53">
        <v>38</v>
      </c>
      <c r="AA323" s="54">
        <v>10.6</v>
      </c>
      <c r="AB323" s="55">
        <v>0</v>
      </c>
      <c r="AC323" s="55">
        <v>0</v>
      </c>
      <c r="AD323" s="57">
        <v>6.73</v>
      </c>
      <c r="AE323" s="56">
        <v>36</v>
      </c>
      <c r="AF323" s="54">
        <v>10.6</v>
      </c>
      <c r="AG323" s="55">
        <v>0</v>
      </c>
      <c r="AH323" s="55">
        <v>0</v>
      </c>
      <c r="AI323" s="57">
        <v>5.76</v>
      </c>
      <c r="AJ323" s="56">
        <v>38</v>
      </c>
      <c r="AK323" s="54">
        <v>10.7</v>
      </c>
      <c r="AL323" s="54">
        <v>0</v>
      </c>
      <c r="AM323" s="54">
        <v>0</v>
      </c>
      <c r="AN323" s="57">
        <v>14.42</v>
      </c>
      <c r="AO323" s="53">
        <v>37</v>
      </c>
      <c r="AP323" s="54">
        <v>10.199999999999999</v>
      </c>
      <c r="AQ323" s="54">
        <v>190</v>
      </c>
      <c r="AR323" s="54">
        <v>0</v>
      </c>
      <c r="AS323" s="57">
        <v>20.190000000000001</v>
      </c>
      <c r="AT323" s="56">
        <v>30</v>
      </c>
      <c r="AU323" s="57">
        <v>160</v>
      </c>
      <c r="AV323" s="56"/>
      <c r="AW323" s="57"/>
      <c r="AX323" s="8"/>
      <c r="AZ323" s="1">
        <v>90</v>
      </c>
      <c r="BB323" s="82">
        <f t="shared" si="31"/>
        <v>32.712420000000009</v>
      </c>
    </row>
    <row r="324" spans="3:54" ht="15" customHeight="1" x14ac:dyDescent="0.25">
      <c r="C324" s="42"/>
      <c r="D324" s="43">
        <f>D316</f>
        <v>45742</v>
      </c>
      <c r="E324" s="44">
        <f t="shared" si="36"/>
        <v>25.916666666666568</v>
      </c>
      <c r="F324" s="45">
        <f t="shared" si="32"/>
        <v>45742.916666667414</v>
      </c>
      <c r="G324" s="52">
        <v>39</v>
      </c>
      <c r="H324" s="53">
        <v>39</v>
      </c>
      <c r="I324" s="54">
        <v>10.4</v>
      </c>
      <c r="J324" s="54">
        <v>500</v>
      </c>
      <c r="K324" s="55">
        <v>0</v>
      </c>
      <c r="L324" s="56">
        <v>39</v>
      </c>
      <c r="M324" s="54">
        <v>10.9</v>
      </c>
      <c r="N324" s="54">
        <v>400</v>
      </c>
      <c r="O324" s="57">
        <v>0</v>
      </c>
      <c r="P324" s="53">
        <v>38</v>
      </c>
      <c r="Q324" s="54">
        <v>10.8</v>
      </c>
      <c r="R324" s="55">
        <v>0</v>
      </c>
      <c r="S324" s="55">
        <v>0</v>
      </c>
      <c r="T324" s="57">
        <v>17.5</v>
      </c>
      <c r="U324" s="56">
        <v>37</v>
      </c>
      <c r="V324" s="54">
        <v>10.8</v>
      </c>
      <c r="W324" s="55">
        <v>0</v>
      </c>
      <c r="X324" s="55">
        <v>0</v>
      </c>
      <c r="Y324" s="57">
        <v>10</v>
      </c>
      <c r="Z324" s="53">
        <v>38</v>
      </c>
      <c r="AA324" s="54">
        <v>10.7</v>
      </c>
      <c r="AB324" s="55">
        <v>0</v>
      </c>
      <c r="AC324" s="55">
        <v>0</v>
      </c>
      <c r="AD324" s="57">
        <v>7.11</v>
      </c>
      <c r="AE324" s="56">
        <v>36</v>
      </c>
      <c r="AF324" s="54">
        <v>10.7</v>
      </c>
      <c r="AG324" s="55">
        <v>0</v>
      </c>
      <c r="AH324" s="55">
        <v>0</v>
      </c>
      <c r="AI324" s="57">
        <v>9.61</v>
      </c>
      <c r="AJ324" s="56">
        <v>38</v>
      </c>
      <c r="AK324" s="54">
        <v>10.8</v>
      </c>
      <c r="AL324" s="54">
        <v>0</v>
      </c>
      <c r="AM324" s="54">
        <v>0</v>
      </c>
      <c r="AN324" s="57">
        <v>10.57</v>
      </c>
      <c r="AO324" s="53">
        <v>36</v>
      </c>
      <c r="AP324" s="54">
        <v>10.6</v>
      </c>
      <c r="AQ324" s="54">
        <v>180</v>
      </c>
      <c r="AR324" s="54">
        <v>0</v>
      </c>
      <c r="AS324" s="57">
        <v>21.15</v>
      </c>
      <c r="AT324" s="56">
        <v>30</v>
      </c>
      <c r="AU324" s="57">
        <v>150</v>
      </c>
      <c r="AV324" s="56"/>
      <c r="AW324" s="57"/>
      <c r="AX324" s="8"/>
      <c r="AZ324" s="1">
        <v>90</v>
      </c>
      <c r="BB324" s="82">
        <f t="shared" si="31"/>
        <v>33.565479999999994</v>
      </c>
    </row>
    <row r="325" spans="3:54" ht="15" customHeight="1" x14ac:dyDescent="0.25">
      <c r="C325" s="42"/>
      <c r="D325" s="43">
        <f>D316</f>
        <v>45742</v>
      </c>
      <c r="E325" s="44">
        <f t="shared" si="36"/>
        <v>25.999999999999901</v>
      </c>
      <c r="F325" s="45">
        <f t="shared" si="32"/>
        <v>45743.000000000749</v>
      </c>
      <c r="G325" s="52">
        <v>40</v>
      </c>
      <c r="H325" s="53">
        <v>38</v>
      </c>
      <c r="I325" s="54">
        <v>10.4</v>
      </c>
      <c r="J325" s="54">
        <v>500</v>
      </c>
      <c r="K325" s="55">
        <v>0</v>
      </c>
      <c r="L325" s="56">
        <v>39</v>
      </c>
      <c r="M325" s="54">
        <v>10.7</v>
      </c>
      <c r="N325" s="54">
        <v>450</v>
      </c>
      <c r="O325" s="57">
        <v>0</v>
      </c>
      <c r="P325" s="53">
        <v>37</v>
      </c>
      <c r="Q325" s="54">
        <v>10.4</v>
      </c>
      <c r="R325" s="55">
        <v>0</v>
      </c>
      <c r="S325" s="55">
        <v>0</v>
      </c>
      <c r="T325" s="57">
        <v>16.920000000000002</v>
      </c>
      <c r="U325" s="56">
        <v>36</v>
      </c>
      <c r="V325" s="54">
        <v>10.9</v>
      </c>
      <c r="W325" s="55">
        <v>0</v>
      </c>
      <c r="X325" s="55">
        <v>0</v>
      </c>
      <c r="Y325" s="57">
        <v>9.42</v>
      </c>
      <c r="Z325" s="53">
        <v>38</v>
      </c>
      <c r="AA325" s="54">
        <v>11.2</v>
      </c>
      <c r="AB325" s="55">
        <v>0</v>
      </c>
      <c r="AC325" s="55">
        <v>0</v>
      </c>
      <c r="AD325" s="57">
        <v>6.92</v>
      </c>
      <c r="AE325" s="56">
        <v>38</v>
      </c>
      <c r="AF325" s="54">
        <v>11.4</v>
      </c>
      <c r="AG325" s="55">
        <v>0</v>
      </c>
      <c r="AH325" s="55">
        <v>0</v>
      </c>
      <c r="AI325" s="57">
        <v>9.61</v>
      </c>
      <c r="AJ325" s="56">
        <v>37</v>
      </c>
      <c r="AK325" s="54">
        <v>10.7</v>
      </c>
      <c r="AL325" s="54">
        <v>0</v>
      </c>
      <c r="AM325" s="54">
        <v>0</v>
      </c>
      <c r="AN325" s="57">
        <v>15.38</v>
      </c>
      <c r="AO325" s="53">
        <v>38</v>
      </c>
      <c r="AP325" s="54">
        <v>10.7</v>
      </c>
      <c r="AQ325" s="54">
        <v>190</v>
      </c>
      <c r="AR325" s="54">
        <v>0</v>
      </c>
      <c r="AS325" s="57">
        <v>13.46</v>
      </c>
      <c r="AT325" s="56">
        <v>32</v>
      </c>
      <c r="AU325" s="57">
        <v>160</v>
      </c>
      <c r="AV325" s="56"/>
      <c r="AW325" s="57"/>
      <c r="AX325" s="8"/>
      <c r="AZ325" s="1">
        <v>90</v>
      </c>
      <c r="BB325" s="82">
        <f t="shared" si="31"/>
        <v>31.695820000000001</v>
      </c>
    </row>
    <row r="326" spans="3:54" ht="15" customHeight="1" x14ac:dyDescent="0.25">
      <c r="C326" s="42"/>
      <c r="D326" s="43">
        <f>D316</f>
        <v>45742</v>
      </c>
      <c r="E326" s="44">
        <f t="shared" si="36"/>
        <v>26.083333333333233</v>
      </c>
      <c r="F326" s="45">
        <f t="shared" si="32"/>
        <v>45743.083333334085</v>
      </c>
      <c r="G326" s="52">
        <v>38</v>
      </c>
      <c r="H326" s="53">
        <v>38</v>
      </c>
      <c r="I326" s="54">
        <v>10.3</v>
      </c>
      <c r="J326" s="54">
        <v>500</v>
      </c>
      <c r="K326" s="55">
        <v>0</v>
      </c>
      <c r="L326" s="56">
        <v>37</v>
      </c>
      <c r="M326" s="54">
        <v>10.5</v>
      </c>
      <c r="N326" s="54">
        <v>350</v>
      </c>
      <c r="O326" s="57">
        <v>0</v>
      </c>
      <c r="P326" s="53">
        <v>37</v>
      </c>
      <c r="Q326" s="54">
        <v>10.6</v>
      </c>
      <c r="R326" s="55">
        <v>0</v>
      </c>
      <c r="S326" s="55">
        <v>0</v>
      </c>
      <c r="T326" s="57">
        <v>17.5</v>
      </c>
      <c r="U326" s="56">
        <v>37</v>
      </c>
      <c r="V326" s="54">
        <v>10.8</v>
      </c>
      <c r="W326" s="55">
        <v>0</v>
      </c>
      <c r="X326" s="55">
        <v>0</v>
      </c>
      <c r="Y326" s="57">
        <v>9.42</v>
      </c>
      <c r="Z326" s="53">
        <v>38</v>
      </c>
      <c r="AA326" s="54">
        <v>11</v>
      </c>
      <c r="AB326" s="55">
        <v>0</v>
      </c>
      <c r="AC326" s="55">
        <v>0</v>
      </c>
      <c r="AD326" s="57">
        <v>11.53</v>
      </c>
      <c r="AE326" s="56">
        <v>38</v>
      </c>
      <c r="AF326" s="54">
        <v>11</v>
      </c>
      <c r="AG326" s="55">
        <v>0</v>
      </c>
      <c r="AH326" s="55">
        <v>0</v>
      </c>
      <c r="AI326" s="57">
        <v>6.73</v>
      </c>
      <c r="AJ326" s="56">
        <v>37</v>
      </c>
      <c r="AK326" s="54">
        <v>10.7</v>
      </c>
      <c r="AL326" s="54">
        <v>0</v>
      </c>
      <c r="AM326" s="54">
        <v>0</v>
      </c>
      <c r="AN326" s="57">
        <v>15.38</v>
      </c>
      <c r="AO326" s="53">
        <v>38</v>
      </c>
      <c r="AP326" s="54">
        <v>10.7</v>
      </c>
      <c r="AQ326" s="54">
        <v>190</v>
      </c>
      <c r="AR326" s="54">
        <v>0</v>
      </c>
      <c r="AS326" s="57">
        <v>14.42</v>
      </c>
      <c r="AT326" s="56">
        <v>30</v>
      </c>
      <c r="AU326" s="57">
        <v>160</v>
      </c>
      <c r="AV326" s="56"/>
      <c r="AW326" s="57"/>
      <c r="AX326" s="8"/>
      <c r="AZ326" s="1">
        <v>90</v>
      </c>
      <c r="BB326" s="82">
        <f t="shared" si="31"/>
        <v>33.141159999999999</v>
      </c>
    </row>
    <row r="327" spans="3:54" ht="15" customHeight="1" x14ac:dyDescent="0.25">
      <c r="C327" s="42"/>
      <c r="D327" s="69">
        <f>D316</f>
        <v>45742</v>
      </c>
      <c r="E327" s="70">
        <f t="shared" si="36"/>
        <v>26.166666666666565</v>
      </c>
      <c r="F327" s="71">
        <f t="shared" si="32"/>
        <v>45743.166666667421</v>
      </c>
      <c r="G327" s="60">
        <v>39</v>
      </c>
      <c r="H327" s="61">
        <v>39</v>
      </c>
      <c r="I327" s="62">
        <v>10.4</v>
      </c>
      <c r="J327" s="62">
        <v>500</v>
      </c>
      <c r="K327" s="63">
        <v>0</v>
      </c>
      <c r="L327" s="64">
        <v>38</v>
      </c>
      <c r="M327" s="62">
        <v>10.6</v>
      </c>
      <c r="N327" s="62">
        <v>400</v>
      </c>
      <c r="O327" s="65">
        <v>0</v>
      </c>
      <c r="P327" s="61">
        <v>38</v>
      </c>
      <c r="Q327" s="62">
        <v>10.5</v>
      </c>
      <c r="R327" s="63">
        <v>0</v>
      </c>
      <c r="S327" s="63">
        <v>0</v>
      </c>
      <c r="T327" s="65">
        <v>16.920000000000002</v>
      </c>
      <c r="U327" s="64">
        <v>38</v>
      </c>
      <c r="V327" s="62">
        <v>10.9</v>
      </c>
      <c r="W327" s="63">
        <v>0</v>
      </c>
      <c r="X327" s="63">
        <v>0</v>
      </c>
      <c r="Y327" s="65">
        <v>10.19</v>
      </c>
      <c r="Z327" s="61">
        <v>37</v>
      </c>
      <c r="AA327" s="62">
        <v>10.9</v>
      </c>
      <c r="AB327" s="63">
        <v>0</v>
      </c>
      <c r="AC327" s="63">
        <v>0</v>
      </c>
      <c r="AD327" s="65">
        <v>12.11</v>
      </c>
      <c r="AE327" s="64">
        <v>38</v>
      </c>
      <c r="AF327" s="62">
        <v>11.2</v>
      </c>
      <c r="AG327" s="63">
        <v>0</v>
      </c>
      <c r="AH327" s="63">
        <v>0</v>
      </c>
      <c r="AI327" s="65">
        <v>8.65</v>
      </c>
      <c r="AJ327" s="64">
        <v>38</v>
      </c>
      <c r="AK327" s="62">
        <v>10.8</v>
      </c>
      <c r="AL327" s="62">
        <v>0</v>
      </c>
      <c r="AM327" s="62">
        <v>0</v>
      </c>
      <c r="AN327" s="65">
        <v>12.15</v>
      </c>
      <c r="AO327" s="61">
        <v>37</v>
      </c>
      <c r="AP327" s="62">
        <v>10.7</v>
      </c>
      <c r="AQ327" s="62">
        <v>180</v>
      </c>
      <c r="AR327" s="62">
        <v>0</v>
      </c>
      <c r="AS327" s="65">
        <v>14.42</v>
      </c>
      <c r="AT327" s="64">
        <v>31</v>
      </c>
      <c r="AU327" s="65">
        <v>150</v>
      </c>
      <c r="AV327" s="64"/>
      <c r="AW327" s="65"/>
      <c r="AX327" s="8"/>
      <c r="AZ327" s="1">
        <v>90</v>
      </c>
      <c r="BB327" s="82">
        <f t="shared" si="31"/>
        <v>32.902479999999997</v>
      </c>
    </row>
    <row r="328" spans="3:54" ht="15" customHeight="1" x14ac:dyDescent="0.25">
      <c r="C328" s="42">
        <f>C316+1</f>
        <v>27</v>
      </c>
      <c r="D328" s="66">
        <f>DATE([3]Dash!$F$3,VLOOKUP([3]Dash!$E$3,[3]Abb!$C$3:$D$14,2,FALSE),C328)</f>
        <v>45743</v>
      </c>
      <c r="E328" s="67">
        <f>E327+2/24</f>
        <v>26.249999999999897</v>
      </c>
      <c r="F328" s="68">
        <f t="shared" si="32"/>
        <v>45743.250000000757</v>
      </c>
      <c r="G328" s="46">
        <v>41</v>
      </c>
      <c r="H328" s="47">
        <v>40</v>
      </c>
      <c r="I328" s="48">
        <v>10.3</v>
      </c>
      <c r="J328" s="48">
        <v>400</v>
      </c>
      <c r="K328" s="49">
        <v>0</v>
      </c>
      <c r="L328" s="50">
        <v>39</v>
      </c>
      <c r="M328" s="48">
        <v>10.6</v>
      </c>
      <c r="N328" s="48">
        <v>450</v>
      </c>
      <c r="O328" s="51">
        <v>0</v>
      </c>
      <c r="P328" s="47">
        <v>37</v>
      </c>
      <c r="Q328" s="48">
        <v>10.199999999999999</v>
      </c>
      <c r="R328" s="49">
        <v>0</v>
      </c>
      <c r="S328" s="49">
        <v>0</v>
      </c>
      <c r="T328" s="51">
        <v>17.3</v>
      </c>
      <c r="U328" s="50">
        <v>37</v>
      </c>
      <c r="V328" s="48">
        <v>10.6</v>
      </c>
      <c r="W328" s="49">
        <v>0</v>
      </c>
      <c r="X328" s="49">
        <v>0</v>
      </c>
      <c r="Y328" s="51">
        <v>8.65</v>
      </c>
      <c r="Z328" s="47">
        <v>36</v>
      </c>
      <c r="AA328" s="48">
        <v>10.8</v>
      </c>
      <c r="AB328" s="49">
        <v>0</v>
      </c>
      <c r="AC328" s="49">
        <v>0</v>
      </c>
      <c r="AD328" s="51">
        <v>10.57</v>
      </c>
      <c r="AE328" s="50">
        <v>36</v>
      </c>
      <c r="AF328" s="48">
        <v>10.8</v>
      </c>
      <c r="AG328" s="49">
        <v>0</v>
      </c>
      <c r="AH328" s="49">
        <v>0</v>
      </c>
      <c r="AI328" s="51">
        <v>13.46</v>
      </c>
      <c r="AJ328" s="50">
        <v>36</v>
      </c>
      <c r="AK328" s="48">
        <v>10.7</v>
      </c>
      <c r="AL328" s="48">
        <v>0</v>
      </c>
      <c r="AM328" s="48">
        <v>0</v>
      </c>
      <c r="AN328" s="51">
        <v>9.61</v>
      </c>
      <c r="AO328" s="47">
        <v>36</v>
      </c>
      <c r="AP328" s="48">
        <v>10.4</v>
      </c>
      <c r="AQ328" s="48">
        <v>180</v>
      </c>
      <c r="AR328" s="48">
        <v>0</v>
      </c>
      <c r="AS328" s="51">
        <v>12.5</v>
      </c>
      <c r="AT328" s="50">
        <v>28</v>
      </c>
      <c r="AU328" s="51">
        <v>130</v>
      </c>
      <c r="AV328" s="50"/>
      <c r="AW328" s="51"/>
      <c r="AX328" s="8"/>
      <c r="AZ328" s="1">
        <v>90</v>
      </c>
      <c r="BB328" s="82">
        <f t="shared" si="31"/>
        <v>31.863780000000002</v>
      </c>
    </row>
    <row r="329" spans="3:54" ht="15" customHeight="1" x14ac:dyDescent="0.25">
      <c r="C329" s="42"/>
      <c r="D329" s="43">
        <f>D328</f>
        <v>45743</v>
      </c>
      <c r="E329" s="44">
        <f>E328+2/24</f>
        <v>26.333333333333229</v>
      </c>
      <c r="F329" s="45">
        <f t="shared" si="32"/>
        <v>45743.333333334092</v>
      </c>
      <c r="G329" s="52">
        <v>39</v>
      </c>
      <c r="H329" s="53">
        <v>39</v>
      </c>
      <c r="I329" s="54">
        <v>10.1</v>
      </c>
      <c r="J329" s="54">
        <v>450</v>
      </c>
      <c r="K329" s="55">
        <v>0</v>
      </c>
      <c r="L329" s="56">
        <v>37</v>
      </c>
      <c r="M329" s="54">
        <v>10.3</v>
      </c>
      <c r="N329" s="54">
        <v>450</v>
      </c>
      <c r="O329" s="57">
        <v>0</v>
      </c>
      <c r="P329" s="53">
        <v>37</v>
      </c>
      <c r="Q329" s="54">
        <v>10.4</v>
      </c>
      <c r="R329" s="55">
        <v>0</v>
      </c>
      <c r="S329" s="55">
        <v>0</v>
      </c>
      <c r="T329" s="57">
        <v>17.690000000000001</v>
      </c>
      <c r="U329" s="56">
        <v>36</v>
      </c>
      <c r="V329" s="54">
        <v>10.6</v>
      </c>
      <c r="W329" s="55">
        <v>0</v>
      </c>
      <c r="X329" s="55">
        <v>0</v>
      </c>
      <c r="Y329" s="57">
        <v>10.57</v>
      </c>
      <c r="Z329" s="53">
        <v>36</v>
      </c>
      <c r="AA329" s="54">
        <v>10.8</v>
      </c>
      <c r="AB329" s="55">
        <v>0</v>
      </c>
      <c r="AC329" s="55">
        <v>0</v>
      </c>
      <c r="AD329" s="57">
        <v>9.61</v>
      </c>
      <c r="AE329" s="56">
        <v>35</v>
      </c>
      <c r="AF329" s="54">
        <v>10.8</v>
      </c>
      <c r="AG329" s="55">
        <v>0</v>
      </c>
      <c r="AH329" s="55">
        <v>0</v>
      </c>
      <c r="AI329" s="57">
        <v>13.46</v>
      </c>
      <c r="AJ329" s="56">
        <v>35</v>
      </c>
      <c r="AK329" s="54">
        <v>10.9</v>
      </c>
      <c r="AL329" s="54">
        <v>0</v>
      </c>
      <c r="AM329" s="54">
        <v>0</v>
      </c>
      <c r="AN329" s="57">
        <v>11.53</v>
      </c>
      <c r="AO329" s="53">
        <v>36</v>
      </c>
      <c r="AP329" s="54">
        <v>10.8</v>
      </c>
      <c r="AQ329" s="54">
        <v>180</v>
      </c>
      <c r="AR329" s="54">
        <v>0</v>
      </c>
      <c r="AS329" s="57">
        <v>12.5</v>
      </c>
      <c r="AT329" s="56">
        <v>29</v>
      </c>
      <c r="AU329" s="57">
        <v>140</v>
      </c>
      <c r="AV329" s="56"/>
      <c r="AW329" s="57"/>
      <c r="AX329" s="8"/>
      <c r="AZ329" s="1">
        <v>90</v>
      </c>
      <c r="BB329" s="82">
        <f t="shared" si="31"/>
        <v>33.309119999999993</v>
      </c>
    </row>
    <row r="330" spans="3:54" ht="15" customHeight="1" x14ac:dyDescent="0.25">
      <c r="C330" s="42"/>
      <c r="D330" s="43">
        <f>D328</f>
        <v>45743</v>
      </c>
      <c r="E330" s="44">
        <f t="shared" ref="E330:E339" si="37">E329+2/24</f>
        <v>26.416666666666561</v>
      </c>
      <c r="F330" s="45">
        <f t="shared" si="32"/>
        <v>45743.416666667428</v>
      </c>
      <c r="G330" s="52">
        <v>40</v>
      </c>
      <c r="H330" s="53">
        <v>40</v>
      </c>
      <c r="I330" s="54">
        <v>9.9</v>
      </c>
      <c r="J330" s="54">
        <v>300</v>
      </c>
      <c r="K330" s="55">
        <v>0</v>
      </c>
      <c r="L330" s="56">
        <v>39</v>
      </c>
      <c r="M330" s="54">
        <v>10.1</v>
      </c>
      <c r="N330" s="54">
        <v>400</v>
      </c>
      <c r="O330" s="57">
        <v>0</v>
      </c>
      <c r="P330" s="53">
        <v>39</v>
      </c>
      <c r="Q330" s="54">
        <v>10.3</v>
      </c>
      <c r="R330" s="55">
        <v>0</v>
      </c>
      <c r="S330" s="55">
        <v>0</v>
      </c>
      <c r="T330" s="57">
        <v>17.3</v>
      </c>
      <c r="U330" s="56">
        <v>37</v>
      </c>
      <c r="V330" s="54">
        <v>10.5</v>
      </c>
      <c r="W330" s="55">
        <v>0</v>
      </c>
      <c r="X330" s="55">
        <v>0</v>
      </c>
      <c r="Y330" s="57">
        <v>9.61</v>
      </c>
      <c r="Z330" s="53">
        <v>37</v>
      </c>
      <c r="AA330" s="54">
        <v>10.7</v>
      </c>
      <c r="AB330" s="55">
        <v>0</v>
      </c>
      <c r="AC330" s="55">
        <v>0</v>
      </c>
      <c r="AD330" s="57">
        <v>9.61</v>
      </c>
      <c r="AE330" s="56">
        <v>36</v>
      </c>
      <c r="AF330" s="54">
        <v>10.7</v>
      </c>
      <c r="AG330" s="55">
        <v>0</v>
      </c>
      <c r="AH330" s="55">
        <v>0</v>
      </c>
      <c r="AI330" s="57">
        <v>13.46</v>
      </c>
      <c r="AJ330" s="56">
        <v>36</v>
      </c>
      <c r="AK330" s="54">
        <v>10.7</v>
      </c>
      <c r="AL330" s="54">
        <v>0</v>
      </c>
      <c r="AM330" s="54">
        <v>0</v>
      </c>
      <c r="AN330" s="57">
        <v>10.57</v>
      </c>
      <c r="AO330" s="53">
        <v>36</v>
      </c>
      <c r="AP330" s="54">
        <v>10.7</v>
      </c>
      <c r="AQ330" s="54">
        <v>170</v>
      </c>
      <c r="AR330" s="54">
        <v>0</v>
      </c>
      <c r="AS330" s="57">
        <v>11.53</v>
      </c>
      <c r="AT330" s="56">
        <v>28</v>
      </c>
      <c r="AU330" s="57">
        <v>130</v>
      </c>
      <c r="AV330" s="56"/>
      <c r="AW330" s="57"/>
      <c r="AX330" s="8"/>
      <c r="AZ330" s="1">
        <v>90</v>
      </c>
      <c r="BB330" s="82">
        <f t="shared" si="31"/>
        <v>31.859359999999995</v>
      </c>
    </row>
    <row r="331" spans="3:54" ht="15" customHeight="1" x14ac:dyDescent="0.25">
      <c r="C331" s="42"/>
      <c r="D331" s="43">
        <f>D328</f>
        <v>45743</v>
      </c>
      <c r="E331" s="44">
        <f t="shared" si="37"/>
        <v>26.499999999999893</v>
      </c>
      <c r="F331" s="45">
        <f t="shared" si="32"/>
        <v>45743.500000000764</v>
      </c>
      <c r="G331" s="52">
        <v>42</v>
      </c>
      <c r="H331" s="53">
        <v>40</v>
      </c>
      <c r="I331" s="54">
        <v>10.199999999999999</v>
      </c>
      <c r="J331" s="54">
        <v>350</v>
      </c>
      <c r="K331" s="55">
        <v>0</v>
      </c>
      <c r="L331" s="56">
        <v>40</v>
      </c>
      <c r="M331" s="54">
        <v>10.3</v>
      </c>
      <c r="N331" s="54">
        <v>400</v>
      </c>
      <c r="O331" s="57">
        <v>0</v>
      </c>
      <c r="P331" s="53">
        <v>40</v>
      </c>
      <c r="Q331" s="54">
        <v>10.3</v>
      </c>
      <c r="R331" s="55">
        <v>0</v>
      </c>
      <c r="S331" s="55">
        <v>0</v>
      </c>
      <c r="T331" s="57">
        <v>18.07</v>
      </c>
      <c r="U331" s="56">
        <v>38</v>
      </c>
      <c r="V331" s="54">
        <v>10.5</v>
      </c>
      <c r="W331" s="55">
        <v>0</v>
      </c>
      <c r="X331" s="55">
        <v>0</v>
      </c>
      <c r="Y331" s="57">
        <v>10.38</v>
      </c>
      <c r="Z331" s="53">
        <v>37</v>
      </c>
      <c r="AA331" s="54">
        <v>10.7</v>
      </c>
      <c r="AB331" s="55">
        <v>0</v>
      </c>
      <c r="AC331" s="55">
        <v>0</v>
      </c>
      <c r="AD331" s="57">
        <v>9.42</v>
      </c>
      <c r="AE331" s="56">
        <v>37</v>
      </c>
      <c r="AF331" s="54">
        <v>10.6</v>
      </c>
      <c r="AG331" s="55">
        <v>0</v>
      </c>
      <c r="AH331" s="55">
        <v>0</v>
      </c>
      <c r="AI331" s="57">
        <v>12.5</v>
      </c>
      <c r="AJ331" s="56">
        <v>36</v>
      </c>
      <c r="AK331" s="54">
        <v>10.7</v>
      </c>
      <c r="AL331" s="54">
        <v>0</v>
      </c>
      <c r="AM331" s="54">
        <v>0</v>
      </c>
      <c r="AN331" s="57">
        <v>11.53</v>
      </c>
      <c r="AO331" s="53">
        <v>37</v>
      </c>
      <c r="AP331" s="54">
        <v>10.7</v>
      </c>
      <c r="AQ331" s="54">
        <v>170</v>
      </c>
      <c r="AR331" s="54">
        <v>0</v>
      </c>
      <c r="AS331" s="57">
        <v>12.5</v>
      </c>
      <c r="AT331" s="56">
        <v>30</v>
      </c>
      <c r="AU331" s="57">
        <v>130</v>
      </c>
      <c r="AV331" s="56"/>
      <c r="AW331" s="57"/>
      <c r="AX331" s="8"/>
      <c r="AZ331" s="1">
        <v>90</v>
      </c>
      <c r="BB331" s="82">
        <f t="shared" si="31"/>
        <v>32.884800000000006</v>
      </c>
    </row>
    <row r="332" spans="3:54" ht="15" customHeight="1" x14ac:dyDescent="0.25">
      <c r="C332" s="42"/>
      <c r="D332" s="43">
        <f>D328</f>
        <v>45743</v>
      </c>
      <c r="E332" s="44">
        <f t="shared" si="37"/>
        <v>26.583333333333226</v>
      </c>
      <c r="F332" s="45">
        <f t="shared" si="32"/>
        <v>45743.5833333341</v>
      </c>
      <c r="G332" s="52">
        <v>42</v>
      </c>
      <c r="H332" s="53">
        <v>39</v>
      </c>
      <c r="I332" s="54">
        <v>11.2</v>
      </c>
      <c r="J332" s="54">
        <v>450</v>
      </c>
      <c r="K332" s="55">
        <v>0</v>
      </c>
      <c r="L332" s="56">
        <v>39</v>
      </c>
      <c r="M332" s="54">
        <v>10.9</v>
      </c>
      <c r="N332" s="54">
        <v>450</v>
      </c>
      <c r="O332" s="57">
        <v>0</v>
      </c>
      <c r="P332" s="53">
        <v>39</v>
      </c>
      <c r="Q332" s="54">
        <v>10.4</v>
      </c>
      <c r="R332" s="55">
        <v>0</v>
      </c>
      <c r="S332" s="55">
        <v>0</v>
      </c>
      <c r="T332" s="57">
        <v>18.07</v>
      </c>
      <c r="U332" s="56">
        <v>39</v>
      </c>
      <c r="V332" s="54">
        <v>10.5</v>
      </c>
      <c r="W332" s="55">
        <v>0</v>
      </c>
      <c r="X332" s="55">
        <v>0</v>
      </c>
      <c r="Y332" s="57">
        <v>11.53</v>
      </c>
      <c r="Z332" s="53">
        <v>38</v>
      </c>
      <c r="AA332" s="54">
        <v>10.6</v>
      </c>
      <c r="AB332" s="55">
        <v>0</v>
      </c>
      <c r="AC332" s="55">
        <v>0</v>
      </c>
      <c r="AD332" s="57">
        <v>9.61</v>
      </c>
      <c r="AE332" s="56">
        <v>36</v>
      </c>
      <c r="AF332" s="54">
        <v>10.6</v>
      </c>
      <c r="AG332" s="55">
        <v>0</v>
      </c>
      <c r="AH332" s="55">
        <v>0</v>
      </c>
      <c r="AI332" s="57">
        <v>11.53</v>
      </c>
      <c r="AJ332" s="56">
        <v>36</v>
      </c>
      <c r="AK332" s="54">
        <v>10.6</v>
      </c>
      <c r="AL332" s="54">
        <v>0</v>
      </c>
      <c r="AM332" s="54">
        <v>0</v>
      </c>
      <c r="AN332" s="57">
        <v>11.53</v>
      </c>
      <c r="AO332" s="53">
        <v>36</v>
      </c>
      <c r="AP332" s="54">
        <v>10.6</v>
      </c>
      <c r="AQ332" s="54">
        <v>160</v>
      </c>
      <c r="AR332" s="54">
        <v>0</v>
      </c>
      <c r="AS332" s="57">
        <v>11.53</v>
      </c>
      <c r="AT332" s="56">
        <v>31</v>
      </c>
      <c r="AU332" s="57">
        <v>130</v>
      </c>
      <c r="AV332" s="56"/>
      <c r="AW332" s="57"/>
      <c r="AX332" s="8"/>
      <c r="AZ332" s="1">
        <v>90</v>
      </c>
      <c r="BB332" s="82">
        <f t="shared" si="31"/>
        <v>32.619599999999998</v>
      </c>
    </row>
    <row r="333" spans="3:54" ht="15" customHeight="1" x14ac:dyDescent="0.25">
      <c r="C333" s="42"/>
      <c r="D333" s="43">
        <f>D328</f>
        <v>45743</v>
      </c>
      <c r="E333" s="44">
        <f t="shared" si="37"/>
        <v>26.666666666666558</v>
      </c>
      <c r="F333" s="45">
        <f t="shared" si="32"/>
        <v>45743.666666667435</v>
      </c>
      <c r="G333" s="52">
        <v>40</v>
      </c>
      <c r="H333" s="53">
        <v>39</v>
      </c>
      <c r="I333" s="54">
        <v>10.8</v>
      </c>
      <c r="J333" s="54">
        <v>400</v>
      </c>
      <c r="K333" s="55">
        <v>0</v>
      </c>
      <c r="L333" s="56">
        <v>39</v>
      </c>
      <c r="M333" s="54">
        <v>10.8</v>
      </c>
      <c r="N333" s="54">
        <v>450</v>
      </c>
      <c r="O333" s="57">
        <v>0</v>
      </c>
      <c r="P333" s="53">
        <v>38</v>
      </c>
      <c r="Q333" s="54">
        <v>10.4</v>
      </c>
      <c r="R333" s="55">
        <v>0</v>
      </c>
      <c r="S333" s="55">
        <v>0</v>
      </c>
      <c r="T333" s="57">
        <v>17.3</v>
      </c>
      <c r="U333" s="56">
        <v>37</v>
      </c>
      <c r="V333" s="54">
        <v>10.5</v>
      </c>
      <c r="W333" s="55">
        <v>0</v>
      </c>
      <c r="X333" s="55">
        <v>0</v>
      </c>
      <c r="Y333" s="57">
        <v>10.57</v>
      </c>
      <c r="Z333" s="53">
        <v>38</v>
      </c>
      <c r="AA333" s="54">
        <v>10.6</v>
      </c>
      <c r="AB333" s="55">
        <v>0</v>
      </c>
      <c r="AC333" s="55">
        <v>0</v>
      </c>
      <c r="AD333" s="57">
        <v>9.61</v>
      </c>
      <c r="AE333" s="56">
        <v>37</v>
      </c>
      <c r="AF333" s="54">
        <v>10.5</v>
      </c>
      <c r="AG333" s="55">
        <v>0</v>
      </c>
      <c r="AH333" s="55">
        <v>0</v>
      </c>
      <c r="AI333" s="57">
        <v>13.46</v>
      </c>
      <c r="AJ333" s="56">
        <v>36</v>
      </c>
      <c r="AK333" s="54">
        <v>10.5</v>
      </c>
      <c r="AL333" s="54">
        <v>0</v>
      </c>
      <c r="AM333" s="54">
        <v>0</v>
      </c>
      <c r="AN333" s="57">
        <v>10.57</v>
      </c>
      <c r="AO333" s="53">
        <v>36</v>
      </c>
      <c r="AP333" s="54">
        <v>10.5</v>
      </c>
      <c r="AQ333" s="54">
        <v>170</v>
      </c>
      <c r="AR333" s="54">
        <v>0</v>
      </c>
      <c r="AS333" s="57">
        <v>12.5</v>
      </c>
      <c r="AT333" s="56">
        <v>29</v>
      </c>
      <c r="AU333" s="57">
        <v>140</v>
      </c>
      <c r="AV333" s="56"/>
      <c r="AW333" s="57"/>
      <c r="AX333" s="8"/>
      <c r="AZ333" s="1">
        <v>90</v>
      </c>
      <c r="BB333" s="82">
        <f t="shared" si="31"/>
        <v>32.712420000000002</v>
      </c>
    </row>
    <row r="334" spans="3:54" ht="15" customHeight="1" x14ac:dyDescent="0.25">
      <c r="C334" s="42"/>
      <c r="D334" s="43">
        <f>D328</f>
        <v>45743</v>
      </c>
      <c r="E334" s="44">
        <f t="shared" si="37"/>
        <v>26.74999999999989</v>
      </c>
      <c r="F334" s="45">
        <f t="shared" si="32"/>
        <v>45743.750000000771</v>
      </c>
      <c r="G334" s="52">
        <v>35</v>
      </c>
      <c r="H334" s="53">
        <v>37</v>
      </c>
      <c r="I334" s="54">
        <v>11.1</v>
      </c>
      <c r="J334" s="54">
        <v>350</v>
      </c>
      <c r="K334" s="55">
        <v>0</v>
      </c>
      <c r="L334" s="56">
        <v>38</v>
      </c>
      <c r="M334" s="54">
        <v>10.8</v>
      </c>
      <c r="N334" s="54">
        <v>400</v>
      </c>
      <c r="O334" s="57">
        <v>0</v>
      </c>
      <c r="P334" s="53">
        <v>38</v>
      </c>
      <c r="Q334" s="54">
        <v>10.4</v>
      </c>
      <c r="R334" s="55">
        <v>0</v>
      </c>
      <c r="S334" s="55">
        <v>0</v>
      </c>
      <c r="T334" s="57">
        <v>17.3</v>
      </c>
      <c r="U334" s="56">
        <v>38</v>
      </c>
      <c r="V334" s="54">
        <v>10.5</v>
      </c>
      <c r="W334" s="55">
        <v>0</v>
      </c>
      <c r="X334" s="55">
        <v>0</v>
      </c>
      <c r="Y334" s="57">
        <v>10.57</v>
      </c>
      <c r="Z334" s="53">
        <v>37</v>
      </c>
      <c r="AA334" s="54">
        <v>10.6</v>
      </c>
      <c r="AB334" s="55">
        <v>0</v>
      </c>
      <c r="AC334" s="55">
        <v>0</v>
      </c>
      <c r="AD334" s="57">
        <v>9.42</v>
      </c>
      <c r="AE334" s="56">
        <v>38</v>
      </c>
      <c r="AF334" s="54">
        <v>10.5</v>
      </c>
      <c r="AG334" s="55">
        <v>0</v>
      </c>
      <c r="AH334" s="55">
        <v>0</v>
      </c>
      <c r="AI334" s="57">
        <v>12.5</v>
      </c>
      <c r="AJ334" s="56">
        <v>0</v>
      </c>
      <c r="AK334" s="54">
        <v>37</v>
      </c>
      <c r="AL334" s="54">
        <v>0</v>
      </c>
      <c r="AM334" s="54">
        <v>10.5</v>
      </c>
      <c r="AN334" s="57">
        <v>11.55</v>
      </c>
      <c r="AO334" s="53">
        <v>37</v>
      </c>
      <c r="AP334" s="54">
        <v>10.5</v>
      </c>
      <c r="AQ334" s="54">
        <v>160</v>
      </c>
      <c r="AR334" s="54">
        <v>0</v>
      </c>
      <c r="AS334" s="57">
        <v>12.5</v>
      </c>
      <c r="AT334" s="56">
        <v>28</v>
      </c>
      <c r="AU334" s="57">
        <v>140</v>
      </c>
      <c r="AV334" s="56"/>
      <c r="AW334" s="57"/>
      <c r="AX334" s="8"/>
      <c r="AZ334" s="1">
        <v>90</v>
      </c>
      <c r="BB334" s="82">
        <f t="shared" si="31"/>
        <v>32.637279999999997</v>
      </c>
    </row>
    <row r="335" spans="3:54" ht="15" customHeight="1" x14ac:dyDescent="0.25">
      <c r="C335" s="42"/>
      <c r="D335" s="43">
        <f>D328</f>
        <v>45743</v>
      </c>
      <c r="E335" s="44">
        <f t="shared" si="37"/>
        <v>26.833333333333222</v>
      </c>
      <c r="F335" s="45">
        <f t="shared" si="32"/>
        <v>45743.833333334107</v>
      </c>
      <c r="G335" s="52">
        <v>35</v>
      </c>
      <c r="H335" s="53">
        <v>39</v>
      </c>
      <c r="I335" s="54">
        <v>11</v>
      </c>
      <c r="J335" s="54">
        <v>350</v>
      </c>
      <c r="K335" s="55">
        <v>0</v>
      </c>
      <c r="L335" s="56">
        <v>39</v>
      </c>
      <c r="M335" s="54">
        <v>10.8</v>
      </c>
      <c r="N335" s="54">
        <v>450</v>
      </c>
      <c r="O335" s="57">
        <v>0</v>
      </c>
      <c r="P335" s="53">
        <v>39</v>
      </c>
      <c r="Q335" s="54">
        <v>10.8</v>
      </c>
      <c r="R335" s="55">
        <v>0</v>
      </c>
      <c r="S335" s="55">
        <v>0</v>
      </c>
      <c r="T335" s="57">
        <v>18.260000000000002</v>
      </c>
      <c r="U335" s="56">
        <v>39</v>
      </c>
      <c r="V335" s="54">
        <v>10.8</v>
      </c>
      <c r="W335" s="55">
        <v>0</v>
      </c>
      <c r="X335" s="55">
        <v>0</v>
      </c>
      <c r="Y335" s="57">
        <v>10.57</v>
      </c>
      <c r="Z335" s="53">
        <v>39</v>
      </c>
      <c r="AA335" s="54">
        <v>10.8</v>
      </c>
      <c r="AB335" s="55">
        <v>0</v>
      </c>
      <c r="AC335" s="55">
        <v>0</v>
      </c>
      <c r="AD335" s="57">
        <v>9.61</v>
      </c>
      <c r="AE335" s="56">
        <v>37</v>
      </c>
      <c r="AF335" s="54">
        <v>10.6</v>
      </c>
      <c r="AG335" s="55">
        <v>0</v>
      </c>
      <c r="AH335" s="55">
        <v>0</v>
      </c>
      <c r="AI335" s="57">
        <v>13.36</v>
      </c>
      <c r="AJ335" s="56">
        <v>37</v>
      </c>
      <c r="AK335" s="54">
        <v>10.6</v>
      </c>
      <c r="AL335" s="54">
        <v>0</v>
      </c>
      <c r="AM335" s="54">
        <v>0</v>
      </c>
      <c r="AN335" s="57">
        <v>12.5</v>
      </c>
      <c r="AO335" s="53">
        <v>37</v>
      </c>
      <c r="AP335" s="54">
        <v>10.6</v>
      </c>
      <c r="AQ335" s="54">
        <v>200</v>
      </c>
      <c r="AR335" s="54">
        <v>0</v>
      </c>
      <c r="AS335" s="57">
        <v>13.84</v>
      </c>
      <c r="AT335" s="56">
        <v>30</v>
      </c>
      <c r="AU335" s="57">
        <v>130</v>
      </c>
      <c r="AV335" s="56"/>
      <c r="AW335" s="57"/>
      <c r="AX335" s="8"/>
      <c r="AZ335" s="1">
        <v>90</v>
      </c>
      <c r="BB335" s="82">
        <f t="shared" si="31"/>
        <v>34.537879999999994</v>
      </c>
    </row>
    <row r="336" spans="3:54" ht="15" customHeight="1" x14ac:dyDescent="0.25">
      <c r="C336" s="42"/>
      <c r="D336" s="43">
        <f>D328</f>
        <v>45743</v>
      </c>
      <c r="E336" s="44">
        <f t="shared" si="37"/>
        <v>26.916666666666554</v>
      </c>
      <c r="F336" s="45">
        <f t="shared" si="32"/>
        <v>45743.916666667443</v>
      </c>
      <c r="G336" s="52">
        <v>38</v>
      </c>
      <c r="H336" s="53">
        <v>38</v>
      </c>
      <c r="I336" s="54">
        <v>11</v>
      </c>
      <c r="J336" s="54">
        <v>350</v>
      </c>
      <c r="K336" s="55">
        <v>0</v>
      </c>
      <c r="L336" s="56">
        <v>39</v>
      </c>
      <c r="M336" s="54">
        <v>10.9</v>
      </c>
      <c r="N336" s="54">
        <v>400</v>
      </c>
      <c r="O336" s="57">
        <v>0</v>
      </c>
      <c r="P336" s="53">
        <v>39</v>
      </c>
      <c r="Q336" s="54">
        <v>11.2</v>
      </c>
      <c r="R336" s="55">
        <v>0</v>
      </c>
      <c r="S336" s="55">
        <v>0</v>
      </c>
      <c r="T336" s="57">
        <v>17.690000000000001</v>
      </c>
      <c r="U336" s="56">
        <v>39</v>
      </c>
      <c r="V336" s="54">
        <v>10.9</v>
      </c>
      <c r="W336" s="55">
        <v>0</v>
      </c>
      <c r="X336" s="55">
        <v>0</v>
      </c>
      <c r="Y336" s="57">
        <v>10.19</v>
      </c>
      <c r="Z336" s="53">
        <v>40</v>
      </c>
      <c r="AA336" s="54">
        <v>10.8</v>
      </c>
      <c r="AB336" s="55">
        <v>0</v>
      </c>
      <c r="AC336" s="55">
        <v>0</v>
      </c>
      <c r="AD336" s="57">
        <v>10</v>
      </c>
      <c r="AE336" s="56">
        <v>37</v>
      </c>
      <c r="AF336" s="54">
        <v>10.7</v>
      </c>
      <c r="AG336" s="55">
        <v>0</v>
      </c>
      <c r="AH336" s="55">
        <v>0</v>
      </c>
      <c r="AI336" s="57">
        <v>13.65</v>
      </c>
      <c r="AJ336" s="56">
        <v>37</v>
      </c>
      <c r="AK336" s="54">
        <v>10.6</v>
      </c>
      <c r="AL336" s="54">
        <v>0</v>
      </c>
      <c r="AM336" s="54">
        <v>0</v>
      </c>
      <c r="AN336" s="57">
        <v>12.69</v>
      </c>
      <c r="AO336" s="53">
        <v>36</v>
      </c>
      <c r="AP336" s="54">
        <v>10.5</v>
      </c>
      <c r="AQ336" s="54">
        <v>170</v>
      </c>
      <c r="AR336" s="54">
        <v>0</v>
      </c>
      <c r="AS336" s="57">
        <v>14.03</v>
      </c>
      <c r="AT336" s="56">
        <v>28</v>
      </c>
      <c r="AU336" s="57">
        <v>130</v>
      </c>
      <c r="AV336" s="56"/>
      <c r="AW336" s="57"/>
      <c r="AX336" s="8"/>
      <c r="AZ336" s="1">
        <v>90</v>
      </c>
      <c r="BB336" s="82">
        <f t="shared" si="31"/>
        <v>34.586500000000001</v>
      </c>
    </row>
    <row r="337" spans="3:54" ht="15" customHeight="1" x14ac:dyDescent="0.25">
      <c r="C337" s="42"/>
      <c r="D337" s="43">
        <f>D328</f>
        <v>45743</v>
      </c>
      <c r="E337" s="44">
        <f t="shared" si="37"/>
        <v>26.999999999999886</v>
      </c>
      <c r="F337" s="45">
        <f t="shared" si="32"/>
        <v>45744.000000000779</v>
      </c>
      <c r="G337" s="52">
        <v>39</v>
      </c>
      <c r="H337" s="53">
        <v>38</v>
      </c>
      <c r="I337" s="54">
        <v>10.7</v>
      </c>
      <c r="J337" s="54">
        <v>350</v>
      </c>
      <c r="K337" s="55">
        <v>0</v>
      </c>
      <c r="L337" s="56">
        <v>39</v>
      </c>
      <c r="M337" s="54">
        <v>10.8</v>
      </c>
      <c r="N337" s="54">
        <v>400</v>
      </c>
      <c r="O337" s="57">
        <v>0</v>
      </c>
      <c r="P337" s="53">
        <v>39</v>
      </c>
      <c r="Q337" s="54">
        <v>10.8</v>
      </c>
      <c r="R337" s="55">
        <v>0</v>
      </c>
      <c r="S337" s="55">
        <v>0</v>
      </c>
      <c r="T337" s="57">
        <v>17.3</v>
      </c>
      <c r="U337" s="56">
        <v>39</v>
      </c>
      <c r="V337" s="54">
        <v>10.8</v>
      </c>
      <c r="W337" s="55">
        <v>0</v>
      </c>
      <c r="X337" s="55">
        <v>0</v>
      </c>
      <c r="Y337" s="57">
        <v>10.19</v>
      </c>
      <c r="Z337" s="53">
        <v>39</v>
      </c>
      <c r="AA337" s="54">
        <v>10.8</v>
      </c>
      <c r="AB337" s="55">
        <v>0</v>
      </c>
      <c r="AC337" s="55">
        <v>0</v>
      </c>
      <c r="AD337" s="57">
        <v>9.61</v>
      </c>
      <c r="AE337" s="56">
        <v>38</v>
      </c>
      <c r="AF337" s="54">
        <v>10.6</v>
      </c>
      <c r="AG337" s="55">
        <v>0</v>
      </c>
      <c r="AH337" s="55">
        <v>0</v>
      </c>
      <c r="AI337" s="57">
        <v>13.26</v>
      </c>
      <c r="AJ337" s="56">
        <v>38</v>
      </c>
      <c r="AK337" s="54">
        <v>10.6</v>
      </c>
      <c r="AL337" s="54">
        <v>0</v>
      </c>
      <c r="AM337" s="54">
        <v>0</v>
      </c>
      <c r="AN337" s="57">
        <v>12.88</v>
      </c>
      <c r="AO337" s="53">
        <v>37</v>
      </c>
      <c r="AP337" s="54">
        <v>10.6</v>
      </c>
      <c r="AQ337" s="54">
        <v>180</v>
      </c>
      <c r="AR337" s="54">
        <v>0</v>
      </c>
      <c r="AS337" s="57">
        <v>13.65</v>
      </c>
      <c r="AT337" s="56">
        <v>29</v>
      </c>
      <c r="AU337" s="57">
        <v>160</v>
      </c>
      <c r="AV337" s="56"/>
      <c r="AW337" s="57"/>
      <c r="AX337" s="8"/>
      <c r="AZ337" s="1">
        <v>90</v>
      </c>
      <c r="BB337" s="82">
        <f t="shared" ref="BB337:BB387" si="38">((T337*442)+(Y337*442)+(AD337*442)+(AI337*442)+(AN337*442)+(AS337*442))/1000</f>
        <v>33.985380000000006</v>
      </c>
    </row>
    <row r="338" spans="3:54" ht="15" customHeight="1" x14ac:dyDescent="0.25">
      <c r="C338" s="42"/>
      <c r="D338" s="43">
        <f>D328</f>
        <v>45743</v>
      </c>
      <c r="E338" s="44">
        <f t="shared" si="37"/>
        <v>27.083333333333218</v>
      </c>
      <c r="F338" s="45">
        <f t="shared" ref="F338:F387" si="39">F337+(E338-E337)</f>
        <v>45744.083333334114</v>
      </c>
      <c r="G338" s="52">
        <v>41</v>
      </c>
      <c r="H338" s="53">
        <v>38</v>
      </c>
      <c r="I338" s="54">
        <v>10.3</v>
      </c>
      <c r="J338" s="54">
        <v>300</v>
      </c>
      <c r="K338" s="55">
        <v>0</v>
      </c>
      <c r="L338" s="56">
        <v>39</v>
      </c>
      <c r="M338" s="54">
        <v>10.7</v>
      </c>
      <c r="N338" s="54">
        <v>400</v>
      </c>
      <c r="O338" s="57">
        <v>0</v>
      </c>
      <c r="P338" s="53">
        <v>39</v>
      </c>
      <c r="Q338" s="54">
        <v>10.7</v>
      </c>
      <c r="R338" s="55">
        <v>0</v>
      </c>
      <c r="S338" s="55">
        <v>0</v>
      </c>
      <c r="T338" s="57">
        <v>16.920000000000002</v>
      </c>
      <c r="U338" s="56">
        <v>39</v>
      </c>
      <c r="V338" s="54">
        <v>10.8</v>
      </c>
      <c r="W338" s="55">
        <v>0</v>
      </c>
      <c r="X338" s="55">
        <v>0</v>
      </c>
      <c r="Y338" s="57">
        <v>10.57</v>
      </c>
      <c r="Z338" s="53">
        <v>40</v>
      </c>
      <c r="AA338" s="54">
        <v>10.8</v>
      </c>
      <c r="AB338" s="55">
        <v>0</v>
      </c>
      <c r="AC338" s="55">
        <v>0</v>
      </c>
      <c r="AD338" s="57">
        <v>9.61</v>
      </c>
      <c r="AE338" s="56">
        <v>38</v>
      </c>
      <c r="AF338" s="54">
        <v>10.6</v>
      </c>
      <c r="AG338" s="55">
        <v>0</v>
      </c>
      <c r="AH338" s="55">
        <v>0</v>
      </c>
      <c r="AI338" s="57">
        <v>13.84</v>
      </c>
      <c r="AJ338" s="56">
        <v>38</v>
      </c>
      <c r="AK338" s="54">
        <v>10.5</v>
      </c>
      <c r="AL338" s="54">
        <v>0</v>
      </c>
      <c r="AM338" s="54">
        <v>0</v>
      </c>
      <c r="AN338" s="57">
        <v>12.11</v>
      </c>
      <c r="AO338" s="53">
        <v>37</v>
      </c>
      <c r="AP338" s="54">
        <v>10.5</v>
      </c>
      <c r="AQ338" s="54">
        <v>160</v>
      </c>
      <c r="AR338" s="54">
        <v>0</v>
      </c>
      <c r="AS338" s="57">
        <v>13.07</v>
      </c>
      <c r="AT338" s="56">
        <v>29</v>
      </c>
      <c r="AU338" s="57">
        <v>130</v>
      </c>
      <c r="AV338" s="56"/>
      <c r="AW338" s="57"/>
      <c r="AX338" s="8"/>
      <c r="AZ338" s="1">
        <v>90</v>
      </c>
      <c r="BB338" s="82">
        <f t="shared" si="38"/>
        <v>33.645040000000002</v>
      </c>
    </row>
    <row r="339" spans="3:54" ht="15" customHeight="1" x14ac:dyDescent="0.25">
      <c r="C339" s="42"/>
      <c r="D339" s="69">
        <f>D328</f>
        <v>45743</v>
      </c>
      <c r="E339" s="70">
        <f t="shared" si="37"/>
        <v>27.166666666666551</v>
      </c>
      <c r="F339" s="71">
        <f t="shared" si="39"/>
        <v>45744.16666666745</v>
      </c>
      <c r="G339" s="60">
        <v>42</v>
      </c>
      <c r="H339" s="61">
        <v>39</v>
      </c>
      <c r="I339" s="62">
        <v>10.4</v>
      </c>
      <c r="J339" s="62">
        <v>350</v>
      </c>
      <c r="K339" s="63">
        <v>0</v>
      </c>
      <c r="L339" s="64">
        <v>39</v>
      </c>
      <c r="M339" s="62">
        <v>0</v>
      </c>
      <c r="N339" s="62">
        <v>350</v>
      </c>
      <c r="O339" s="65">
        <v>0</v>
      </c>
      <c r="P339" s="61">
        <v>38</v>
      </c>
      <c r="Q339" s="62">
        <v>10.8</v>
      </c>
      <c r="R339" s="63">
        <v>0</v>
      </c>
      <c r="S339" s="63">
        <v>0</v>
      </c>
      <c r="T339" s="65">
        <v>16.34</v>
      </c>
      <c r="U339" s="64">
        <v>39</v>
      </c>
      <c r="V339" s="62">
        <v>10.8</v>
      </c>
      <c r="W339" s="63">
        <v>0</v>
      </c>
      <c r="X339" s="63">
        <v>0</v>
      </c>
      <c r="Y339" s="65">
        <v>10.57</v>
      </c>
      <c r="Z339" s="61">
        <v>39</v>
      </c>
      <c r="AA339" s="62">
        <v>10.6</v>
      </c>
      <c r="AB339" s="63">
        <v>0</v>
      </c>
      <c r="AC339" s="63">
        <v>0</v>
      </c>
      <c r="AD339" s="65">
        <v>9.61</v>
      </c>
      <c r="AE339" s="64">
        <v>38</v>
      </c>
      <c r="AF339" s="62">
        <v>10.6</v>
      </c>
      <c r="AG339" s="63">
        <v>0</v>
      </c>
      <c r="AH339" s="63">
        <v>0</v>
      </c>
      <c r="AI339" s="65" t="s">
        <v>45</v>
      </c>
      <c r="AJ339" s="64">
        <v>38</v>
      </c>
      <c r="AK339" s="62">
        <v>10.6</v>
      </c>
      <c r="AL339" s="62">
        <v>0</v>
      </c>
      <c r="AM339" s="62">
        <v>0</v>
      </c>
      <c r="AN339" s="65">
        <v>11.53</v>
      </c>
      <c r="AO339" s="61">
        <v>38</v>
      </c>
      <c r="AP339" s="62">
        <v>10.5</v>
      </c>
      <c r="AQ339" s="62">
        <v>180</v>
      </c>
      <c r="AR339" s="62">
        <v>0</v>
      </c>
      <c r="AS339" s="65">
        <v>12.5</v>
      </c>
      <c r="AT339" s="64">
        <v>31</v>
      </c>
      <c r="AU339" s="65">
        <v>150</v>
      </c>
      <c r="AV339" s="64"/>
      <c r="AW339" s="65"/>
      <c r="AX339" s="8"/>
      <c r="AZ339" s="1">
        <v>90</v>
      </c>
      <c r="BB339" s="82" t="e">
        <f t="shared" si="38"/>
        <v>#VALUE!</v>
      </c>
    </row>
    <row r="340" spans="3:54" ht="15" customHeight="1" x14ac:dyDescent="0.25">
      <c r="C340" s="42">
        <f>C328+1</f>
        <v>28</v>
      </c>
      <c r="D340" s="66">
        <f>DATE([3]Dash!$F$3,VLOOKUP([3]Dash!$E$3,[3]Abb!$C$3:$D$14,2,FALSE),C340)</f>
        <v>45744</v>
      </c>
      <c r="E340" s="67">
        <f>E339+2/24</f>
        <v>27.249999999999883</v>
      </c>
      <c r="F340" s="68">
        <f t="shared" si="39"/>
        <v>45744.250000000786</v>
      </c>
      <c r="G340" s="46">
        <v>42</v>
      </c>
      <c r="H340" s="47">
        <v>39</v>
      </c>
      <c r="I340" s="48">
        <v>10.1</v>
      </c>
      <c r="J340" s="48">
        <v>350</v>
      </c>
      <c r="K340" s="49">
        <v>0</v>
      </c>
      <c r="L340" s="50">
        <v>38</v>
      </c>
      <c r="M340" s="48">
        <v>10.6</v>
      </c>
      <c r="N340" s="48">
        <v>350</v>
      </c>
      <c r="O340" s="51">
        <v>0</v>
      </c>
      <c r="P340" s="47">
        <v>38</v>
      </c>
      <c r="Q340" s="48">
        <v>10.8</v>
      </c>
      <c r="R340" s="49">
        <v>0</v>
      </c>
      <c r="S340" s="49">
        <v>0</v>
      </c>
      <c r="T340" s="51">
        <v>17.3</v>
      </c>
      <c r="U340" s="50">
        <v>39</v>
      </c>
      <c r="V340" s="48">
        <v>10.8</v>
      </c>
      <c r="W340" s="49">
        <v>0</v>
      </c>
      <c r="X340" s="49">
        <v>0</v>
      </c>
      <c r="Y340" s="51">
        <v>10.57</v>
      </c>
      <c r="Z340" s="47">
        <v>39</v>
      </c>
      <c r="AA340" s="48">
        <v>10.6</v>
      </c>
      <c r="AB340" s="49">
        <v>0</v>
      </c>
      <c r="AC340" s="49">
        <v>0</v>
      </c>
      <c r="AD340" s="51">
        <v>9.61</v>
      </c>
      <c r="AE340" s="50">
        <v>38</v>
      </c>
      <c r="AF340" s="48">
        <v>10.6</v>
      </c>
      <c r="AG340" s="49">
        <v>0</v>
      </c>
      <c r="AH340" s="49">
        <v>0</v>
      </c>
      <c r="AI340" s="51">
        <v>14.42</v>
      </c>
      <c r="AJ340" s="50">
        <v>38</v>
      </c>
      <c r="AK340" s="48">
        <v>10.6</v>
      </c>
      <c r="AL340" s="48">
        <v>0</v>
      </c>
      <c r="AM340" s="48">
        <v>0</v>
      </c>
      <c r="AN340" s="51">
        <v>11.53</v>
      </c>
      <c r="AO340" s="47">
        <v>37</v>
      </c>
      <c r="AP340" s="48">
        <v>10.5</v>
      </c>
      <c r="AQ340" s="48">
        <v>180</v>
      </c>
      <c r="AR340" s="48">
        <v>0</v>
      </c>
      <c r="AS340" s="51">
        <v>13.65</v>
      </c>
      <c r="AT340" s="50">
        <v>30</v>
      </c>
      <c r="AU340" s="51">
        <v>160</v>
      </c>
      <c r="AV340" s="50"/>
      <c r="AW340" s="51"/>
      <c r="AX340" s="8"/>
      <c r="AZ340" s="1">
        <v>90</v>
      </c>
      <c r="BB340" s="82">
        <f t="shared" si="38"/>
        <v>34.069360000000003</v>
      </c>
    </row>
    <row r="341" spans="3:54" ht="15" customHeight="1" x14ac:dyDescent="0.25">
      <c r="C341" s="42"/>
      <c r="D341" s="43">
        <f>D340</f>
        <v>45744</v>
      </c>
      <c r="E341" s="44">
        <f>E340+2/24</f>
        <v>27.333333333333215</v>
      </c>
      <c r="F341" s="45">
        <f t="shared" si="39"/>
        <v>45744.333333334122</v>
      </c>
      <c r="G341" s="52">
        <v>36</v>
      </c>
      <c r="H341" s="53">
        <v>39</v>
      </c>
      <c r="I341" s="54">
        <v>9.6</v>
      </c>
      <c r="J341" s="54">
        <v>300</v>
      </c>
      <c r="K341" s="55">
        <v>0</v>
      </c>
      <c r="L341" s="56">
        <v>38</v>
      </c>
      <c r="M341" s="54">
        <v>9.9</v>
      </c>
      <c r="N341" s="54">
        <v>350</v>
      </c>
      <c r="O341" s="57">
        <v>0</v>
      </c>
      <c r="P341" s="53">
        <v>38</v>
      </c>
      <c r="Q341" s="54">
        <v>10.1</v>
      </c>
      <c r="R341" s="55">
        <v>0</v>
      </c>
      <c r="S341" s="55">
        <v>0</v>
      </c>
      <c r="T341" s="57">
        <v>16.73</v>
      </c>
      <c r="U341" s="56">
        <v>38</v>
      </c>
      <c r="V341" s="54">
        <v>10.6</v>
      </c>
      <c r="W341" s="55">
        <v>0</v>
      </c>
      <c r="X341" s="55">
        <v>0</v>
      </c>
      <c r="Y341" s="57">
        <v>10.57</v>
      </c>
      <c r="Z341" s="53">
        <v>38</v>
      </c>
      <c r="AA341" s="54">
        <v>10.5</v>
      </c>
      <c r="AB341" s="55">
        <v>0</v>
      </c>
      <c r="AC341" s="55">
        <v>0</v>
      </c>
      <c r="AD341" s="57">
        <v>10.57</v>
      </c>
      <c r="AE341" s="56">
        <v>37</v>
      </c>
      <c r="AF341" s="54">
        <v>10.8</v>
      </c>
      <c r="AG341" s="55">
        <v>0</v>
      </c>
      <c r="AH341" s="55">
        <v>0</v>
      </c>
      <c r="AI341" s="57">
        <v>13.46</v>
      </c>
      <c r="AJ341" s="56">
        <v>37</v>
      </c>
      <c r="AK341" s="54">
        <v>10.6</v>
      </c>
      <c r="AL341" s="54">
        <v>0</v>
      </c>
      <c r="AM341" s="54">
        <v>0</v>
      </c>
      <c r="AN341" s="57">
        <v>11.53</v>
      </c>
      <c r="AO341" s="53">
        <v>36</v>
      </c>
      <c r="AP341" s="54">
        <v>9.8000000000000007</v>
      </c>
      <c r="AQ341" s="54">
        <v>170</v>
      </c>
      <c r="AR341" s="54">
        <v>0</v>
      </c>
      <c r="AS341" s="57">
        <v>10.57</v>
      </c>
      <c r="AT341" s="56">
        <v>28</v>
      </c>
      <c r="AU341" s="57">
        <v>160</v>
      </c>
      <c r="AV341" s="56"/>
      <c r="AW341" s="57"/>
      <c r="AX341" s="8"/>
      <c r="AZ341" s="1">
        <v>90</v>
      </c>
      <c r="BB341" s="82">
        <f t="shared" si="38"/>
        <v>32.456060000000001</v>
      </c>
    </row>
    <row r="342" spans="3:54" ht="15" customHeight="1" x14ac:dyDescent="0.25">
      <c r="C342" s="42"/>
      <c r="D342" s="43">
        <f>D340</f>
        <v>45744</v>
      </c>
      <c r="E342" s="44">
        <f t="shared" ref="E342:E351" si="40">E341+2/24</f>
        <v>27.416666666666547</v>
      </c>
      <c r="F342" s="45">
        <f t="shared" si="39"/>
        <v>45744.416666667457</v>
      </c>
      <c r="G342" s="52">
        <v>42</v>
      </c>
      <c r="H342" s="53">
        <v>40</v>
      </c>
      <c r="I342" s="54">
        <v>10.8</v>
      </c>
      <c r="J342" s="54">
        <v>300</v>
      </c>
      <c r="K342" s="55">
        <v>0</v>
      </c>
      <c r="L342" s="56">
        <v>40</v>
      </c>
      <c r="M342" s="54">
        <v>10.3</v>
      </c>
      <c r="N342" s="54">
        <v>350</v>
      </c>
      <c r="O342" s="57">
        <v>0</v>
      </c>
      <c r="P342" s="53">
        <v>39</v>
      </c>
      <c r="Q342" s="54">
        <v>10.199999999999999</v>
      </c>
      <c r="R342" s="55">
        <v>0</v>
      </c>
      <c r="S342" s="55">
        <v>0</v>
      </c>
      <c r="T342" s="57">
        <v>16.73</v>
      </c>
      <c r="U342" s="56">
        <v>39</v>
      </c>
      <c r="V342" s="54">
        <v>10.6</v>
      </c>
      <c r="W342" s="55">
        <v>0</v>
      </c>
      <c r="X342" s="55">
        <v>0</v>
      </c>
      <c r="Y342" s="57">
        <v>10.57</v>
      </c>
      <c r="Z342" s="53">
        <v>38</v>
      </c>
      <c r="AA342" s="54">
        <v>10.6</v>
      </c>
      <c r="AB342" s="55">
        <v>0</v>
      </c>
      <c r="AC342" s="55">
        <v>0</v>
      </c>
      <c r="AD342" s="57">
        <v>10.57</v>
      </c>
      <c r="AE342" s="56">
        <v>37</v>
      </c>
      <c r="AF342" s="54">
        <v>10.7</v>
      </c>
      <c r="AG342" s="55">
        <v>0</v>
      </c>
      <c r="AH342" s="55">
        <v>0</v>
      </c>
      <c r="AI342" s="57">
        <v>13.46</v>
      </c>
      <c r="AJ342" s="56">
        <v>37</v>
      </c>
      <c r="AK342" s="54">
        <v>10.7</v>
      </c>
      <c r="AL342" s="54">
        <v>0</v>
      </c>
      <c r="AM342" s="54">
        <v>0</v>
      </c>
      <c r="AN342" s="57">
        <v>11.53</v>
      </c>
      <c r="AO342" s="53">
        <v>37</v>
      </c>
      <c r="AP342" s="54">
        <v>10</v>
      </c>
      <c r="AQ342" s="54">
        <v>160</v>
      </c>
      <c r="AR342" s="54">
        <v>0</v>
      </c>
      <c r="AS342" s="57">
        <v>10.57</v>
      </c>
      <c r="AT342" s="56">
        <v>30</v>
      </c>
      <c r="AU342" s="57">
        <v>140</v>
      </c>
      <c r="AV342" s="56"/>
      <c r="AW342" s="57"/>
      <c r="AX342" s="8"/>
      <c r="AZ342" s="1">
        <v>90</v>
      </c>
      <c r="BB342" s="82">
        <f t="shared" si="38"/>
        <v>32.456060000000001</v>
      </c>
    </row>
    <row r="343" spans="3:54" ht="15" customHeight="1" x14ac:dyDescent="0.25">
      <c r="C343" s="42"/>
      <c r="D343" s="43">
        <f>D340</f>
        <v>45744</v>
      </c>
      <c r="E343" s="44">
        <f t="shared" si="40"/>
        <v>27.499999999999879</v>
      </c>
      <c r="F343" s="45">
        <f t="shared" si="39"/>
        <v>45744.500000000793</v>
      </c>
      <c r="G343" s="52">
        <v>37</v>
      </c>
      <c r="H343" s="53">
        <v>39</v>
      </c>
      <c r="I343" s="54">
        <v>10.7</v>
      </c>
      <c r="J343" s="54">
        <v>350</v>
      </c>
      <c r="K343" s="55">
        <v>0</v>
      </c>
      <c r="L343" s="56">
        <v>39</v>
      </c>
      <c r="M343" s="54">
        <v>10.4</v>
      </c>
      <c r="N343" s="54">
        <v>350</v>
      </c>
      <c r="O343" s="57">
        <v>0</v>
      </c>
      <c r="P343" s="53">
        <v>38</v>
      </c>
      <c r="Q343" s="54">
        <v>10.3</v>
      </c>
      <c r="R343" s="55">
        <v>0</v>
      </c>
      <c r="S343" s="55">
        <v>0</v>
      </c>
      <c r="T343" s="57">
        <v>16.34</v>
      </c>
      <c r="U343" s="56">
        <v>38</v>
      </c>
      <c r="V343" s="54">
        <v>10.5</v>
      </c>
      <c r="W343" s="55">
        <v>0</v>
      </c>
      <c r="X343" s="55">
        <v>0</v>
      </c>
      <c r="Y343" s="57">
        <v>10.96</v>
      </c>
      <c r="Z343" s="53">
        <v>39</v>
      </c>
      <c r="AA343" s="54">
        <v>10.6</v>
      </c>
      <c r="AB343" s="55">
        <v>0</v>
      </c>
      <c r="AC343" s="55">
        <v>0</v>
      </c>
      <c r="AD343" s="57">
        <v>10.96</v>
      </c>
      <c r="AE343" s="56">
        <v>38</v>
      </c>
      <c r="AF343" s="54">
        <v>10.7</v>
      </c>
      <c r="AG343" s="55">
        <v>0</v>
      </c>
      <c r="AH343" s="55">
        <v>0</v>
      </c>
      <c r="AI343" s="57">
        <v>13.84</v>
      </c>
      <c r="AJ343" s="56">
        <v>38</v>
      </c>
      <c r="AK343" s="54">
        <v>10.7</v>
      </c>
      <c r="AL343" s="54">
        <v>0</v>
      </c>
      <c r="AM343" s="54">
        <v>0</v>
      </c>
      <c r="AN343" s="57">
        <v>11.92</v>
      </c>
      <c r="AO343" s="53">
        <v>37</v>
      </c>
      <c r="AP343" s="54">
        <v>10.6</v>
      </c>
      <c r="AQ343" s="54">
        <v>160</v>
      </c>
      <c r="AR343" s="54">
        <v>0</v>
      </c>
      <c r="AS343" s="57">
        <v>10</v>
      </c>
      <c r="AT343" s="56">
        <v>29</v>
      </c>
      <c r="AU343" s="57">
        <v>150</v>
      </c>
      <c r="AV343" s="56"/>
      <c r="AW343" s="57"/>
      <c r="AX343" s="8"/>
      <c r="AZ343" s="1">
        <v>90</v>
      </c>
      <c r="BB343" s="82">
        <f t="shared" si="38"/>
        <v>32.716839999999998</v>
      </c>
    </row>
    <row r="344" spans="3:54" ht="15" customHeight="1" x14ac:dyDescent="0.25">
      <c r="C344" s="42"/>
      <c r="D344" s="43">
        <f>D340</f>
        <v>45744</v>
      </c>
      <c r="E344" s="44">
        <f t="shared" si="40"/>
        <v>27.583333333333211</v>
      </c>
      <c r="F344" s="45">
        <f t="shared" si="39"/>
        <v>45744.583333334129</v>
      </c>
      <c r="G344" s="52">
        <v>36</v>
      </c>
      <c r="H344" s="53">
        <v>39</v>
      </c>
      <c r="I344" s="54">
        <v>10.6</v>
      </c>
      <c r="J344" s="54">
        <v>400</v>
      </c>
      <c r="K344" s="55">
        <v>0</v>
      </c>
      <c r="L344" s="56">
        <v>37</v>
      </c>
      <c r="M344" s="54">
        <v>10.3</v>
      </c>
      <c r="N344" s="54">
        <v>350</v>
      </c>
      <c r="O344" s="57">
        <v>0</v>
      </c>
      <c r="P344" s="53">
        <v>38</v>
      </c>
      <c r="Q344" s="54">
        <v>10.199999999999999</v>
      </c>
      <c r="R344" s="55">
        <v>0</v>
      </c>
      <c r="S344" s="55">
        <v>0</v>
      </c>
      <c r="T344" s="57">
        <v>16.34</v>
      </c>
      <c r="U344" s="56">
        <v>38</v>
      </c>
      <c r="V344" s="54">
        <v>10.4</v>
      </c>
      <c r="W344" s="55">
        <v>0</v>
      </c>
      <c r="X344" s="55">
        <v>0</v>
      </c>
      <c r="Y344" s="57">
        <v>10.96</v>
      </c>
      <c r="Z344" s="53">
        <v>37</v>
      </c>
      <c r="AA344" s="54">
        <v>10.5</v>
      </c>
      <c r="AB344" s="55">
        <v>0</v>
      </c>
      <c r="AC344" s="55">
        <v>0</v>
      </c>
      <c r="AD344" s="57">
        <v>10.96</v>
      </c>
      <c r="AE344" s="56">
        <v>37</v>
      </c>
      <c r="AF344" s="54">
        <v>10.6</v>
      </c>
      <c r="AG344" s="55">
        <v>0</v>
      </c>
      <c r="AH344" s="55">
        <v>0</v>
      </c>
      <c r="AI344" s="57">
        <v>13.84</v>
      </c>
      <c r="AJ344" s="56">
        <v>37</v>
      </c>
      <c r="AK344" s="54">
        <v>10.7</v>
      </c>
      <c r="AL344" s="54">
        <v>0</v>
      </c>
      <c r="AM344" s="54">
        <v>0</v>
      </c>
      <c r="AN344" s="57">
        <v>11.92</v>
      </c>
      <c r="AO344" s="53">
        <v>37</v>
      </c>
      <c r="AP344" s="54">
        <v>10.7</v>
      </c>
      <c r="AQ344" s="54">
        <v>150</v>
      </c>
      <c r="AR344" s="54">
        <v>0</v>
      </c>
      <c r="AS344" s="57">
        <v>10.57</v>
      </c>
      <c r="AT344" s="56">
        <v>30</v>
      </c>
      <c r="AU344" s="57">
        <v>120</v>
      </c>
      <c r="AV344" s="56"/>
      <c r="AW344" s="57"/>
      <c r="AX344" s="8"/>
      <c r="AZ344" s="1">
        <v>90</v>
      </c>
      <c r="BB344" s="82">
        <f t="shared" si="38"/>
        <v>32.968779999999995</v>
      </c>
    </row>
    <row r="345" spans="3:54" ht="15" customHeight="1" x14ac:dyDescent="0.25">
      <c r="C345" s="42"/>
      <c r="D345" s="43">
        <f>D340</f>
        <v>45744</v>
      </c>
      <c r="E345" s="44">
        <f t="shared" si="40"/>
        <v>27.666666666666544</v>
      </c>
      <c r="F345" s="45">
        <f t="shared" si="39"/>
        <v>45744.666666667465</v>
      </c>
      <c r="G345" s="52">
        <v>37</v>
      </c>
      <c r="H345" s="53">
        <v>37</v>
      </c>
      <c r="I345" s="54">
        <v>10.8</v>
      </c>
      <c r="J345" s="54">
        <v>400</v>
      </c>
      <c r="K345" s="55">
        <v>0</v>
      </c>
      <c r="L345" s="56">
        <v>36</v>
      </c>
      <c r="M345" s="54">
        <v>10.4</v>
      </c>
      <c r="N345" s="54">
        <v>350</v>
      </c>
      <c r="O345" s="57">
        <v>0</v>
      </c>
      <c r="P345" s="53">
        <v>37</v>
      </c>
      <c r="Q345" s="54">
        <v>10.3</v>
      </c>
      <c r="R345" s="55">
        <v>0</v>
      </c>
      <c r="S345" s="55">
        <v>0</v>
      </c>
      <c r="T345" s="57">
        <v>17.3</v>
      </c>
      <c r="U345" s="56">
        <v>38</v>
      </c>
      <c r="V345" s="54">
        <v>10.3</v>
      </c>
      <c r="W345" s="55">
        <v>0</v>
      </c>
      <c r="X345" s="55">
        <v>0</v>
      </c>
      <c r="Y345" s="57">
        <v>9.42</v>
      </c>
      <c r="Z345" s="53">
        <v>37</v>
      </c>
      <c r="AA345" s="54">
        <v>10.4</v>
      </c>
      <c r="AB345" s="55">
        <v>0</v>
      </c>
      <c r="AC345" s="55">
        <v>0</v>
      </c>
      <c r="AD345" s="57">
        <v>9.42</v>
      </c>
      <c r="AE345" s="56">
        <v>36</v>
      </c>
      <c r="AF345" s="54">
        <v>10.6</v>
      </c>
      <c r="AG345" s="55">
        <v>0</v>
      </c>
      <c r="AH345" s="55">
        <v>0</v>
      </c>
      <c r="AI345" s="57">
        <v>13.46</v>
      </c>
      <c r="AJ345" s="56">
        <v>36</v>
      </c>
      <c r="AK345" s="54">
        <v>10.6</v>
      </c>
      <c r="AL345" s="54">
        <v>0</v>
      </c>
      <c r="AM345" s="54">
        <v>0</v>
      </c>
      <c r="AN345" s="57">
        <v>10.57</v>
      </c>
      <c r="AO345" s="53">
        <v>35</v>
      </c>
      <c r="AP345" s="54">
        <v>10.6</v>
      </c>
      <c r="AQ345" s="54">
        <v>150</v>
      </c>
      <c r="AR345" s="54">
        <v>0</v>
      </c>
      <c r="AS345" s="57">
        <v>11.53</v>
      </c>
      <c r="AT345" s="56">
        <v>27</v>
      </c>
      <c r="AU345" s="57">
        <v>120</v>
      </c>
      <c r="AV345" s="56"/>
      <c r="AW345" s="57"/>
      <c r="AX345" s="8"/>
      <c r="AZ345" s="1">
        <v>90</v>
      </c>
      <c r="BB345" s="82">
        <f t="shared" si="38"/>
        <v>31.691399999999998</v>
      </c>
    </row>
    <row r="346" spans="3:54" ht="15" customHeight="1" x14ac:dyDescent="0.25">
      <c r="C346" s="42"/>
      <c r="D346" s="43">
        <f>D340</f>
        <v>45744</v>
      </c>
      <c r="E346" s="44">
        <f t="shared" si="40"/>
        <v>27.749999999999876</v>
      </c>
      <c r="F346" s="45">
        <f t="shared" si="39"/>
        <v>45744.7500000008</v>
      </c>
      <c r="G346" s="52">
        <v>40</v>
      </c>
      <c r="H346" s="53">
        <v>38</v>
      </c>
      <c r="I346" s="54">
        <v>10.4</v>
      </c>
      <c r="J346" s="54">
        <v>450</v>
      </c>
      <c r="K346" s="55">
        <v>0</v>
      </c>
      <c r="L346" s="56">
        <v>38</v>
      </c>
      <c r="M346" s="54">
        <v>10.3</v>
      </c>
      <c r="N346" s="54">
        <v>400</v>
      </c>
      <c r="O346" s="57">
        <v>0</v>
      </c>
      <c r="P346" s="53">
        <v>38</v>
      </c>
      <c r="Q346" s="54">
        <v>10.3</v>
      </c>
      <c r="R346" s="55">
        <v>0</v>
      </c>
      <c r="S346" s="55">
        <v>0</v>
      </c>
      <c r="T346" s="57">
        <v>17.5</v>
      </c>
      <c r="U346" s="56">
        <v>38</v>
      </c>
      <c r="V346" s="54">
        <v>10.3</v>
      </c>
      <c r="W346" s="55">
        <v>0</v>
      </c>
      <c r="X346" s="55">
        <v>0</v>
      </c>
      <c r="Y346" s="57">
        <v>9.42</v>
      </c>
      <c r="Z346" s="53">
        <v>37</v>
      </c>
      <c r="AA346" s="54">
        <v>10.4</v>
      </c>
      <c r="AB346" s="55">
        <v>0</v>
      </c>
      <c r="AC346" s="55">
        <v>0</v>
      </c>
      <c r="AD346" s="57">
        <v>10.96</v>
      </c>
      <c r="AE346" s="56">
        <v>35</v>
      </c>
      <c r="AF346" s="54">
        <v>10.4</v>
      </c>
      <c r="AG346" s="55">
        <v>0</v>
      </c>
      <c r="AH346" s="55">
        <v>0</v>
      </c>
      <c r="AI346" s="57">
        <v>13.46</v>
      </c>
      <c r="AJ346" s="56">
        <v>36</v>
      </c>
      <c r="AK346" s="54">
        <v>10.5</v>
      </c>
      <c r="AL346" s="54">
        <v>0</v>
      </c>
      <c r="AM346" s="54">
        <v>0</v>
      </c>
      <c r="AN346" s="57">
        <v>9.61</v>
      </c>
      <c r="AO346" s="53">
        <v>36</v>
      </c>
      <c r="AP346" s="54">
        <v>10.6</v>
      </c>
      <c r="AQ346" s="54">
        <v>150</v>
      </c>
      <c r="AR346" s="54">
        <v>0</v>
      </c>
      <c r="AS346" s="57">
        <v>12.5</v>
      </c>
      <c r="AT346" s="56">
        <v>28</v>
      </c>
      <c r="AU346" s="57">
        <v>120</v>
      </c>
      <c r="AV346" s="56"/>
      <c r="AW346" s="57"/>
      <c r="AX346" s="8"/>
      <c r="AZ346" s="1">
        <v>90</v>
      </c>
      <c r="BB346" s="82">
        <f t="shared" si="38"/>
        <v>32.4649</v>
      </c>
    </row>
    <row r="347" spans="3:54" ht="15" customHeight="1" x14ac:dyDescent="0.25">
      <c r="C347" s="42"/>
      <c r="D347" s="43">
        <f>D340</f>
        <v>45744</v>
      </c>
      <c r="E347" s="44">
        <f t="shared" si="40"/>
        <v>27.833333333333208</v>
      </c>
      <c r="F347" s="45">
        <f t="shared" si="39"/>
        <v>45744.833333334136</v>
      </c>
      <c r="G347" s="52">
        <v>40</v>
      </c>
      <c r="H347" s="53">
        <v>37</v>
      </c>
      <c r="I347" s="54">
        <v>10.8</v>
      </c>
      <c r="J347" s="54">
        <v>500</v>
      </c>
      <c r="K347" s="55">
        <v>0</v>
      </c>
      <c r="L347" s="56">
        <v>38</v>
      </c>
      <c r="M347" s="54">
        <v>10.4</v>
      </c>
      <c r="N347" s="54">
        <v>400</v>
      </c>
      <c r="O347" s="57">
        <v>0</v>
      </c>
      <c r="P347" s="53">
        <v>37</v>
      </c>
      <c r="Q347" s="54">
        <v>10.4</v>
      </c>
      <c r="R347" s="55">
        <v>0</v>
      </c>
      <c r="S347" s="55">
        <v>0</v>
      </c>
      <c r="T347" s="57">
        <v>18.7</v>
      </c>
      <c r="U347" s="56">
        <v>38</v>
      </c>
      <c r="V347" s="54">
        <v>10.4</v>
      </c>
      <c r="W347" s="55">
        <v>0</v>
      </c>
      <c r="X347" s="55">
        <v>0</v>
      </c>
      <c r="Y347" s="57">
        <v>12.5</v>
      </c>
      <c r="Z347" s="53">
        <v>39</v>
      </c>
      <c r="AA347" s="54">
        <v>10.3</v>
      </c>
      <c r="AB347" s="55">
        <v>0</v>
      </c>
      <c r="AC347" s="55">
        <v>0</v>
      </c>
      <c r="AD347" s="57">
        <v>12.5</v>
      </c>
      <c r="AE347" s="56">
        <v>37</v>
      </c>
      <c r="AF347" s="54">
        <v>10.3</v>
      </c>
      <c r="AG347" s="55">
        <v>0</v>
      </c>
      <c r="AH347" s="55">
        <v>0</v>
      </c>
      <c r="AI347" s="57">
        <v>16.2</v>
      </c>
      <c r="AJ347" s="56">
        <v>37</v>
      </c>
      <c r="AK347" s="54">
        <v>10.5</v>
      </c>
      <c r="AL347" s="54">
        <v>0</v>
      </c>
      <c r="AM347" s="54">
        <v>0</v>
      </c>
      <c r="AN347" s="57">
        <v>12.5</v>
      </c>
      <c r="AO347" s="53">
        <v>36</v>
      </c>
      <c r="AP347" s="54">
        <v>10.5</v>
      </c>
      <c r="AQ347" s="54">
        <v>220</v>
      </c>
      <c r="AR347" s="54">
        <v>0</v>
      </c>
      <c r="AS347" s="57">
        <v>12.5</v>
      </c>
      <c r="AT347" s="56">
        <v>30</v>
      </c>
      <c r="AU347" s="57">
        <v>130</v>
      </c>
      <c r="AV347" s="56"/>
      <c r="AW347" s="57"/>
      <c r="AX347" s="8"/>
      <c r="AZ347" s="1">
        <v>90</v>
      </c>
      <c r="BB347" s="82">
        <f t="shared" si="38"/>
        <v>37.525800000000004</v>
      </c>
    </row>
    <row r="348" spans="3:54" ht="15" customHeight="1" x14ac:dyDescent="0.25">
      <c r="C348" s="42"/>
      <c r="D348" s="43">
        <f>D340</f>
        <v>45744</v>
      </c>
      <c r="E348" s="44">
        <f t="shared" si="40"/>
        <v>27.91666666666654</v>
      </c>
      <c r="F348" s="45">
        <f t="shared" si="39"/>
        <v>45744.916666667472</v>
      </c>
      <c r="G348" s="52">
        <v>42</v>
      </c>
      <c r="H348" s="53">
        <v>38</v>
      </c>
      <c r="I348" s="54">
        <v>10.5</v>
      </c>
      <c r="J348" s="54">
        <v>550</v>
      </c>
      <c r="K348" s="55">
        <v>0</v>
      </c>
      <c r="L348" s="56">
        <v>39</v>
      </c>
      <c r="M348" s="54">
        <v>10.3</v>
      </c>
      <c r="N348" s="54">
        <v>400</v>
      </c>
      <c r="O348" s="57">
        <v>0</v>
      </c>
      <c r="P348" s="53">
        <v>38</v>
      </c>
      <c r="Q348" s="54">
        <v>10.4</v>
      </c>
      <c r="R348" s="55">
        <v>0</v>
      </c>
      <c r="S348" s="55">
        <v>0</v>
      </c>
      <c r="T348" s="57">
        <v>18.7</v>
      </c>
      <c r="U348" s="56">
        <v>38</v>
      </c>
      <c r="V348" s="54">
        <v>10.4</v>
      </c>
      <c r="W348" s="55">
        <v>0</v>
      </c>
      <c r="X348" s="55">
        <v>0</v>
      </c>
      <c r="Y348" s="57">
        <v>13.7</v>
      </c>
      <c r="Z348" s="53">
        <v>39</v>
      </c>
      <c r="AA348" s="54">
        <v>10.3</v>
      </c>
      <c r="AB348" s="55">
        <v>0</v>
      </c>
      <c r="AC348" s="55">
        <v>0</v>
      </c>
      <c r="AD348" s="57">
        <v>12.5</v>
      </c>
      <c r="AE348" s="56">
        <v>38</v>
      </c>
      <c r="AF348" s="54">
        <v>10.4</v>
      </c>
      <c r="AG348" s="55">
        <v>0</v>
      </c>
      <c r="AH348" s="55">
        <v>0</v>
      </c>
      <c r="AI348" s="57">
        <v>16.2</v>
      </c>
      <c r="AJ348" s="56">
        <v>38</v>
      </c>
      <c r="AK348" s="54">
        <v>10.5</v>
      </c>
      <c r="AL348" s="54">
        <v>0</v>
      </c>
      <c r="AM348" s="54">
        <v>0</v>
      </c>
      <c r="AN348" s="57">
        <v>12.5</v>
      </c>
      <c r="AO348" s="53">
        <v>37</v>
      </c>
      <c r="AP348" s="54">
        <v>10.5</v>
      </c>
      <c r="AQ348" s="54">
        <v>150</v>
      </c>
      <c r="AR348" s="54">
        <v>0</v>
      </c>
      <c r="AS348" s="57">
        <v>12.5</v>
      </c>
      <c r="AT348" s="56">
        <v>29</v>
      </c>
      <c r="AU348" s="57">
        <v>120</v>
      </c>
      <c r="AV348" s="56"/>
      <c r="AW348" s="57"/>
      <c r="AX348" s="8"/>
      <c r="AZ348" s="1">
        <v>90</v>
      </c>
      <c r="BB348" s="82">
        <f t="shared" si="38"/>
        <v>38.056199999999997</v>
      </c>
    </row>
    <row r="349" spans="3:54" ht="15" customHeight="1" x14ac:dyDescent="0.25">
      <c r="C349" s="42"/>
      <c r="D349" s="43">
        <f>D340</f>
        <v>45744</v>
      </c>
      <c r="E349" s="44">
        <f t="shared" si="40"/>
        <v>27.999999999999872</v>
      </c>
      <c r="F349" s="45">
        <f t="shared" si="39"/>
        <v>45745.000000000808</v>
      </c>
      <c r="G349" s="52">
        <v>43</v>
      </c>
      <c r="H349" s="53">
        <v>38</v>
      </c>
      <c r="I349" s="54">
        <v>10.6</v>
      </c>
      <c r="J349" s="54">
        <v>450</v>
      </c>
      <c r="K349" s="55">
        <v>0</v>
      </c>
      <c r="L349" s="56">
        <v>39</v>
      </c>
      <c r="M349" s="54">
        <v>10.7</v>
      </c>
      <c r="N349" s="54">
        <v>450</v>
      </c>
      <c r="O349" s="57">
        <v>0</v>
      </c>
      <c r="P349" s="53">
        <v>39</v>
      </c>
      <c r="Q349" s="54">
        <v>10.4</v>
      </c>
      <c r="R349" s="55">
        <v>0</v>
      </c>
      <c r="S349" s="55">
        <v>0</v>
      </c>
      <c r="T349" s="57">
        <v>19.2</v>
      </c>
      <c r="U349" s="56">
        <v>40</v>
      </c>
      <c r="V349" s="54">
        <v>10.4</v>
      </c>
      <c r="W349" s="55">
        <v>0</v>
      </c>
      <c r="X349" s="55">
        <v>0</v>
      </c>
      <c r="Y349" s="57">
        <v>13.7</v>
      </c>
      <c r="Z349" s="53">
        <v>38</v>
      </c>
      <c r="AA349" s="54">
        <v>10.3</v>
      </c>
      <c r="AB349" s="55">
        <v>0</v>
      </c>
      <c r="AC349" s="55">
        <v>0</v>
      </c>
      <c r="AD349" s="57">
        <v>12.5</v>
      </c>
      <c r="AE349" s="56">
        <v>38</v>
      </c>
      <c r="AF349" s="54">
        <v>10.3</v>
      </c>
      <c r="AG349" s="55">
        <v>0</v>
      </c>
      <c r="AH349" s="55">
        <v>0</v>
      </c>
      <c r="AI349" s="57">
        <v>15</v>
      </c>
      <c r="AJ349" s="56">
        <v>38</v>
      </c>
      <c r="AK349" s="54">
        <v>10.5</v>
      </c>
      <c r="AL349" s="54">
        <v>0</v>
      </c>
      <c r="AM349" s="54">
        <v>0</v>
      </c>
      <c r="AN349" s="57">
        <v>12.5</v>
      </c>
      <c r="AO349" s="53">
        <v>36</v>
      </c>
      <c r="AP349" s="54">
        <v>10.199999999999999</v>
      </c>
      <c r="AQ349" s="54">
        <v>150</v>
      </c>
      <c r="AR349" s="54">
        <v>0</v>
      </c>
      <c r="AS349" s="57">
        <v>15</v>
      </c>
      <c r="AT349" s="56">
        <v>29</v>
      </c>
      <c r="AU349" s="57">
        <v>110</v>
      </c>
      <c r="AV349" s="56"/>
      <c r="AW349" s="57"/>
      <c r="AX349" s="8"/>
      <c r="AZ349" s="1">
        <v>90</v>
      </c>
      <c r="BB349" s="82">
        <f t="shared" si="38"/>
        <v>38.851800000000004</v>
      </c>
    </row>
    <row r="350" spans="3:54" ht="15" customHeight="1" x14ac:dyDescent="0.25">
      <c r="C350" s="42"/>
      <c r="D350" s="43">
        <f>D340</f>
        <v>45744</v>
      </c>
      <c r="E350" s="44">
        <f t="shared" si="40"/>
        <v>28.083333333333204</v>
      </c>
      <c r="F350" s="45">
        <f t="shared" si="39"/>
        <v>45745.083333334143</v>
      </c>
      <c r="G350" s="52">
        <v>43</v>
      </c>
      <c r="H350" s="53">
        <v>39</v>
      </c>
      <c r="I350" s="54">
        <v>10.5</v>
      </c>
      <c r="J350" s="54">
        <v>450</v>
      </c>
      <c r="K350" s="55">
        <v>0</v>
      </c>
      <c r="L350" s="56">
        <v>39</v>
      </c>
      <c r="M350" s="54">
        <v>10.5</v>
      </c>
      <c r="N350" s="54">
        <v>450</v>
      </c>
      <c r="O350" s="57">
        <v>0</v>
      </c>
      <c r="P350" s="53">
        <v>39</v>
      </c>
      <c r="Q350" s="54">
        <v>10.4</v>
      </c>
      <c r="R350" s="55">
        <v>0</v>
      </c>
      <c r="S350" s="55">
        <v>0</v>
      </c>
      <c r="T350" s="57">
        <v>20</v>
      </c>
      <c r="U350" s="56">
        <v>40</v>
      </c>
      <c r="V350" s="54">
        <v>10.4</v>
      </c>
      <c r="W350" s="55">
        <v>0</v>
      </c>
      <c r="X350" s="55">
        <v>0</v>
      </c>
      <c r="Y350" s="57">
        <v>12.5</v>
      </c>
      <c r="Z350" s="53">
        <v>38</v>
      </c>
      <c r="AA350" s="54">
        <v>10.3</v>
      </c>
      <c r="AB350" s="55">
        <v>0</v>
      </c>
      <c r="AC350" s="55">
        <v>0</v>
      </c>
      <c r="AD350" s="57">
        <v>12.5</v>
      </c>
      <c r="AE350" s="56">
        <v>38</v>
      </c>
      <c r="AF350" s="54">
        <v>10.5</v>
      </c>
      <c r="AG350" s="55">
        <v>0</v>
      </c>
      <c r="AH350" s="55">
        <v>0</v>
      </c>
      <c r="AI350" s="57">
        <v>15</v>
      </c>
      <c r="AJ350" s="56">
        <v>38</v>
      </c>
      <c r="AK350" s="54">
        <v>10.4</v>
      </c>
      <c r="AL350" s="54">
        <v>0</v>
      </c>
      <c r="AM350" s="54">
        <v>0</v>
      </c>
      <c r="AN350" s="57">
        <v>12.5</v>
      </c>
      <c r="AO350" s="53">
        <v>36</v>
      </c>
      <c r="AP350" s="54">
        <v>10.3</v>
      </c>
      <c r="AQ350" s="54">
        <v>150</v>
      </c>
      <c r="AR350" s="54">
        <v>0</v>
      </c>
      <c r="AS350" s="57">
        <v>13.7</v>
      </c>
      <c r="AT350" s="56">
        <v>29</v>
      </c>
      <c r="AU350" s="57">
        <v>110</v>
      </c>
      <c r="AV350" s="56"/>
      <c r="AW350" s="57"/>
      <c r="AX350" s="8"/>
      <c r="AZ350" s="1">
        <v>90</v>
      </c>
      <c r="BB350" s="82">
        <f t="shared" si="38"/>
        <v>38.1004</v>
      </c>
    </row>
    <row r="351" spans="3:54" ht="15" customHeight="1" x14ac:dyDescent="0.25">
      <c r="C351" s="42"/>
      <c r="D351" s="69">
        <f>D340</f>
        <v>45744</v>
      </c>
      <c r="E351" s="70">
        <f t="shared" si="40"/>
        <v>28.166666666666536</v>
      </c>
      <c r="F351" s="71">
        <f t="shared" si="39"/>
        <v>45745.166666667479</v>
      </c>
      <c r="G351" s="60">
        <v>43</v>
      </c>
      <c r="H351" s="61">
        <v>41</v>
      </c>
      <c r="I351" s="62">
        <v>10.1</v>
      </c>
      <c r="J351" s="62">
        <v>400</v>
      </c>
      <c r="K351" s="63">
        <v>0</v>
      </c>
      <c r="L351" s="64">
        <v>41</v>
      </c>
      <c r="M351" s="62">
        <v>10.199999999999999</v>
      </c>
      <c r="N351" s="62">
        <v>500</v>
      </c>
      <c r="O351" s="65">
        <v>0</v>
      </c>
      <c r="P351" s="61">
        <v>40</v>
      </c>
      <c r="Q351" s="62">
        <v>10.4</v>
      </c>
      <c r="R351" s="63">
        <v>0</v>
      </c>
      <c r="S351" s="63">
        <v>0</v>
      </c>
      <c r="T351" s="65">
        <v>19</v>
      </c>
      <c r="U351" s="64">
        <v>41</v>
      </c>
      <c r="V351" s="62">
        <v>10.4</v>
      </c>
      <c r="W351" s="63">
        <v>0</v>
      </c>
      <c r="X351" s="63">
        <v>0</v>
      </c>
      <c r="Y351" s="65">
        <v>12.5</v>
      </c>
      <c r="Z351" s="61">
        <v>40</v>
      </c>
      <c r="AA351" s="62">
        <v>10.199999999999999</v>
      </c>
      <c r="AB351" s="63">
        <v>0</v>
      </c>
      <c r="AC351" s="63">
        <v>0</v>
      </c>
      <c r="AD351" s="65">
        <v>12.5</v>
      </c>
      <c r="AE351" s="64">
        <v>38</v>
      </c>
      <c r="AF351" s="62">
        <v>10.199999999999999</v>
      </c>
      <c r="AG351" s="63">
        <v>0</v>
      </c>
      <c r="AH351" s="63">
        <v>0</v>
      </c>
      <c r="AI351" s="65">
        <v>15</v>
      </c>
      <c r="AJ351" s="64">
        <v>37</v>
      </c>
      <c r="AK351" s="62">
        <v>10.3</v>
      </c>
      <c r="AL351" s="62">
        <v>0</v>
      </c>
      <c r="AM351" s="62">
        <v>0</v>
      </c>
      <c r="AN351" s="65">
        <v>12.5</v>
      </c>
      <c r="AO351" s="61">
        <v>37</v>
      </c>
      <c r="AP351" s="62">
        <v>10.3</v>
      </c>
      <c r="AQ351" s="62">
        <v>140</v>
      </c>
      <c r="AR351" s="62">
        <v>0</v>
      </c>
      <c r="AS351" s="65">
        <v>15</v>
      </c>
      <c r="AT351" s="64">
        <v>29</v>
      </c>
      <c r="AU351" s="65">
        <v>110</v>
      </c>
      <c r="AV351" s="64"/>
      <c r="AW351" s="65"/>
      <c r="AX351" s="8"/>
      <c r="AZ351" s="1">
        <v>90</v>
      </c>
      <c r="BB351" s="82">
        <f t="shared" si="38"/>
        <v>38.232999999999997</v>
      </c>
    </row>
    <row r="352" spans="3:54" ht="15" customHeight="1" x14ac:dyDescent="0.25">
      <c r="C352" s="42">
        <f>DAY(D352)</f>
        <v>29</v>
      </c>
      <c r="D352" s="66">
        <f>D340+1</f>
        <v>45745</v>
      </c>
      <c r="E352" s="67">
        <f>E351+2/24</f>
        <v>28.249999999999869</v>
      </c>
      <c r="F352" s="68">
        <f t="shared" si="39"/>
        <v>45745.250000000815</v>
      </c>
      <c r="G352" s="46">
        <v>39</v>
      </c>
      <c r="H352" s="47">
        <v>40</v>
      </c>
      <c r="I352" s="48">
        <v>11.5</v>
      </c>
      <c r="J352" s="48">
        <v>450</v>
      </c>
      <c r="K352" s="49">
        <v>0</v>
      </c>
      <c r="L352" s="50">
        <v>39</v>
      </c>
      <c r="M352" s="48">
        <v>10.4</v>
      </c>
      <c r="N352" s="48">
        <v>450</v>
      </c>
      <c r="O352" s="51">
        <v>0</v>
      </c>
      <c r="P352" s="47">
        <v>39</v>
      </c>
      <c r="Q352" s="48">
        <v>10.4</v>
      </c>
      <c r="R352" s="49">
        <v>0</v>
      </c>
      <c r="S352" s="49">
        <v>0</v>
      </c>
      <c r="T352" s="51">
        <v>19.2</v>
      </c>
      <c r="U352" s="50">
        <v>40</v>
      </c>
      <c r="V352" s="48">
        <v>10.4</v>
      </c>
      <c r="W352" s="49">
        <v>0</v>
      </c>
      <c r="X352" s="49">
        <v>0</v>
      </c>
      <c r="Y352" s="51">
        <v>13.7</v>
      </c>
      <c r="Z352" s="47">
        <v>40</v>
      </c>
      <c r="AA352" s="48">
        <v>10.3</v>
      </c>
      <c r="AB352" s="49">
        <v>0</v>
      </c>
      <c r="AC352" s="49">
        <v>0</v>
      </c>
      <c r="AD352" s="51">
        <v>12.5</v>
      </c>
      <c r="AE352" s="50">
        <v>38</v>
      </c>
      <c r="AF352" s="48">
        <v>10.4</v>
      </c>
      <c r="AG352" s="49">
        <v>0</v>
      </c>
      <c r="AH352" s="49">
        <v>0</v>
      </c>
      <c r="AI352" s="51">
        <v>16.2</v>
      </c>
      <c r="AJ352" s="50">
        <v>37</v>
      </c>
      <c r="AK352" s="48">
        <v>10.4</v>
      </c>
      <c r="AL352" s="48">
        <v>0</v>
      </c>
      <c r="AM352" s="48">
        <v>0</v>
      </c>
      <c r="AN352" s="51">
        <v>12.5</v>
      </c>
      <c r="AO352" s="47">
        <v>37</v>
      </c>
      <c r="AP352" s="48">
        <v>10.3</v>
      </c>
      <c r="AQ352" s="48">
        <v>140</v>
      </c>
      <c r="AR352" s="48">
        <v>0</v>
      </c>
      <c r="AS352" s="51">
        <v>13.7</v>
      </c>
      <c r="AT352" s="50">
        <v>29</v>
      </c>
      <c r="AU352" s="51">
        <v>110</v>
      </c>
      <c r="AV352" s="50"/>
      <c r="AW352" s="51"/>
      <c r="AX352" s="8"/>
      <c r="AZ352" s="1">
        <v>90</v>
      </c>
      <c r="BB352" s="82">
        <f t="shared" si="38"/>
        <v>38.807600000000001</v>
      </c>
    </row>
    <row r="353" spans="3:54" ht="15" customHeight="1" x14ac:dyDescent="0.25">
      <c r="C353" s="42"/>
      <c r="D353" s="43">
        <f>D352</f>
        <v>45745</v>
      </c>
      <c r="E353" s="44">
        <f>E352+2/24</f>
        <v>28.333333333333201</v>
      </c>
      <c r="F353" s="45">
        <f t="shared" si="39"/>
        <v>45745.333333334151</v>
      </c>
      <c r="G353" s="52">
        <v>36</v>
      </c>
      <c r="H353" s="53">
        <v>39</v>
      </c>
      <c r="I353" s="54">
        <v>11</v>
      </c>
      <c r="J353" s="54">
        <v>400</v>
      </c>
      <c r="K353" s="55">
        <v>0</v>
      </c>
      <c r="L353" s="56">
        <v>39</v>
      </c>
      <c r="M353" s="54">
        <v>10.7</v>
      </c>
      <c r="N353" s="54">
        <v>450</v>
      </c>
      <c r="O353" s="57">
        <v>0</v>
      </c>
      <c r="P353" s="53">
        <v>34</v>
      </c>
      <c r="Q353" s="54">
        <v>10.6</v>
      </c>
      <c r="R353" s="55">
        <v>0</v>
      </c>
      <c r="S353" s="55">
        <v>0</v>
      </c>
      <c r="T353" s="57">
        <v>8.75</v>
      </c>
      <c r="U353" s="56">
        <v>37</v>
      </c>
      <c r="V353" s="54">
        <v>10.3</v>
      </c>
      <c r="W353" s="55">
        <v>0</v>
      </c>
      <c r="X353" s="55">
        <v>0</v>
      </c>
      <c r="Y353" s="57">
        <v>12</v>
      </c>
      <c r="Z353" s="53">
        <v>36</v>
      </c>
      <c r="AA353" s="54">
        <v>10.1</v>
      </c>
      <c r="AB353" s="55">
        <v>0</v>
      </c>
      <c r="AC353" s="55">
        <v>0</v>
      </c>
      <c r="AD353" s="57">
        <v>10</v>
      </c>
      <c r="AE353" s="56">
        <v>36</v>
      </c>
      <c r="AF353" s="54">
        <v>10</v>
      </c>
      <c r="AG353" s="55">
        <v>0</v>
      </c>
      <c r="AH353" s="55">
        <v>0</v>
      </c>
      <c r="AI353" s="57">
        <v>15</v>
      </c>
      <c r="AJ353" s="56">
        <v>36</v>
      </c>
      <c r="AK353" s="54">
        <v>10</v>
      </c>
      <c r="AL353" s="54">
        <v>0</v>
      </c>
      <c r="AM353" s="54">
        <v>0</v>
      </c>
      <c r="AN353" s="57">
        <v>12.5</v>
      </c>
      <c r="AO353" s="53">
        <v>36</v>
      </c>
      <c r="AP353" s="54">
        <v>10.1</v>
      </c>
      <c r="AQ353" s="54">
        <v>120</v>
      </c>
      <c r="AR353" s="54">
        <v>0</v>
      </c>
      <c r="AS353" s="57">
        <v>14.5</v>
      </c>
      <c r="AT353" s="56">
        <v>28</v>
      </c>
      <c r="AU353" s="57">
        <v>90</v>
      </c>
      <c r="AV353" s="56"/>
      <c r="AW353" s="57"/>
      <c r="AX353" s="8"/>
      <c r="AZ353" s="1">
        <v>90</v>
      </c>
      <c r="BB353" s="82">
        <f t="shared" si="38"/>
        <v>32.155500000000004</v>
      </c>
    </row>
    <row r="354" spans="3:54" ht="15" customHeight="1" x14ac:dyDescent="0.25">
      <c r="C354" s="42"/>
      <c r="D354" s="43">
        <f>D352</f>
        <v>45745</v>
      </c>
      <c r="E354" s="44">
        <f t="shared" ref="E354:E363" si="41">E353+2/24</f>
        <v>28.416666666666533</v>
      </c>
      <c r="F354" s="45">
        <f t="shared" si="39"/>
        <v>45745.416666667486</v>
      </c>
      <c r="G354" s="52">
        <v>42</v>
      </c>
      <c r="H354" s="53">
        <v>40</v>
      </c>
      <c r="I354" s="54">
        <v>10.9</v>
      </c>
      <c r="J354" s="54">
        <v>500</v>
      </c>
      <c r="K354" s="55">
        <v>0</v>
      </c>
      <c r="L354" s="56">
        <v>30</v>
      </c>
      <c r="M354" s="54">
        <v>10.8</v>
      </c>
      <c r="N354" s="54">
        <v>750</v>
      </c>
      <c r="O354" s="57">
        <v>0</v>
      </c>
      <c r="P354" s="53">
        <v>37</v>
      </c>
      <c r="Q354" s="54">
        <v>10.4</v>
      </c>
      <c r="R354" s="55">
        <v>0</v>
      </c>
      <c r="S354" s="55">
        <v>0</v>
      </c>
      <c r="T354" s="57">
        <v>0</v>
      </c>
      <c r="U354" s="56">
        <v>38</v>
      </c>
      <c r="V354" s="54">
        <v>10.4</v>
      </c>
      <c r="W354" s="55">
        <v>0</v>
      </c>
      <c r="X354" s="55">
        <v>0</v>
      </c>
      <c r="Y354" s="57">
        <v>12.2</v>
      </c>
      <c r="Z354" s="53">
        <v>37</v>
      </c>
      <c r="AA354" s="54">
        <v>10.199999999999999</v>
      </c>
      <c r="AB354" s="55">
        <v>0</v>
      </c>
      <c r="AC354" s="55">
        <v>0</v>
      </c>
      <c r="AD354" s="57">
        <v>10.5</v>
      </c>
      <c r="AE354" s="56">
        <v>36</v>
      </c>
      <c r="AF354" s="54">
        <v>10.1</v>
      </c>
      <c r="AG354" s="55">
        <v>0</v>
      </c>
      <c r="AH354" s="55">
        <v>0</v>
      </c>
      <c r="AI354" s="57">
        <v>15</v>
      </c>
      <c r="AJ354" s="56">
        <v>36</v>
      </c>
      <c r="AK354" s="54">
        <v>10.1</v>
      </c>
      <c r="AL354" s="54">
        <v>0</v>
      </c>
      <c r="AM354" s="54">
        <v>0</v>
      </c>
      <c r="AN354" s="57">
        <v>12.5</v>
      </c>
      <c r="AO354" s="53">
        <v>37</v>
      </c>
      <c r="AP354" s="54">
        <v>10.199999999999999</v>
      </c>
      <c r="AQ354" s="54">
        <v>140</v>
      </c>
      <c r="AR354" s="54">
        <v>0</v>
      </c>
      <c r="AS354" s="57">
        <v>13.75</v>
      </c>
      <c r="AT354" s="56">
        <v>30</v>
      </c>
      <c r="AU354" s="57">
        <v>110</v>
      </c>
      <c r="AV354" s="56"/>
      <c r="AW354" s="57"/>
      <c r="AX354" s="8"/>
      <c r="AZ354" s="1">
        <v>90</v>
      </c>
      <c r="BB354" s="82">
        <f t="shared" si="38"/>
        <v>28.265900000000002</v>
      </c>
    </row>
    <row r="355" spans="3:54" ht="15" customHeight="1" x14ac:dyDescent="0.25">
      <c r="C355" s="42"/>
      <c r="D355" s="43">
        <f>D352</f>
        <v>45745</v>
      </c>
      <c r="E355" s="44">
        <f t="shared" si="41"/>
        <v>28.499999999999865</v>
      </c>
      <c r="F355" s="45">
        <f t="shared" si="39"/>
        <v>45745.500000000822</v>
      </c>
      <c r="G355" s="52">
        <v>37</v>
      </c>
      <c r="H355" s="53">
        <v>39</v>
      </c>
      <c r="I355" s="54">
        <v>10.9</v>
      </c>
      <c r="J355" s="54">
        <v>450</v>
      </c>
      <c r="K355" s="55">
        <v>0</v>
      </c>
      <c r="L355" s="56">
        <v>39</v>
      </c>
      <c r="M355" s="54">
        <v>10.8</v>
      </c>
      <c r="N355" s="54">
        <v>700</v>
      </c>
      <c r="O355" s="57">
        <v>0</v>
      </c>
      <c r="P355" s="53">
        <v>38</v>
      </c>
      <c r="Q355" s="54">
        <v>10.5</v>
      </c>
      <c r="R355" s="55">
        <v>0</v>
      </c>
      <c r="S355" s="55">
        <v>0</v>
      </c>
      <c r="T355" s="57">
        <v>0</v>
      </c>
      <c r="U355" s="56">
        <v>38</v>
      </c>
      <c r="V355" s="54">
        <v>10.4</v>
      </c>
      <c r="W355" s="55">
        <v>0</v>
      </c>
      <c r="X355" s="55">
        <v>0</v>
      </c>
      <c r="Y355" s="57">
        <v>12.2</v>
      </c>
      <c r="Z355" s="53">
        <v>37</v>
      </c>
      <c r="AA355" s="54">
        <v>10.199999999999999</v>
      </c>
      <c r="AB355" s="55">
        <v>0</v>
      </c>
      <c r="AC355" s="55">
        <v>0</v>
      </c>
      <c r="AD355" s="57">
        <v>9.75</v>
      </c>
      <c r="AE355" s="56">
        <v>37</v>
      </c>
      <c r="AF355" s="54">
        <v>10.3</v>
      </c>
      <c r="AG355" s="55">
        <v>0</v>
      </c>
      <c r="AH355" s="55">
        <v>0</v>
      </c>
      <c r="AI355" s="57">
        <v>14.5</v>
      </c>
      <c r="AJ355" s="56">
        <v>36</v>
      </c>
      <c r="AK355" s="54">
        <v>10.3</v>
      </c>
      <c r="AL355" s="54">
        <v>0</v>
      </c>
      <c r="AM355" s="54">
        <v>0</v>
      </c>
      <c r="AN355" s="57">
        <v>13</v>
      </c>
      <c r="AO355" s="53">
        <v>37</v>
      </c>
      <c r="AP355" s="54">
        <v>10.4</v>
      </c>
      <c r="AQ355" s="54">
        <v>130</v>
      </c>
      <c r="AR355" s="54">
        <v>0</v>
      </c>
      <c r="AS355" s="57">
        <v>14.5</v>
      </c>
      <c r="AT355" s="56">
        <v>29</v>
      </c>
      <c r="AU355" s="57">
        <v>100</v>
      </c>
      <c r="AV355" s="56"/>
      <c r="AW355" s="57"/>
      <c r="AX355" s="8"/>
      <c r="AZ355" s="1">
        <v>90</v>
      </c>
      <c r="BB355" s="82">
        <f t="shared" si="38"/>
        <v>28.265900000000002</v>
      </c>
    </row>
    <row r="356" spans="3:54" ht="15" customHeight="1" x14ac:dyDescent="0.25">
      <c r="C356" s="42"/>
      <c r="D356" s="43">
        <f>D352</f>
        <v>45745</v>
      </c>
      <c r="E356" s="44">
        <f t="shared" si="41"/>
        <v>28.583333333333197</v>
      </c>
      <c r="F356" s="45">
        <f t="shared" si="39"/>
        <v>45745.583333334158</v>
      </c>
      <c r="G356" s="52">
        <v>36</v>
      </c>
      <c r="H356" s="53">
        <v>37</v>
      </c>
      <c r="I356" s="54">
        <v>11.1</v>
      </c>
      <c r="J356" s="54">
        <v>400</v>
      </c>
      <c r="K356" s="55">
        <v>0</v>
      </c>
      <c r="L356" s="56">
        <v>39</v>
      </c>
      <c r="M356" s="54">
        <v>10.9</v>
      </c>
      <c r="N356" s="54">
        <v>650</v>
      </c>
      <c r="O356" s="57">
        <v>0</v>
      </c>
      <c r="P356" s="53">
        <v>39</v>
      </c>
      <c r="Q356" s="54">
        <v>10.6</v>
      </c>
      <c r="R356" s="55">
        <v>0</v>
      </c>
      <c r="S356" s="55">
        <v>0</v>
      </c>
      <c r="T356" s="57">
        <v>11.5</v>
      </c>
      <c r="U356" s="56">
        <v>37</v>
      </c>
      <c r="V356" s="54">
        <v>10.5</v>
      </c>
      <c r="W356" s="55">
        <v>0</v>
      </c>
      <c r="X356" s="55">
        <v>0</v>
      </c>
      <c r="Y356" s="57">
        <v>10.25</v>
      </c>
      <c r="Z356" s="53">
        <v>38</v>
      </c>
      <c r="AA356" s="54">
        <v>10.3</v>
      </c>
      <c r="AB356" s="55">
        <v>0</v>
      </c>
      <c r="AC356" s="55">
        <v>0</v>
      </c>
      <c r="AD356" s="57">
        <v>10</v>
      </c>
      <c r="AE356" s="56">
        <v>35</v>
      </c>
      <c r="AF356" s="54">
        <v>10.6</v>
      </c>
      <c r="AG356" s="55">
        <v>0</v>
      </c>
      <c r="AH356" s="55">
        <v>0</v>
      </c>
      <c r="AI356" s="57">
        <v>14.75</v>
      </c>
      <c r="AJ356" s="56">
        <v>35</v>
      </c>
      <c r="AK356" s="54">
        <v>10.7</v>
      </c>
      <c r="AL356" s="54">
        <v>0</v>
      </c>
      <c r="AM356" s="54">
        <v>0</v>
      </c>
      <c r="AN356" s="57">
        <v>14.5</v>
      </c>
      <c r="AO356" s="53">
        <v>37</v>
      </c>
      <c r="AP356" s="54">
        <v>10.8</v>
      </c>
      <c r="AQ356" s="54">
        <v>140</v>
      </c>
      <c r="AR356" s="54">
        <v>0</v>
      </c>
      <c r="AS356" s="57">
        <v>15</v>
      </c>
      <c r="AT356" s="56">
        <v>30</v>
      </c>
      <c r="AU356" s="57">
        <v>100</v>
      </c>
      <c r="AV356" s="56"/>
      <c r="AW356" s="57"/>
      <c r="AX356" s="8"/>
      <c r="AZ356" s="1">
        <v>90</v>
      </c>
      <c r="BB356" s="82">
        <f t="shared" si="38"/>
        <v>33.591999999999999</v>
      </c>
    </row>
    <row r="357" spans="3:54" ht="15" customHeight="1" x14ac:dyDescent="0.25">
      <c r="C357" s="42"/>
      <c r="D357" s="43">
        <f>D352</f>
        <v>45745</v>
      </c>
      <c r="E357" s="44">
        <f t="shared" si="41"/>
        <v>28.666666666666529</v>
      </c>
      <c r="F357" s="45">
        <f t="shared" si="39"/>
        <v>45745.666666667494</v>
      </c>
      <c r="G357" s="52">
        <v>0</v>
      </c>
      <c r="H357" s="53">
        <v>36</v>
      </c>
      <c r="I357" s="54">
        <v>10.9</v>
      </c>
      <c r="J357" s="54">
        <v>400</v>
      </c>
      <c r="K357" s="55">
        <v>0</v>
      </c>
      <c r="L357" s="56">
        <v>37</v>
      </c>
      <c r="M357" s="54">
        <v>11</v>
      </c>
      <c r="N357" s="54">
        <v>600</v>
      </c>
      <c r="O357" s="57">
        <v>0</v>
      </c>
      <c r="P357" s="53">
        <v>38</v>
      </c>
      <c r="Q357" s="54">
        <v>10.7</v>
      </c>
      <c r="R357" s="55">
        <v>0</v>
      </c>
      <c r="S357" s="55">
        <v>0</v>
      </c>
      <c r="T357" s="57">
        <v>10.5</v>
      </c>
      <c r="U357" s="56">
        <v>37</v>
      </c>
      <c r="V357" s="54">
        <v>10.6</v>
      </c>
      <c r="W357" s="55">
        <v>0</v>
      </c>
      <c r="X357" s="55">
        <v>0</v>
      </c>
      <c r="Y357" s="57">
        <v>9.75</v>
      </c>
      <c r="Z357" s="53">
        <v>37</v>
      </c>
      <c r="AA357" s="54">
        <v>10.4</v>
      </c>
      <c r="AB357" s="55">
        <v>0</v>
      </c>
      <c r="AC357" s="55">
        <v>0</v>
      </c>
      <c r="AD357" s="57">
        <v>9.5</v>
      </c>
      <c r="AE357" s="56">
        <v>36</v>
      </c>
      <c r="AF357" s="54">
        <v>10.5</v>
      </c>
      <c r="AG357" s="55">
        <v>0</v>
      </c>
      <c r="AH357" s="55">
        <v>0</v>
      </c>
      <c r="AI357" s="57">
        <v>14.5</v>
      </c>
      <c r="AJ357" s="56">
        <v>36</v>
      </c>
      <c r="AK357" s="54">
        <v>10.5</v>
      </c>
      <c r="AL357" s="54">
        <v>0</v>
      </c>
      <c r="AM357" s="54">
        <v>0</v>
      </c>
      <c r="AN357" s="57">
        <v>12.5</v>
      </c>
      <c r="AO357" s="53">
        <v>37</v>
      </c>
      <c r="AP357" s="54">
        <v>10.6</v>
      </c>
      <c r="AQ357" s="54">
        <v>140</v>
      </c>
      <c r="AR357" s="54">
        <v>0</v>
      </c>
      <c r="AS357" s="57">
        <v>14.5</v>
      </c>
      <c r="AT357" s="56">
        <v>28</v>
      </c>
      <c r="AU357" s="57">
        <v>120</v>
      </c>
      <c r="AV357" s="56"/>
      <c r="AW357" s="57"/>
      <c r="AX357" s="8"/>
      <c r="AZ357" s="1">
        <v>90</v>
      </c>
      <c r="BB357" s="82">
        <f t="shared" si="38"/>
        <v>31.4925</v>
      </c>
    </row>
    <row r="358" spans="3:54" ht="15" customHeight="1" x14ac:dyDescent="0.25">
      <c r="C358" s="42"/>
      <c r="D358" s="43">
        <f>D352</f>
        <v>45745</v>
      </c>
      <c r="E358" s="44">
        <f t="shared" si="41"/>
        <v>28.749999999999861</v>
      </c>
      <c r="F358" s="45">
        <f t="shared" si="39"/>
        <v>45745.750000000829</v>
      </c>
      <c r="G358" s="52">
        <v>35</v>
      </c>
      <c r="H358" s="53">
        <v>37</v>
      </c>
      <c r="I358" s="54">
        <v>11.5</v>
      </c>
      <c r="J358" s="54">
        <v>450</v>
      </c>
      <c r="K358" s="55">
        <v>0</v>
      </c>
      <c r="L358" s="56">
        <v>39</v>
      </c>
      <c r="M358" s="54">
        <v>11.2</v>
      </c>
      <c r="N358" s="54">
        <v>500</v>
      </c>
      <c r="O358" s="57">
        <v>0</v>
      </c>
      <c r="P358" s="53">
        <v>39</v>
      </c>
      <c r="Q358" s="54">
        <v>10.8</v>
      </c>
      <c r="R358" s="55">
        <v>0</v>
      </c>
      <c r="S358" s="55">
        <v>0</v>
      </c>
      <c r="T358" s="57">
        <v>9.5</v>
      </c>
      <c r="U358" s="56">
        <v>39</v>
      </c>
      <c r="V358" s="54">
        <v>10.7</v>
      </c>
      <c r="W358" s="55">
        <v>0</v>
      </c>
      <c r="X358" s="55">
        <v>0</v>
      </c>
      <c r="Y358" s="57">
        <v>7.5</v>
      </c>
      <c r="Z358" s="53">
        <v>38</v>
      </c>
      <c r="AA358" s="54">
        <v>10.6</v>
      </c>
      <c r="AB358" s="55">
        <v>0</v>
      </c>
      <c r="AC358" s="55">
        <v>0</v>
      </c>
      <c r="AD358" s="57">
        <v>6.75</v>
      </c>
      <c r="AE358" s="56">
        <v>37</v>
      </c>
      <c r="AF358" s="54">
        <v>10.4</v>
      </c>
      <c r="AG358" s="55">
        <v>0</v>
      </c>
      <c r="AH358" s="55">
        <v>0</v>
      </c>
      <c r="AI358" s="57">
        <v>15</v>
      </c>
      <c r="AJ358" s="56">
        <v>37</v>
      </c>
      <c r="AK358" s="54">
        <v>10.199999999999999</v>
      </c>
      <c r="AL358" s="54">
        <v>0</v>
      </c>
      <c r="AM358" s="54">
        <v>0</v>
      </c>
      <c r="AN358" s="57">
        <v>12.5</v>
      </c>
      <c r="AO358" s="53">
        <v>36</v>
      </c>
      <c r="AP358" s="54">
        <v>10.199999999999999</v>
      </c>
      <c r="AQ358" s="54">
        <v>140</v>
      </c>
      <c r="AR358" s="54">
        <v>0</v>
      </c>
      <c r="AS358" s="57">
        <v>14.25</v>
      </c>
      <c r="AT358" s="56">
        <v>29</v>
      </c>
      <c r="AU358" s="57">
        <v>120</v>
      </c>
      <c r="AV358" s="56"/>
      <c r="AW358" s="57"/>
      <c r="AX358" s="8"/>
      <c r="AZ358" s="1">
        <v>90</v>
      </c>
      <c r="BB358" s="82">
        <f t="shared" si="38"/>
        <v>28.951000000000001</v>
      </c>
    </row>
    <row r="359" spans="3:54" ht="15" customHeight="1" x14ac:dyDescent="0.25">
      <c r="C359" s="42"/>
      <c r="D359" s="43">
        <f>D352</f>
        <v>45745</v>
      </c>
      <c r="E359" s="44">
        <f t="shared" si="41"/>
        <v>28.833333333333194</v>
      </c>
      <c r="F359" s="45">
        <f t="shared" si="39"/>
        <v>45745.833333334165</v>
      </c>
      <c r="G359" s="52">
        <v>36</v>
      </c>
      <c r="H359" s="53">
        <v>38</v>
      </c>
      <c r="I359" s="54">
        <v>11</v>
      </c>
      <c r="J359" s="54">
        <v>300</v>
      </c>
      <c r="K359" s="55">
        <v>0</v>
      </c>
      <c r="L359" s="56">
        <v>37</v>
      </c>
      <c r="M359" s="54">
        <v>10.9</v>
      </c>
      <c r="N359" s="54">
        <v>500</v>
      </c>
      <c r="O359" s="57">
        <v>0</v>
      </c>
      <c r="P359" s="53">
        <v>37</v>
      </c>
      <c r="Q359" s="54">
        <v>10.8</v>
      </c>
      <c r="R359" s="55">
        <v>0</v>
      </c>
      <c r="S359" s="55">
        <v>0</v>
      </c>
      <c r="T359" s="57">
        <v>13.5</v>
      </c>
      <c r="U359" s="56">
        <v>40</v>
      </c>
      <c r="V359" s="54">
        <v>10.8</v>
      </c>
      <c r="W359" s="55">
        <v>0</v>
      </c>
      <c r="X359" s="55">
        <v>0</v>
      </c>
      <c r="Y359" s="57">
        <v>8.6999999999999993</v>
      </c>
      <c r="Z359" s="53">
        <v>37</v>
      </c>
      <c r="AA359" s="54">
        <v>10.7</v>
      </c>
      <c r="AB359" s="55">
        <v>0</v>
      </c>
      <c r="AC359" s="55">
        <v>0</v>
      </c>
      <c r="AD359" s="57">
        <v>7.5</v>
      </c>
      <c r="AE359" s="56">
        <v>36</v>
      </c>
      <c r="AF359" s="54">
        <v>10.5</v>
      </c>
      <c r="AG359" s="55">
        <v>0</v>
      </c>
      <c r="AH359" s="55">
        <v>0</v>
      </c>
      <c r="AI359" s="57">
        <v>15.5</v>
      </c>
      <c r="AJ359" s="56">
        <v>37</v>
      </c>
      <c r="AK359" s="54">
        <v>10.4</v>
      </c>
      <c r="AL359" s="54">
        <v>0</v>
      </c>
      <c r="AM359" s="54">
        <v>0</v>
      </c>
      <c r="AN359" s="57">
        <v>12.5</v>
      </c>
      <c r="AO359" s="53">
        <v>36</v>
      </c>
      <c r="AP359" s="54">
        <v>10.4</v>
      </c>
      <c r="AQ359" s="54">
        <v>150</v>
      </c>
      <c r="AR359" s="54">
        <v>0</v>
      </c>
      <c r="AS359" s="57">
        <v>15</v>
      </c>
      <c r="AT359" s="56">
        <v>26</v>
      </c>
      <c r="AU359" s="57">
        <v>150</v>
      </c>
      <c r="AV359" s="56"/>
      <c r="AW359" s="57"/>
      <c r="AX359" s="8"/>
      <c r="AZ359" s="1">
        <v>90</v>
      </c>
      <c r="BB359" s="82">
        <f t="shared" si="38"/>
        <v>32.133400000000002</v>
      </c>
    </row>
    <row r="360" spans="3:54" ht="15" customHeight="1" x14ac:dyDescent="0.25">
      <c r="C360" s="42"/>
      <c r="D360" s="43">
        <f>D352</f>
        <v>45745</v>
      </c>
      <c r="E360" s="44">
        <f t="shared" si="41"/>
        <v>28.916666666666526</v>
      </c>
      <c r="F360" s="45">
        <f t="shared" si="39"/>
        <v>45745.916666667501</v>
      </c>
      <c r="G360" s="52">
        <v>40</v>
      </c>
      <c r="H360" s="53">
        <v>37</v>
      </c>
      <c r="I360" s="54">
        <v>11.1</v>
      </c>
      <c r="J360" s="54">
        <v>500</v>
      </c>
      <c r="K360" s="55">
        <v>0</v>
      </c>
      <c r="L360" s="56">
        <v>34</v>
      </c>
      <c r="M360" s="54">
        <v>10.7</v>
      </c>
      <c r="N360" s="54">
        <v>450</v>
      </c>
      <c r="O360" s="57">
        <v>0</v>
      </c>
      <c r="P360" s="53">
        <v>37</v>
      </c>
      <c r="Q360" s="54">
        <v>10.7</v>
      </c>
      <c r="R360" s="55">
        <v>0</v>
      </c>
      <c r="S360" s="55">
        <v>0</v>
      </c>
      <c r="T360" s="57">
        <v>16.25</v>
      </c>
      <c r="U360" s="56">
        <v>39</v>
      </c>
      <c r="V360" s="54">
        <v>10.7</v>
      </c>
      <c r="W360" s="55">
        <v>0</v>
      </c>
      <c r="X360" s="55">
        <v>0</v>
      </c>
      <c r="Y360" s="57">
        <v>8.75</v>
      </c>
      <c r="Z360" s="53">
        <v>38</v>
      </c>
      <c r="AA360" s="54">
        <v>10.6</v>
      </c>
      <c r="AB360" s="55">
        <v>0</v>
      </c>
      <c r="AC360" s="55">
        <v>0</v>
      </c>
      <c r="AD360" s="57">
        <v>9</v>
      </c>
      <c r="AE360" s="56">
        <v>37</v>
      </c>
      <c r="AF360" s="54">
        <v>10.6</v>
      </c>
      <c r="AG360" s="55">
        <v>0</v>
      </c>
      <c r="AH360" s="55">
        <v>0</v>
      </c>
      <c r="AI360" s="57">
        <v>15</v>
      </c>
      <c r="AJ360" s="56">
        <v>37</v>
      </c>
      <c r="AK360" s="54">
        <v>10.5</v>
      </c>
      <c r="AL360" s="54">
        <v>0</v>
      </c>
      <c r="AM360" s="54">
        <v>0</v>
      </c>
      <c r="AN360" s="57">
        <v>13</v>
      </c>
      <c r="AO360" s="53">
        <v>36</v>
      </c>
      <c r="AP360" s="54">
        <v>10.4</v>
      </c>
      <c r="AQ360" s="54">
        <v>180</v>
      </c>
      <c r="AR360" s="54">
        <v>0</v>
      </c>
      <c r="AS360" s="57">
        <v>15.5</v>
      </c>
      <c r="AT360" s="56">
        <v>27</v>
      </c>
      <c r="AU360" s="57">
        <v>160</v>
      </c>
      <c r="AV360" s="56"/>
      <c r="AW360" s="57"/>
      <c r="AX360" s="8"/>
      <c r="AZ360" s="1">
        <v>90</v>
      </c>
      <c r="BB360" s="82">
        <f t="shared" si="38"/>
        <v>34.255000000000003</v>
      </c>
    </row>
    <row r="361" spans="3:54" ht="15" customHeight="1" x14ac:dyDescent="0.25">
      <c r="C361" s="42"/>
      <c r="D361" s="43">
        <f>D352</f>
        <v>45745</v>
      </c>
      <c r="E361" s="44">
        <f t="shared" si="41"/>
        <v>28.999999999999858</v>
      </c>
      <c r="F361" s="45">
        <f t="shared" si="39"/>
        <v>45746.000000000837</v>
      </c>
      <c r="G361" s="52">
        <v>39</v>
      </c>
      <c r="H361" s="53">
        <v>38</v>
      </c>
      <c r="I361" s="54">
        <v>10.3</v>
      </c>
      <c r="J361" s="54">
        <v>400</v>
      </c>
      <c r="K361" s="55">
        <v>0</v>
      </c>
      <c r="L361" s="56">
        <v>38</v>
      </c>
      <c r="M361" s="54">
        <v>10.6</v>
      </c>
      <c r="N361" s="54">
        <v>450</v>
      </c>
      <c r="O361" s="57">
        <v>0</v>
      </c>
      <c r="P361" s="53">
        <v>37</v>
      </c>
      <c r="Q361" s="54">
        <v>11.1</v>
      </c>
      <c r="R361" s="55">
        <v>0</v>
      </c>
      <c r="S361" s="55">
        <v>0</v>
      </c>
      <c r="T361" s="57">
        <v>18</v>
      </c>
      <c r="U361" s="56">
        <v>36</v>
      </c>
      <c r="V361" s="54">
        <v>11.1</v>
      </c>
      <c r="W361" s="55">
        <v>0</v>
      </c>
      <c r="X361" s="55">
        <v>0</v>
      </c>
      <c r="Y361" s="57">
        <v>8.75</v>
      </c>
      <c r="Z361" s="53">
        <v>38</v>
      </c>
      <c r="AA361" s="54">
        <v>10.8</v>
      </c>
      <c r="AB361" s="55">
        <v>0</v>
      </c>
      <c r="AC361" s="55">
        <v>0</v>
      </c>
      <c r="AD361" s="57">
        <v>13</v>
      </c>
      <c r="AE361" s="56">
        <v>37</v>
      </c>
      <c r="AF361" s="54">
        <v>10.7</v>
      </c>
      <c r="AG361" s="55">
        <v>0</v>
      </c>
      <c r="AH361" s="55">
        <v>0</v>
      </c>
      <c r="AI361" s="57">
        <v>7.5</v>
      </c>
      <c r="AJ361" s="56">
        <v>38</v>
      </c>
      <c r="AK361" s="54">
        <v>10.6</v>
      </c>
      <c r="AL361" s="54">
        <v>0</v>
      </c>
      <c r="AM361" s="54">
        <v>0</v>
      </c>
      <c r="AN361" s="57">
        <v>12.5</v>
      </c>
      <c r="AO361" s="53">
        <v>37</v>
      </c>
      <c r="AP361" s="54">
        <v>10.199999999999999</v>
      </c>
      <c r="AQ361" s="54">
        <v>180</v>
      </c>
      <c r="AR361" s="54">
        <v>0</v>
      </c>
      <c r="AS361" s="57">
        <v>14.5</v>
      </c>
      <c r="AT361" s="56">
        <v>27</v>
      </c>
      <c r="AU361" s="57">
        <v>150</v>
      </c>
      <c r="AV361" s="56"/>
      <c r="AW361" s="57"/>
      <c r="AX361" s="8"/>
      <c r="AZ361" s="1">
        <v>90</v>
      </c>
      <c r="BB361" s="82">
        <f t="shared" si="38"/>
        <v>32.8185</v>
      </c>
    </row>
    <row r="362" spans="3:54" ht="15" customHeight="1" x14ac:dyDescent="0.25">
      <c r="C362" s="42"/>
      <c r="D362" s="43">
        <f>D352</f>
        <v>45745</v>
      </c>
      <c r="E362" s="44">
        <f t="shared" si="41"/>
        <v>29.08333333333319</v>
      </c>
      <c r="F362" s="45">
        <f t="shared" si="39"/>
        <v>45746.083333334172</v>
      </c>
      <c r="G362" s="52">
        <v>41</v>
      </c>
      <c r="H362" s="53">
        <v>38</v>
      </c>
      <c r="I362" s="54">
        <v>9.9</v>
      </c>
      <c r="J362" s="54">
        <v>400</v>
      </c>
      <c r="K362" s="55">
        <v>0</v>
      </c>
      <c r="L362" s="56">
        <v>39</v>
      </c>
      <c r="M362" s="54">
        <v>10.8</v>
      </c>
      <c r="N362" s="54">
        <v>450</v>
      </c>
      <c r="O362" s="57">
        <v>0</v>
      </c>
      <c r="P362" s="53">
        <v>38</v>
      </c>
      <c r="Q362" s="54">
        <v>10.9</v>
      </c>
      <c r="R362" s="55">
        <v>0</v>
      </c>
      <c r="S362" s="55">
        <v>0</v>
      </c>
      <c r="T362" s="57">
        <v>17.5</v>
      </c>
      <c r="U362" s="56">
        <v>36</v>
      </c>
      <c r="V362" s="54">
        <v>10.9</v>
      </c>
      <c r="W362" s="55">
        <v>0</v>
      </c>
      <c r="X362" s="55">
        <v>0</v>
      </c>
      <c r="Y362" s="57">
        <v>12.5</v>
      </c>
      <c r="Z362" s="53">
        <v>39</v>
      </c>
      <c r="AA362" s="54">
        <v>10.8</v>
      </c>
      <c r="AB362" s="55">
        <v>0</v>
      </c>
      <c r="AC362" s="55">
        <v>0</v>
      </c>
      <c r="AD362" s="57">
        <v>12.5</v>
      </c>
      <c r="AE362" s="56">
        <v>38</v>
      </c>
      <c r="AF362" s="54">
        <v>10.8</v>
      </c>
      <c r="AG362" s="55">
        <v>0</v>
      </c>
      <c r="AH362" s="55">
        <v>0</v>
      </c>
      <c r="AI362" s="57">
        <v>9.5</v>
      </c>
      <c r="AJ362" s="56">
        <v>37</v>
      </c>
      <c r="AK362" s="54">
        <v>10.6</v>
      </c>
      <c r="AL362" s="54">
        <v>0</v>
      </c>
      <c r="AM362" s="54">
        <v>0</v>
      </c>
      <c r="AN362" s="57">
        <v>12.5</v>
      </c>
      <c r="AO362" s="53">
        <v>38</v>
      </c>
      <c r="AP362" s="54">
        <v>10.199999999999999</v>
      </c>
      <c r="AQ362" s="54">
        <v>220</v>
      </c>
      <c r="AR362" s="54">
        <v>0</v>
      </c>
      <c r="AS362" s="57">
        <v>15</v>
      </c>
      <c r="AT362" s="56">
        <v>26</v>
      </c>
      <c r="AU362" s="57">
        <v>190</v>
      </c>
      <c r="AV362" s="56"/>
      <c r="AW362" s="57"/>
      <c r="AX362" s="8"/>
      <c r="AZ362" s="1">
        <v>90</v>
      </c>
      <c r="BB362" s="82">
        <f t="shared" si="38"/>
        <v>35.139000000000003</v>
      </c>
    </row>
    <row r="363" spans="3:54" ht="15" customHeight="1" x14ac:dyDescent="0.25">
      <c r="C363" s="42"/>
      <c r="D363" s="69">
        <f>D352</f>
        <v>45745</v>
      </c>
      <c r="E363" s="70">
        <f t="shared" si="41"/>
        <v>29.166666666666522</v>
      </c>
      <c r="F363" s="71">
        <f t="shared" si="39"/>
        <v>45746.166666667508</v>
      </c>
      <c r="G363" s="60">
        <v>43</v>
      </c>
      <c r="H363" s="61">
        <v>38</v>
      </c>
      <c r="I363" s="62">
        <v>10.1</v>
      </c>
      <c r="J363" s="62">
        <v>400</v>
      </c>
      <c r="K363" s="63">
        <v>0</v>
      </c>
      <c r="L363" s="64">
        <v>35</v>
      </c>
      <c r="M363" s="62">
        <v>10.8</v>
      </c>
      <c r="N363" s="62">
        <v>450</v>
      </c>
      <c r="O363" s="65">
        <v>0</v>
      </c>
      <c r="P363" s="61">
        <v>38</v>
      </c>
      <c r="Q363" s="62">
        <v>10.9</v>
      </c>
      <c r="R363" s="63">
        <v>0</v>
      </c>
      <c r="S363" s="63">
        <v>0</v>
      </c>
      <c r="T363" s="65">
        <v>17.5</v>
      </c>
      <c r="U363" s="64">
        <v>37</v>
      </c>
      <c r="V363" s="62">
        <v>10.9</v>
      </c>
      <c r="W363" s="63">
        <v>0</v>
      </c>
      <c r="X363" s="63">
        <v>0</v>
      </c>
      <c r="Y363" s="65">
        <v>12.5</v>
      </c>
      <c r="Z363" s="61">
        <v>36</v>
      </c>
      <c r="AA363" s="62">
        <v>10.7</v>
      </c>
      <c r="AB363" s="63">
        <v>0</v>
      </c>
      <c r="AC363" s="63">
        <v>0</v>
      </c>
      <c r="AD363" s="65">
        <v>12.5</v>
      </c>
      <c r="AE363" s="64">
        <v>35</v>
      </c>
      <c r="AF363" s="62">
        <v>10.8</v>
      </c>
      <c r="AG363" s="63">
        <v>0</v>
      </c>
      <c r="AH363" s="63">
        <v>0</v>
      </c>
      <c r="AI363" s="65">
        <v>12.5</v>
      </c>
      <c r="AJ363" s="64">
        <v>37</v>
      </c>
      <c r="AK363" s="62">
        <v>10.8</v>
      </c>
      <c r="AL363" s="62">
        <v>0</v>
      </c>
      <c r="AM363" s="62">
        <v>0</v>
      </c>
      <c r="AN363" s="65">
        <v>6.25</v>
      </c>
      <c r="AO363" s="61">
        <v>35</v>
      </c>
      <c r="AP363" s="62">
        <v>10.6</v>
      </c>
      <c r="AQ363" s="62">
        <v>230</v>
      </c>
      <c r="AR363" s="62">
        <v>0</v>
      </c>
      <c r="AS363" s="65">
        <v>15</v>
      </c>
      <c r="AT363" s="64">
        <v>30</v>
      </c>
      <c r="AU363" s="65">
        <v>200</v>
      </c>
      <c r="AV363" s="64"/>
      <c r="AW363" s="65"/>
      <c r="AX363" s="8"/>
      <c r="AZ363" s="1">
        <v>90</v>
      </c>
      <c r="BB363" s="82">
        <f t="shared" si="38"/>
        <v>33.702500000000001</v>
      </c>
    </row>
    <row r="364" spans="3:54" ht="15" customHeight="1" x14ac:dyDescent="0.25">
      <c r="C364" s="42">
        <f>DAY(D364)</f>
        <v>30</v>
      </c>
      <c r="D364" s="66">
        <f>D352+1</f>
        <v>45746</v>
      </c>
      <c r="E364" s="67">
        <f>E363+2/24</f>
        <v>29.249999999999854</v>
      </c>
      <c r="F364" s="68">
        <f t="shared" si="39"/>
        <v>45746.250000000844</v>
      </c>
      <c r="G364" s="46">
        <v>41</v>
      </c>
      <c r="H364" s="47">
        <v>39</v>
      </c>
      <c r="I364" s="48">
        <v>10.3</v>
      </c>
      <c r="J364" s="48">
        <v>400</v>
      </c>
      <c r="K364" s="49">
        <v>0</v>
      </c>
      <c r="L364" s="50">
        <v>37</v>
      </c>
      <c r="M364" s="48">
        <v>10.6</v>
      </c>
      <c r="N364" s="48">
        <v>450</v>
      </c>
      <c r="O364" s="51">
        <v>0</v>
      </c>
      <c r="P364" s="47">
        <v>38</v>
      </c>
      <c r="Q364" s="48">
        <v>10.8</v>
      </c>
      <c r="R364" s="49">
        <v>0</v>
      </c>
      <c r="S364" s="49">
        <v>0</v>
      </c>
      <c r="T364" s="51">
        <v>17.5</v>
      </c>
      <c r="U364" s="50">
        <v>36</v>
      </c>
      <c r="V364" s="48">
        <v>10.8</v>
      </c>
      <c r="W364" s="49">
        <v>0</v>
      </c>
      <c r="X364" s="49">
        <v>0</v>
      </c>
      <c r="Y364" s="51">
        <v>12.5</v>
      </c>
      <c r="Z364" s="47">
        <v>37</v>
      </c>
      <c r="AA364" s="48">
        <v>10.8</v>
      </c>
      <c r="AB364" s="49">
        <v>0</v>
      </c>
      <c r="AC364" s="49">
        <v>0</v>
      </c>
      <c r="AD364" s="51">
        <v>12.5</v>
      </c>
      <c r="AE364" s="50">
        <v>38</v>
      </c>
      <c r="AF364" s="48">
        <v>10.8</v>
      </c>
      <c r="AG364" s="49">
        <v>0</v>
      </c>
      <c r="AH364" s="49">
        <v>0</v>
      </c>
      <c r="AI364" s="51">
        <v>12.5</v>
      </c>
      <c r="AJ364" s="50">
        <v>38</v>
      </c>
      <c r="AK364" s="48">
        <v>10.7</v>
      </c>
      <c r="AL364" s="48">
        <v>0</v>
      </c>
      <c r="AM364" s="48">
        <v>0</v>
      </c>
      <c r="AN364" s="51">
        <v>6.25</v>
      </c>
      <c r="AO364" s="47">
        <v>36</v>
      </c>
      <c r="AP364" s="48">
        <v>10.5</v>
      </c>
      <c r="AQ364" s="48">
        <v>220</v>
      </c>
      <c r="AR364" s="48">
        <v>0</v>
      </c>
      <c r="AS364" s="51">
        <v>14.5</v>
      </c>
      <c r="AT364" s="50">
        <v>29</v>
      </c>
      <c r="AU364" s="51">
        <v>170</v>
      </c>
      <c r="AV364" s="50"/>
      <c r="AW364" s="51"/>
      <c r="AX364" s="8"/>
      <c r="AZ364" s="1">
        <v>90</v>
      </c>
      <c r="BB364" s="82">
        <f t="shared" si="38"/>
        <v>33.481499999999997</v>
      </c>
    </row>
    <row r="365" spans="3:54" ht="15" customHeight="1" x14ac:dyDescent="0.25">
      <c r="C365" s="42"/>
      <c r="D365" s="43">
        <f>D364</f>
        <v>45746</v>
      </c>
      <c r="E365" s="44">
        <f>E364+2/24</f>
        <v>29.333333333333186</v>
      </c>
      <c r="F365" s="45">
        <f t="shared" si="39"/>
        <v>45746.33333333418</v>
      </c>
      <c r="G365" s="52">
        <v>42</v>
      </c>
      <c r="H365" s="53">
        <v>41</v>
      </c>
      <c r="I365" s="54">
        <v>9.6999999999999993</v>
      </c>
      <c r="J365" s="54">
        <v>200</v>
      </c>
      <c r="K365" s="55" t="s">
        <v>46</v>
      </c>
      <c r="L365" s="56">
        <v>39</v>
      </c>
      <c r="M365" s="54">
        <v>10.3</v>
      </c>
      <c r="N365" s="54">
        <v>350</v>
      </c>
      <c r="O365" s="57" t="s">
        <v>46</v>
      </c>
      <c r="P365" s="53">
        <v>37</v>
      </c>
      <c r="Q365" s="54">
        <v>10.6</v>
      </c>
      <c r="R365" s="55">
        <v>0</v>
      </c>
      <c r="S365" s="55">
        <v>0</v>
      </c>
      <c r="T365" s="57">
        <v>18.75</v>
      </c>
      <c r="U365" s="56">
        <v>37</v>
      </c>
      <c r="V365" s="54">
        <v>10.8</v>
      </c>
      <c r="W365" s="55">
        <v>0</v>
      </c>
      <c r="X365" s="55">
        <v>0</v>
      </c>
      <c r="Y365" s="57">
        <v>11.25</v>
      </c>
      <c r="Z365" s="53">
        <v>38</v>
      </c>
      <c r="AA365" s="54">
        <v>10.8</v>
      </c>
      <c r="AB365" s="55">
        <v>0</v>
      </c>
      <c r="AC365" s="55">
        <v>0</v>
      </c>
      <c r="AD365" s="57">
        <v>12.5</v>
      </c>
      <c r="AE365" s="56">
        <v>36</v>
      </c>
      <c r="AF365" s="54">
        <v>10.8</v>
      </c>
      <c r="AG365" s="55">
        <v>0</v>
      </c>
      <c r="AH365" s="55">
        <v>0</v>
      </c>
      <c r="AI365" s="57">
        <v>12.5</v>
      </c>
      <c r="AJ365" s="56">
        <v>35</v>
      </c>
      <c r="AK365" s="54">
        <v>10.8</v>
      </c>
      <c r="AL365" s="54">
        <v>0</v>
      </c>
      <c r="AM365" s="54">
        <v>0</v>
      </c>
      <c r="AN365" s="57">
        <v>6.25</v>
      </c>
      <c r="AO365" s="53">
        <v>36</v>
      </c>
      <c r="AP365" s="54">
        <v>10.7</v>
      </c>
      <c r="AQ365" s="54">
        <v>250</v>
      </c>
      <c r="AR365" s="54">
        <v>0</v>
      </c>
      <c r="AS365" s="57">
        <v>15</v>
      </c>
      <c r="AT365" s="56">
        <v>30</v>
      </c>
      <c r="AU365" s="57">
        <v>200</v>
      </c>
      <c r="AV365" s="56"/>
      <c r="AW365" s="57"/>
      <c r="AX365" s="8"/>
      <c r="AZ365" s="1">
        <v>90</v>
      </c>
      <c r="BB365" s="82">
        <f t="shared" si="38"/>
        <v>33.702500000000001</v>
      </c>
    </row>
    <row r="366" spans="3:54" ht="15" customHeight="1" x14ac:dyDescent="0.25">
      <c r="C366" s="42"/>
      <c r="D366" s="43">
        <f>D364</f>
        <v>45746</v>
      </c>
      <c r="E366" s="44">
        <f t="shared" ref="E366:E375" si="42">E365+2/24</f>
        <v>29.416666666666519</v>
      </c>
      <c r="F366" s="45">
        <f t="shared" si="39"/>
        <v>45746.416666667516</v>
      </c>
      <c r="G366" s="52">
        <v>41</v>
      </c>
      <c r="H366" s="53">
        <v>40</v>
      </c>
      <c r="I366" s="54">
        <v>11.2</v>
      </c>
      <c r="J366" s="54">
        <v>300</v>
      </c>
      <c r="K366" s="55" t="s">
        <v>46</v>
      </c>
      <c r="L366" s="56">
        <v>36</v>
      </c>
      <c r="M366" s="54">
        <v>10.6</v>
      </c>
      <c r="N366" s="54">
        <v>400</v>
      </c>
      <c r="O366" s="57" t="s">
        <v>46</v>
      </c>
      <c r="P366" s="53">
        <v>37</v>
      </c>
      <c r="Q366" s="54">
        <v>10.5</v>
      </c>
      <c r="R366" s="55">
        <v>0</v>
      </c>
      <c r="S366" s="55">
        <v>0</v>
      </c>
      <c r="T366" s="57">
        <v>18.25</v>
      </c>
      <c r="U366" s="56">
        <v>37</v>
      </c>
      <c r="V366" s="54">
        <v>10.7</v>
      </c>
      <c r="W366" s="55">
        <v>0</v>
      </c>
      <c r="X366" s="55">
        <v>0</v>
      </c>
      <c r="Y366" s="57">
        <v>10.75</v>
      </c>
      <c r="Z366" s="53">
        <v>37</v>
      </c>
      <c r="AA366" s="54">
        <v>10.8</v>
      </c>
      <c r="AB366" s="55">
        <v>0</v>
      </c>
      <c r="AC366" s="55">
        <v>0</v>
      </c>
      <c r="AD366" s="57">
        <v>11.75</v>
      </c>
      <c r="AE366" s="56">
        <v>36</v>
      </c>
      <c r="AF366" s="54">
        <v>10.8</v>
      </c>
      <c r="AG366" s="55">
        <v>0</v>
      </c>
      <c r="AH366" s="55">
        <v>0</v>
      </c>
      <c r="AI366" s="57">
        <v>12.5</v>
      </c>
      <c r="AJ366" s="56">
        <v>36</v>
      </c>
      <c r="AK366" s="54">
        <v>10.5</v>
      </c>
      <c r="AL366" s="54">
        <v>0</v>
      </c>
      <c r="AM366" s="54">
        <v>0</v>
      </c>
      <c r="AN366" s="57">
        <v>6.25</v>
      </c>
      <c r="AO366" s="53">
        <v>35</v>
      </c>
      <c r="AP366" s="54">
        <v>10.3</v>
      </c>
      <c r="AQ366" s="54">
        <v>230</v>
      </c>
      <c r="AR366" s="54">
        <v>0</v>
      </c>
      <c r="AS366" s="57">
        <v>14.5</v>
      </c>
      <c r="AT366" s="56">
        <v>30</v>
      </c>
      <c r="AU366" s="57">
        <v>210</v>
      </c>
      <c r="AV366" s="56"/>
      <c r="AW366" s="57"/>
      <c r="AX366" s="8"/>
      <c r="AZ366" s="1">
        <v>90</v>
      </c>
      <c r="BB366" s="82">
        <f t="shared" si="38"/>
        <v>32.707999999999998</v>
      </c>
    </row>
    <row r="367" spans="3:54" ht="15" customHeight="1" x14ac:dyDescent="0.25">
      <c r="C367" s="42"/>
      <c r="D367" s="43">
        <f>D364</f>
        <v>45746</v>
      </c>
      <c r="E367" s="44">
        <f t="shared" si="42"/>
        <v>29.499999999999851</v>
      </c>
      <c r="F367" s="45">
        <f t="shared" si="39"/>
        <v>45746.500000000851</v>
      </c>
      <c r="G367" s="52">
        <v>41</v>
      </c>
      <c r="H367" s="53">
        <v>40</v>
      </c>
      <c r="I367" s="54">
        <v>11.2</v>
      </c>
      <c r="J367" s="54">
        <v>400</v>
      </c>
      <c r="K367" s="55" t="s">
        <v>46</v>
      </c>
      <c r="L367" s="56">
        <v>40</v>
      </c>
      <c r="M367" s="54">
        <v>10.7</v>
      </c>
      <c r="N367" s="54">
        <v>350</v>
      </c>
      <c r="O367" s="57" t="s">
        <v>46</v>
      </c>
      <c r="P367" s="53">
        <v>38</v>
      </c>
      <c r="Q367" s="54">
        <v>10.5</v>
      </c>
      <c r="R367" s="55">
        <v>0</v>
      </c>
      <c r="S367" s="55">
        <v>0</v>
      </c>
      <c r="T367" s="57">
        <v>17.5</v>
      </c>
      <c r="U367" s="56">
        <v>38</v>
      </c>
      <c r="V367" s="54">
        <v>10.7</v>
      </c>
      <c r="W367" s="55">
        <v>0</v>
      </c>
      <c r="X367" s="55">
        <v>0</v>
      </c>
      <c r="Y367" s="57">
        <v>10</v>
      </c>
      <c r="Z367" s="53">
        <v>39</v>
      </c>
      <c r="AA367" s="54">
        <v>10.8</v>
      </c>
      <c r="AB367" s="55">
        <v>0</v>
      </c>
      <c r="AC367" s="55">
        <v>0</v>
      </c>
      <c r="AD367" s="57">
        <v>11.25</v>
      </c>
      <c r="AE367" s="56">
        <v>37</v>
      </c>
      <c r="AF367" s="54">
        <v>10.9</v>
      </c>
      <c r="AG367" s="55">
        <v>0</v>
      </c>
      <c r="AH367" s="55">
        <v>0</v>
      </c>
      <c r="AI367" s="57">
        <v>12.5</v>
      </c>
      <c r="AJ367" s="56">
        <v>37</v>
      </c>
      <c r="AK367" s="54">
        <v>10.9</v>
      </c>
      <c r="AL367" s="54">
        <v>0</v>
      </c>
      <c r="AM367" s="54">
        <v>0</v>
      </c>
      <c r="AN367" s="57">
        <v>6.25</v>
      </c>
      <c r="AO367" s="53">
        <v>36</v>
      </c>
      <c r="AP367" s="54">
        <v>10.8</v>
      </c>
      <c r="AQ367" s="54">
        <v>220</v>
      </c>
      <c r="AR367" s="54">
        <v>0</v>
      </c>
      <c r="AS367" s="57">
        <v>20</v>
      </c>
      <c r="AT367" s="56">
        <v>30</v>
      </c>
      <c r="AU367" s="57">
        <v>160</v>
      </c>
      <c r="AV367" s="56"/>
      <c r="AW367" s="57"/>
      <c r="AX367" s="8"/>
      <c r="AZ367" s="1">
        <v>90</v>
      </c>
      <c r="BB367" s="82">
        <f t="shared" si="38"/>
        <v>34.255000000000003</v>
      </c>
    </row>
    <row r="368" spans="3:54" ht="15" customHeight="1" x14ac:dyDescent="0.25">
      <c r="C368" s="42"/>
      <c r="D368" s="43">
        <f>D364</f>
        <v>45746</v>
      </c>
      <c r="E368" s="44">
        <f t="shared" si="42"/>
        <v>29.583333333333183</v>
      </c>
      <c r="F368" s="45">
        <f t="shared" si="39"/>
        <v>45746.583333334187</v>
      </c>
      <c r="G368" s="52">
        <v>41</v>
      </c>
      <c r="H368" s="53">
        <v>40</v>
      </c>
      <c r="I368" s="54">
        <v>10.8</v>
      </c>
      <c r="J368" s="54">
        <v>350</v>
      </c>
      <c r="K368" s="55" t="s">
        <v>46</v>
      </c>
      <c r="L368" s="56">
        <v>38</v>
      </c>
      <c r="M368" s="54">
        <v>10.6</v>
      </c>
      <c r="N368" s="54">
        <v>350</v>
      </c>
      <c r="O368" s="57" t="s">
        <v>46</v>
      </c>
      <c r="P368" s="53">
        <v>38</v>
      </c>
      <c r="Q368" s="54">
        <v>10.5</v>
      </c>
      <c r="R368" s="55">
        <v>0</v>
      </c>
      <c r="S368" s="55">
        <v>0</v>
      </c>
      <c r="T368" s="57">
        <v>16.25</v>
      </c>
      <c r="U368" s="56">
        <v>37</v>
      </c>
      <c r="V368" s="54">
        <v>10.6</v>
      </c>
      <c r="W368" s="55">
        <v>0</v>
      </c>
      <c r="X368" s="55">
        <v>0</v>
      </c>
      <c r="Y368" s="57">
        <v>10.75</v>
      </c>
      <c r="Z368" s="53">
        <v>38</v>
      </c>
      <c r="AA368" s="54">
        <v>10.7</v>
      </c>
      <c r="AB368" s="55">
        <v>0</v>
      </c>
      <c r="AC368" s="55">
        <v>0</v>
      </c>
      <c r="AD368" s="57">
        <v>11.25</v>
      </c>
      <c r="AE368" s="56">
        <v>35</v>
      </c>
      <c r="AF368" s="54">
        <v>10.7</v>
      </c>
      <c r="AG368" s="55">
        <v>0</v>
      </c>
      <c r="AH368" s="55">
        <v>0</v>
      </c>
      <c r="AI368" s="57">
        <v>12</v>
      </c>
      <c r="AJ368" s="56">
        <v>38</v>
      </c>
      <c r="AK368" s="54">
        <v>10.7</v>
      </c>
      <c r="AL368" s="54">
        <v>0</v>
      </c>
      <c r="AM368" s="54">
        <v>0</v>
      </c>
      <c r="AN368" s="57">
        <v>6.25</v>
      </c>
      <c r="AO368" s="53">
        <v>36</v>
      </c>
      <c r="AP368" s="54">
        <v>10.8</v>
      </c>
      <c r="AQ368" s="54">
        <v>200</v>
      </c>
      <c r="AR368" s="54">
        <v>0</v>
      </c>
      <c r="AS368" s="57">
        <v>22.5</v>
      </c>
      <c r="AT368" s="56">
        <v>29</v>
      </c>
      <c r="AU368" s="57">
        <v>170</v>
      </c>
      <c r="AV368" s="56"/>
      <c r="AW368" s="57"/>
      <c r="AX368" s="8"/>
      <c r="AZ368" s="1">
        <v>90</v>
      </c>
      <c r="BB368" s="82">
        <f t="shared" si="38"/>
        <v>34.917999999999999</v>
      </c>
    </row>
    <row r="369" spans="3:54" ht="15" customHeight="1" x14ac:dyDescent="0.25">
      <c r="C369" s="42"/>
      <c r="D369" s="43">
        <f>D364</f>
        <v>45746</v>
      </c>
      <c r="E369" s="44">
        <f t="shared" si="42"/>
        <v>29.666666666666515</v>
      </c>
      <c r="F369" s="45">
        <f t="shared" si="39"/>
        <v>45746.666666667523</v>
      </c>
      <c r="G369" s="52">
        <v>37</v>
      </c>
      <c r="H369" s="53">
        <v>39</v>
      </c>
      <c r="I369" s="54">
        <v>10.5</v>
      </c>
      <c r="J369" s="54">
        <v>350</v>
      </c>
      <c r="K369" s="55" t="s">
        <v>46</v>
      </c>
      <c r="L369" s="56">
        <v>38</v>
      </c>
      <c r="M369" s="54">
        <v>10.7</v>
      </c>
      <c r="N369" s="54">
        <v>350</v>
      </c>
      <c r="O369" s="57" t="s">
        <v>46</v>
      </c>
      <c r="P369" s="53">
        <v>39</v>
      </c>
      <c r="Q369" s="54">
        <v>10.6</v>
      </c>
      <c r="R369" s="55">
        <v>0</v>
      </c>
      <c r="S369" s="55">
        <v>0</v>
      </c>
      <c r="T369" s="57">
        <v>15</v>
      </c>
      <c r="U369" s="56">
        <v>38</v>
      </c>
      <c r="V369" s="54">
        <v>10.6</v>
      </c>
      <c r="W369" s="55">
        <v>0</v>
      </c>
      <c r="X369" s="55">
        <v>0</v>
      </c>
      <c r="Y369" s="57">
        <v>11.25</v>
      </c>
      <c r="Z369" s="53">
        <v>36</v>
      </c>
      <c r="AA369" s="54">
        <v>10.6</v>
      </c>
      <c r="AB369" s="55">
        <v>0</v>
      </c>
      <c r="AC369" s="55">
        <v>0</v>
      </c>
      <c r="AD369" s="57">
        <v>11.25</v>
      </c>
      <c r="AE369" s="56">
        <v>35</v>
      </c>
      <c r="AF369" s="54">
        <v>10.7</v>
      </c>
      <c r="AG369" s="55">
        <v>0</v>
      </c>
      <c r="AH369" s="55">
        <v>0</v>
      </c>
      <c r="AI369" s="57">
        <v>12.5</v>
      </c>
      <c r="AJ369" s="56">
        <v>35</v>
      </c>
      <c r="AK369" s="54">
        <v>10.5</v>
      </c>
      <c r="AL369" s="54">
        <v>0</v>
      </c>
      <c r="AM369" s="54">
        <v>0</v>
      </c>
      <c r="AN369" s="57">
        <v>6.25</v>
      </c>
      <c r="AO369" s="53">
        <v>36</v>
      </c>
      <c r="AP369" s="54">
        <v>10.7</v>
      </c>
      <c r="AQ369" s="54">
        <v>200</v>
      </c>
      <c r="AR369" s="54">
        <v>0</v>
      </c>
      <c r="AS369" s="57">
        <v>25</v>
      </c>
      <c r="AT369" s="56">
        <v>30</v>
      </c>
      <c r="AU369" s="57">
        <v>130</v>
      </c>
      <c r="AV369" s="56"/>
      <c r="AW369" s="57"/>
      <c r="AX369" s="8"/>
      <c r="AZ369" s="1">
        <v>90</v>
      </c>
      <c r="BB369" s="82">
        <f t="shared" si="38"/>
        <v>35.912500000000001</v>
      </c>
    </row>
    <row r="370" spans="3:54" ht="15" customHeight="1" x14ac:dyDescent="0.25">
      <c r="C370" s="42"/>
      <c r="D370" s="43">
        <f>D364</f>
        <v>45746</v>
      </c>
      <c r="E370" s="44">
        <f t="shared" si="42"/>
        <v>29.749999999999847</v>
      </c>
      <c r="F370" s="45">
        <f t="shared" si="39"/>
        <v>45746.750000000859</v>
      </c>
      <c r="G370" s="52">
        <v>37</v>
      </c>
      <c r="H370" s="53">
        <v>39</v>
      </c>
      <c r="I370" s="54">
        <v>10.3</v>
      </c>
      <c r="J370" s="54">
        <v>350</v>
      </c>
      <c r="K370" s="55" t="s">
        <v>46</v>
      </c>
      <c r="L370" s="56">
        <v>34</v>
      </c>
      <c r="M370" s="54">
        <v>10.7</v>
      </c>
      <c r="N370" s="54">
        <v>350</v>
      </c>
      <c r="O370" s="57" t="s">
        <v>46</v>
      </c>
      <c r="P370" s="53">
        <v>39</v>
      </c>
      <c r="Q370" s="54">
        <v>10.6</v>
      </c>
      <c r="R370" s="55">
        <v>0</v>
      </c>
      <c r="S370" s="55">
        <v>0</v>
      </c>
      <c r="T370" s="57">
        <v>17.5</v>
      </c>
      <c r="U370" s="56">
        <v>38</v>
      </c>
      <c r="V370" s="54">
        <v>10.6</v>
      </c>
      <c r="W370" s="55">
        <v>0</v>
      </c>
      <c r="X370" s="55">
        <v>0</v>
      </c>
      <c r="Y370" s="57">
        <v>11.25</v>
      </c>
      <c r="Z370" s="53">
        <v>37</v>
      </c>
      <c r="AA370" s="54">
        <v>10.6</v>
      </c>
      <c r="AB370" s="55">
        <v>0</v>
      </c>
      <c r="AC370" s="55">
        <v>0</v>
      </c>
      <c r="AD370" s="57">
        <v>12</v>
      </c>
      <c r="AE370" s="56">
        <v>3.5</v>
      </c>
      <c r="AF370" s="54">
        <v>10.5</v>
      </c>
      <c r="AG370" s="55">
        <v>0</v>
      </c>
      <c r="AH370" s="55">
        <v>0</v>
      </c>
      <c r="AI370" s="57">
        <v>15</v>
      </c>
      <c r="AJ370" s="56">
        <v>35</v>
      </c>
      <c r="AK370" s="54">
        <v>10.5</v>
      </c>
      <c r="AL370" s="54">
        <v>0</v>
      </c>
      <c r="AM370" s="54">
        <v>0</v>
      </c>
      <c r="AN370" s="57">
        <v>15</v>
      </c>
      <c r="AO370" s="53">
        <v>35</v>
      </c>
      <c r="AP370" s="54">
        <v>10.5</v>
      </c>
      <c r="AQ370" s="54">
        <v>200</v>
      </c>
      <c r="AR370" s="54">
        <v>0</v>
      </c>
      <c r="AS370" s="57">
        <v>16.25</v>
      </c>
      <c r="AT370" s="56">
        <v>30</v>
      </c>
      <c r="AU370" s="57">
        <v>140</v>
      </c>
      <c r="AV370" s="56"/>
      <c r="AW370" s="57"/>
      <c r="AX370" s="8"/>
      <c r="AZ370" s="1">
        <v>90</v>
      </c>
      <c r="BB370" s="82">
        <f t="shared" si="38"/>
        <v>38.454000000000001</v>
      </c>
    </row>
    <row r="371" spans="3:54" ht="15" customHeight="1" x14ac:dyDescent="0.25">
      <c r="C371" s="42"/>
      <c r="D371" s="43">
        <f>D364</f>
        <v>45746</v>
      </c>
      <c r="E371" s="44">
        <f t="shared" si="42"/>
        <v>29.833333333333179</v>
      </c>
      <c r="F371" s="45">
        <f t="shared" si="39"/>
        <v>45746.833333334194</v>
      </c>
      <c r="G371" s="52">
        <v>39</v>
      </c>
      <c r="H371" s="53">
        <v>38</v>
      </c>
      <c r="I371" s="54">
        <v>10.199999999999999</v>
      </c>
      <c r="J371" s="54">
        <v>350</v>
      </c>
      <c r="K371" s="55">
        <v>0</v>
      </c>
      <c r="L371" s="56">
        <v>39</v>
      </c>
      <c r="M371" s="54">
        <v>10.5</v>
      </c>
      <c r="N371" s="54">
        <v>400</v>
      </c>
      <c r="O371" s="57">
        <v>0</v>
      </c>
      <c r="P371" s="53">
        <v>39</v>
      </c>
      <c r="Q371" s="54">
        <v>10.6</v>
      </c>
      <c r="R371" s="55">
        <v>0</v>
      </c>
      <c r="S371" s="55">
        <v>0</v>
      </c>
      <c r="T371" s="57">
        <v>17.5</v>
      </c>
      <c r="U371" s="56">
        <v>36</v>
      </c>
      <c r="V371" s="54">
        <v>10.5</v>
      </c>
      <c r="W371" s="55">
        <v>0</v>
      </c>
      <c r="X371" s="55">
        <v>0</v>
      </c>
      <c r="Y371" s="57">
        <v>12.5</v>
      </c>
      <c r="Z371" s="53">
        <v>37</v>
      </c>
      <c r="AA371" s="54">
        <v>10.5</v>
      </c>
      <c r="AB371" s="55">
        <v>0</v>
      </c>
      <c r="AC371" s="55">
        <v>0</v>
      </c>
      <c r="AD371" s="57">
        <v>12.5</v>
      </c>
      <c r="AE371" s="56">
        <v>35</v>
      </c>
      <c r="AF371" s="54">
        <v>10.6</v>
      </c>
      <c r="AG371" s="55">
        <v>0</v>
      </c>
      <c r="AH371" s="55">
        <v>0</v>
      </c>
      <c r="AI371" s="57">
        <v>12.5</v>
      </c>
      <c r="AJ371" s="56">
        <v>35</v>
      </c>
      <c r="AK371" s="54">
        <v>10.6</v>
      </c>
      <c r="AL371" s="54">
        <v>0</v>
      </c>
      <c r="AM371" s="54">
        <v>0</v>
      </c>
      <c r="AN371" s="57">
        <v>15</v>
      </c>
      <c r="AO371" s="53">
        <v>37</v>
      </c>
      <c r="AP371" s="54">
        <v>10.6</v>
      </c>
      <c r="AQ371" s="54">
        <v>190</v>
      </c>
      <c r="AR371" s="54">
        <v>0</v>
      </c>
      <c r="AS371" s="57">
        <v>16.25</v>
      </c>
      <c r="AT371" s="56">
        <v>29</v>
      </c>
      <c r="AU371" s="57">
        <v>150</v>
      </c>
      <c r="AV371" s="56"/>
      <c r="AW371" s="57"/>
      <c r="AX371" s="8"/>
      <c r="AZ371" s="1">
        <v>90</v>
      </c>
      <c r="BB371" s="82">
        <f t="shared" si="38"/>
        <v>38.122500000000002</v>
      </c>
    </row>
    <row r="372" spans="3:54" ht="15" customHeight="1" x14ac:dyDescent="0.25">
      <c r="C372" s="42"/>
      <c r="D372" s="43">
        <f>D364</f>
        <v>45746</v>
      </c>
      <c r="E372" s="44">
        <f t="shared" si="42"/>
        <v>29.916666666666512</v>
      </c>
      <c r="F372" s="45">
        <f t="shared" si="39"/>
        <v>45746.91666666753</v>
      </c>
      <c r="G372" s="52">
        <v>42</v>
      </c>
      <c r="H372" s="53">
        <v>38</v>
      </c>
      <c r="I372" s="54">
        <v>10</v>
      </c>
      <c r="J372" s="54">
        <v>350</v>
      </c>
      <c r="K372" s="55">
        <v>0</v>
      </c>
      <c r="L372" s="56">
        <v>38</v>
      </c>
      <c r="M372" s="54">
        <v>10.5</v>
      </c>
      <c r="N372" s="54">
        <v>400</v>
      </c>
      <c r="O372" s="57">
        <v>0</v>
      </c>
      <c r="P372" s="53">
        <v>38</v>
      </c>
      <c r="Q372" s="54">
        <v>10.6</v>
      </c>
      <c r="R372" s="55">
        <v>0</v>
      </c>
      <c r="S372" s="55">
        <v>0</v>
      </c>
      <c r="T372" s="57">
        <v>18</v>
      </c>
      <c r="U372" s="56">
        <v>36</v>
      </c>
      <c r="V372" s="54">
        <v>10.5</v>
      </c>
      <c r="W372" s="55">
        <v>0</v>
      </c>
      <c r="X372" s="55">
        <v>0</v>
      </c>
      <c r="Y372" s="57">
        <v>12</v>
      </c>
      <c r="Z372" s="53">
        <v>37</v>
      </c>
      <c r="AA372" s="54">
        <v>10.5</v>
      </c>
      <c r="AB372" s="55">
        <v>0</v>
      </c>
      <c r="AC372" s="55">
        <v>0</v>
      </c>
      <c r="AD372" s="57">
        <v>11.5</v>
      </c>
      <c r="AE372" s="56">
        <v>36</v>
      </c>
      <c r="AF372" s="54">
        <v>10.6</v>
      </c>
      <c r="AG372" s="55">
        <v>0</v>
      </c>
      <c r="AH372" s="55">
        <v>0</v>
      </c>
      <c r="AI372" s="57">
        <v>12.5</v>
      </c>
      <c r="AJ372" s="56">
        <v>35</v>
      </c>
      <c r="AK372" s="54">
        <v>10.6</v>
      </c>
      <c r="AL372" s="54">
        <v>0</v>
      </c>
      <c r="AM372" s="54">
        <v>0</v>
      </c>
      <c r="AN372" s="57">
        <v>14.2</v>
      </c>
      <c r="AO372" s="53">
        <v>36</v>
      </c>
      <c r="AP372" s="54">
        <v>10.6</v>
      </c>
      <c r="AQ372" s="54">
        <v>180</v>
      </c>
      <c r="AR372" s="54">
        <v>0</v>
      </c>
      <c r="AS372" s="57">
        <v>15.5</v>
      </c>
      <c r="AT372" s="56">
        <v>30</v>
      </c>
      <c r="AU372" s="57">
        <v>150</v>
      </c>
      <c r="AV372" s="56"/>
      <c r="AW372" s="57"/>
      <c r="AX372" s="8"/>
      <c r="AZ372" s="1">
        <v>90</v>
      </c>
      <c r="BB372" s="82">
        <f t="shared" si="38"/>
        <v>36.995400000000004</v>
      </c>
    </row>
    <row r="373" spans="3:54" ht="15" customHeight="1" x14ac:dyDescent="0.25">
      <c r="C373" s="42"/>
      <c r="D373" s="43">
        <f>D364</f>
        <v>45746</v>
      </c>
      <c r="E373" s="44">
        <f t="shared" si="42"/>
        <v>29.999999999999844</v>
      </c>
      <c r="F373" s="45">
        <f t="shared" si="39"/>
        <v>45747.000000000866</v>
      </c>
      <c r="G373" s="52">
        <v>41</v>
      </c>
      <c r="H373" s="53">
        <v>40</v>
      </c>
      <c r="I373" s="54">
        <v>9.8000000000000007</v>
      </c>
      <c r="J373" s="54">
        <v>350</v>
      </c>
      <c r="K373" s="55">
        <v>0</v>
      </c>
      <c r="L373" s="56">
        <v>38</v>
      </c>
      <c r="M373" s="54">
        <v>10.3</v>
      </c>
      <c r="N373" s="54">
        <v>350</v>
      </c>
      <c r="O373" s="57">
        <v>0</v>
      </c>
      <c r="P373" s="53">
        <v>38</v>
      </c>
      <c r="Q373" s="54">
        <v>10.4</v>
      </c>
      <c r="R373" s="55">
        <v>0</v>
      </c>
      <c r="S373" s="55">
        <v>0</v>
      </c>
      <c r="T373" s="57">
        <v>18.75</v>
      </c>
      <c r="U373" s="56">
        <v>38</v>
      </c>
      <c r="V373" s="54">
        <v>10.5</v>
      </c>
      <c r="W373" s="55">
        <v>0</v>
      </c>
      <c r="X373" s="55">
        <v>0</v>
      </c>
      <c r="Y373" s="57">
        <v>12.5</v>
      </c>
      <c r="Z373" s="53">
        <v>36</v>
      </c>
      <c r="AA373" s="54">
        <v>10.5</v>
      </c>
      <c r="AB373" s="55">
        <v>0</v>
      </c>
      <c r="AC373" s="55">
        <v>0</v>
      </c>
      <c r="AD373" s="57">
        <v>12.5</v>
      </c>
      <c r="AE373" s="56">
        <v>37</v>
      </c>
      <c r="AF373" s="54">
        <v>10.6</v>
      </c>
      <c r="AG373" s="55">
        <v>0</v>
      </c>
      <c r="AH373" s="55">
        <v>0</v>
      </c>
      <c r="AI373" s="57">
        <v>12.5</v>
      </c>
      <c r="AJ373" s="56">
        <v>36</v>
      </c>
      <c r="AK373" s="54">
        <v>10.6</v>
      </c>
      <c r="AL373" s="54">
        <v>0</v>
      </c>
      <c r="AM373" s="54">
        <v>0</v>
      </c>
      <c r="AN373" s="57">
        <v>13.75</v>
      </c>
      <c r="AO373" s="53">
        <v>38</v>
      </c>
      <c r="AP373" s="54">
        <v>10.6</v>
      </c>
      <c r="AQ373" s="54">
        <v>170</v>
      </c>
      <c r="AR373" s="54">
        <v>0</v>
      </c>
      <c r="AS373" s="57">
        <v>16.25</v>
      </c>
      <c r="AT373" s="56">
        <v>30</v>
      </c>
      <c r="AU373" s="57">
        <v>140</v>
      </c>
      <c r="AV373" s="56"/>
      <c r="AW373" s="57"/>
      <c r="AX373" s="8"/>
      <c r="AZ373" s="1">
        <v>90</v>
      </c>
      <c r="BB373" s="82">
        <f t="shared" si="38"/>
        <v>38.122500000000002</v>
      </c>
    </row>
    <row r="374" spans="3:54" ht="15" customHeight="1" x14ac:dyDescent="0.25">
      <c r="C374" s="42"/>
      <c r="D374" s="43">
        <f>D364</f>
        <v>45746</v>
      </c>
      <c r="E374" s="44">
        <f t="shared" si="42"/>
        <v>30.083333333333176</v>
      </c>
      <c r="F374" s="45">
        <f t="shared" si="39"/>
        <v>45747.083333334202</v>
      </c>
      <c r="G374" s="52">
        <v>38</v>
      </c>
      <c r="H374" s="53">
        <v>38</v>
      </c>
      <c r="I374" s="54">
        <v>9.6</v>
      </c>
      <c r="J374" s="54">
        <v>350</v>
      </c>
      <c r="K374" s="55">
        <v>0</v>
      </c>
      <c r="L374" s="56">
        <v>37</v>
      </c>
      <c r="M374" s="54">
        <v>10.1</v>
      </c>
      <c r="N374" s="54">
        <v>350</v>
      </c>
      <c r="O374" s="57">
        <v>0</v>
      </c>
      <c r="P374" s="53">
        <v>37</v>
      </c>
      <c r="Q374" s="54">
        <v>10.3</v>
      </c>
      <c r="R374" s="55">
        <v>0</v>
      </c>
      <c r="S374" s="55">
        <v>0</v>
      </c>
      <c r="T374" s="57">
        <v>18</v>
      </c>
      <c r="U374" s="56">
        <v>38</v>
      </c>
      <c r="V374" s="54">
        <v>10.6</v>
      </c>
      <c r="W374" s="55">
        <v>0</v>
      </c>
      <c r="X374" s="55">
        <v>0</v>
      </c>
      <c r="Y374" s="57">
        <v>12.5</v>
      </c>
      <c r="Z374" s="53">
        <v>37</v>
      </c>
      <c r="AA374" s="54">
        <v>10.6</v>
      </c>
      <c r="AB374" s="55">
        <v>0</v>
      </c>
      <c r="AC374" s="55">
        <v>0</v>
      </c>
      <c r="AD374" s="57">
        <v>12.5</v>
      </c>
      <c r="AE374" s="56">
        <v>37</v>
      </c>
      <c r="AF374" s="54">
        <v>10.6</v>
      </c>
      <c r="AG374" s="55">
        <v>0</v>
      </c>
      <c r="AH374" s="55">
        <v>0</v>
      </c>
      <c r="AI374" s="57">
        <v>12.5</v>
      </c>
      <c r="AJ374" s="56">
        <v>35</v>
      </c>
      <c r="AK374" s="54">
        <v>10.6</v>
      </c>
      <c r="AL374" s="54">
        <v>0</v>
      </c>
      <c r="AM374" s="54">
        <v>0</v>
      </c>
      <c r="AN374" s="57">
        <v>14.2</v>
      </c>
      <c r="AO374" s="53">
        <v>37</v>
      </c>
      <c r="AP374" s="54">
        <v>10.6</v>
      </c>
      <c r="AQ374" s="54">
        <v>180</v>
      </c>
      <c r="AR374" s="54">
        <v>0</v>
      </c>
      <c r="AS374" s="57">
        <v>16.25</v>
      </c>
      <c r="AT374" s="56">
        <v>30</v>
      </c>
      <c r="AU374" s="57">
        <v>150</v>
      </c>
      <c r="AV374" s="56"/>
      <c r="AW374" s="57"/>
      <c r="AX374" s="8"/>
      <c r="AZ374" s="1">
        <v>90</v>
      </c>
      <c r="BB374" s="82">
        <f t="shared" si="38"/>
        <v>37.989899999999999</v>
      </c>
    </row>
    <row r="375" spans="3:54" ht="15" customHeight="1" x14ac:dyDescent="0.25">
      <c r="C375" s="42"/>
      <c r="D375" s="69">
        <f>D364</f>
        <v>45746</v>
      </c>
      <c r="E375" s="70">
        <f t="shared" si="42"/>
        <v>30.166666666666508</v>
      </c>
      <c r="F375" s="71">
        <f t="shared" si="39"/>
        <v>45747.166666667537</v>
      </c>
      <c r="G375" s="60">
        <v>37</v>
      </c>
      <c r="H375" s="61">
        <v>37</v>
      </c>
      <c r="I375" s="62">
        <v>11.1</v>
      </c>
      <c r="J375" s="62">
        <v>400</v>
      </c>
      <c r="K375" s="63">
        <v>0</v>
      </c>
      <c r="L375" s="64">
        <v>37</v>
      </c>
      <c r="M375" s="62">
        <v>10.199999999999999</v>
      </c>
      <c r="N375" s="62">
        <v>350</v>
      </c>
      <c r="O375" s="65">
        <v>0</v>
      </c>
      <c r="P375" s="61">
        <v>38</v>
      </c>
      <c r="Q375" s="62">
        <v>10.1</v>
      </c>
      <c r="R375" s="63">
        <v>0</v>
      </c>
      <c r="S375" s="63">
        <v>0</v>
      </c>
      <c r="T375" s="65">
        <v>18.7</v>
      </c>
      <c r="U375" s="64">
        <v>39</v>
      </c>
      <c r="V375" s="62">
        <v>10.5</v>
      </c>
      <c r="W375" s="63">
        <v>0</v>
      </c>
      <c r="X375" s="63">
        <v>0</v>
      </c>
      <c r="Y375" s="65">
        <v>11.2</v>
      </c>
      <c r="Z375" s="61">
        <v>38</v>
      </c>
      <c r="AA375" s="62">
        <v>10.6</v>
      </c>
      <c r="AB375" s="63">
        <v>0</v>
      </c>
      <c r="AC375" s="63">
        <v>0</v>
      </c>
      <c r="AD375" s="65">
        <v>12.5</v>
      </c>
      <c r="AE375" s="64">
        <v>38</v>
      </c>
      <c r="AF375" s="62">
        <v>10.7</v>
      </c>
      <c r="AG375" s="63">
        <v>0</v>
      </c>
      <c r="AH375" s="63">
        <v>0</v>
      </c>
      <c r="AI375" s="65">
        <v>11.2</v>
      </c>
      <c r="AJ375" s="64">
        <v>36</v>
      </c>
      <c r="AK375" s="62">
        <v>10.6</v>
      </c>
      <c r="AL375" s="62">
        <v>0</v>
      </c>
      <c r="AM375" s="62">
        <v>0</v>
      </c>
      <c r="AN375" s="65">
        <v>15</v>
      </c>
      <c r="AO375" s="61">
        <v>37</v>
      </c>
      <c r="AP375" s="62">
        <v>10.7</v>
      </c>
      <c r="AQ375" s="62">
        <v>170</v>
      </c>
      <c r="AR375" s="62">
        <v>0</v>
      </c>
      <c r="AS375" s="65">
        <v>15.7</v>
      </c>
      <c r="AT375" s="64">
        <v>30</v>
      </c>
      <c r="AU375" s="65">
        <v>140</v>
      </c>
      <c r="AV375" s="64"/>
      <c r="AW375" s="65"/>
      <c r="AX375" s="8"/>
      <c r="AZ375" s="1">
        <v>90</v>
      </c>
      <c r="BB375" s="82">
        <f t="shared" si="38"/>
        <v>37.260599999999997</v>
      </c>
    </row>
    <row r="376" spans="3:54" ht="15" customHeight="1" x14ac:dyDescent="0.25">
      <c r="C376" s="42">
        <f>DAY(D376)</f>
        <v>31</v>
      </c>
      <c r="D376" s="66">
        <f>D364+1</f>
        <v>45747</v>
      </c>
      <c r="E376" s="67">
        <f>E375+2/24</f>
        <v>30.24999999999984</v>
      </c>
      <c r="F376" s="68">
        <f t="shared" si="39"/>
        <v>45747.250000000873</v>
      </c>
      <c r="G376" s="46">
        <v>0</v>
      </c>
      <c r="H376" s="47">
        <v>37</v>
      </c>
      <c r="I376" s="48">
        <v>10.9</v>
      </c>
      <c r="J376" s="48">
        <v>400</v>
      </c>
      <c r="K376" s="49">
        <v>0</v>
      </c>
      <c r="L376" s="50">
        <v>37</v>
      </c>
      <c r="M376" s="48">
        <v>10.3</v>
      </c>
      <c r="N376" s="48">
        <v>350</v>
      </c>
      <c r="O376" s="51">
        <v>0</v>
      </c>
      <c r="P376" s="47">
        <v>38</v>
      </c>
      <c r="Q376" s="48">
        <v>10.1</v>
      </c>
      <c r="R376" s="49">
        <v>0</v>
      </c>
      <c r="S376" s="49">
        <v>0</v>
      </c>
      <c r="T376" s="51">
        <v>18</v>
      </c>
      <c r="U376" s="50">
        <v>39</v>
      </c>
      <c r="V376" s="48">
        <v>10.5</v>
      </c>
      <c r="W376" s="49">
        <v>0</v>
      </c>
      <c r="X376" s="49">
        <v>0</v>
      </c>
      <c r="Y376" s="51">
        <v>10.8</v>
      </c>
      <c r="Z376" s="47">
        <v>38</v>
      </c>
      <c r="AA376" s="48">
        <v>10.6</v>
      </c>
      <c r="AB376" s="49">
        <v>0</v>
      </c>
      <c r="AC376" s="49">
        <v>0</v>
      </c>
      <c r="AD376" s="51">
        <v>12.5</v>
      </c>
      <c r="AE376" s="50">
        <v>38</v>
      </c>
      <c r="AF376" s="48">
        <v>10.7</v>
      </c>
      <c r="AG376" s="49">
        <v>0</v>
      </c>
      <c r="AH376" s="49">
        <v>0</v>
      </c>
      <c r="AI376" s="51">
        <v>11.2</v>
      </c>
      <c r="AJ376" s="50">
        <v>36</v>
      </c>
      <c r="AK376" s="48">
        <v>10.6</v>
      </c>
      <c r="AL376" s="48">
        <v>0</v>
      </c>
      <c r="AM376" s="48">
        <v>0</v>
      </c>
      <c r="AN376" s="51">
        <v>14.42</v>
      </c>
      <c r="AO376" s="47">
        <v>37</v>
      </c>
      <c r="AP376" s="48">
        <v>10.6</v>
      </c>
      <c r="AQ376" s="48">
        <v>160</v>
      </c>
      <c r="AR376" s="48">
        <v>0</v>
      </c>
      <c r="AS376" s="51">
        <v>15.7</v>
      </c>
      <c r="AT376" s="50">
        <v>0</v>
      </c>
      <c r="AU376" s="51">
        <v>0</v>
      </c>
      <c r="AV376" s="50"/>
      <c r="AW376" s="51"/>
      <c r="AX376" s="8"/>
      <c r="AZ376" s="1">
        <v>90</v>
      </c>
      <c r="BB376" s="82">
        <f t="shared" si="38"/>
        <v>36.518039999999999</v>
      </c>
    </row>
    <row r="377" spans="3:54" ht="15" customHeight="1" x14ac:dyDescent="0.25">
      <c r="C377" s="42"/>
      <c r="D377" s="43">
        <f>D376</f>
        <v>45747</v>
      </c>
      <c r="E377" s="44">
        <f>E376+2/24</f>
        <v>30.333333333333172</v>
      </c>
      <c r="F377" s="45">
        <f t="shared" si="39"/>
        <v>45747.333333334209</v>
      </c>
      <c r="G377" s="52">
        <v>0</v>
      </c>
      <c r="H377" s="53">
        <v>37</v>
      </c>
      <c r="I377" s="54">
        <v>10.5</v>
      </c>
      <c r="J377" s="54">
        <v>400</v>
      </c>
      <c r="K377" s="55">
        <v>0</v>
      </c>
      <c r="L377" s="56">
        <v>37</v>
      </c>
      <c r="M377" s="54">
        <v>10.199999999999999</v>
      </c>
      <c r="N377" s="54">
        <v>350</v>
      </c>
      <c r="O377" s="57">
        <v>0</v>
      </c>
      <c r="P377" s="53">
        <v>38</v>
      </c>
      <c r="Q377" s="54">
        <v>10.1</v>
      </c>
      <c r="R377" s="55">
        <v>0</v>
      </c>
      <c r="S377" s="55">
        <v>0</v>
      </c>
      <c r="T377" s="57">
        <v>18.7</v>
      </c>
      <c r="U377" s="56">
        <v>39</v>
      </c>
      <c r="V377" s="54">
        <v>10.5</v>
      </c>
      <c r="W377" s="55">
        <v>0</v>
      </c>
      <c r="X377" s="55">
        <v>0</v>
      </c>
      <c r="Y377" s="57">
        <v>11.2</v>
      </c>
      <c r="Z377" s="53">
        <v>38</v>
      </c>
      <c r="AA377" s="54">
        <v>10.6</v>
      </c>
      <c r="AB377" s="55">
        <v>0</v>
      </c>
      <c r="AC377" s="55">
        <v>0</v>
      </c>
      <c r="AD377" s="57">
        <v>12.5</v>
      </c>
      <c r="AE377" s="56">
        <v>38</v>
      </c>
      <c r="AF377" s="54">
        <v>10.7</v>
      </c>
      <c r="AG377" s="55">
        <v>0</v>
      </c>
      <c r="AH377" s="55">
        <v>0</v>
      </c>
      <c r="AI377" s="57">
        <v>12.7</v>
      </c>
      <c r="AJ377" s="56">
        <v>36</v>
      </c>
      <c r="AK377" s="54">
        <v>10.6</v>
      </c>
      <c r="AL377" s="54">
        <v>0</v>
      </c>
      <c r="AM377" s="54">
        <v>0</v>
      </c>
      <c r="AN377" s="57">
        <v>15</v>
      </c>
      <c r="AO377" s="53">
        <v>37</v>
      </c>
      <c r="AP377" s="54">
        <v>10.6</v>
      </c>
      <c r="AQ377" s="54">
        <v>170</v>
      </c>
      <c r="AR377" s="54">
        <v>0</v>
      </c>
      <c r="AS377" s="57">
        <v>15</v>
      </c>
      <c r="AT377" s="56">
        <v>0</v>
      </c>
      <c r="AU377" s="57">
        <v>0</v>
      </c>
      <c r="AV377" s="56"/>
      <c r="AW377" s="57"/>
      <c r="AX377" s="8"/>
      <c r="AZ377" s="1">
        <v>90</v>
      </c>
      <c r="BB377" s="82">
        <f t="shared" si="38"/>
        <v>37.614199999999997</v>
      </c>
    </row>
    <row r="378" spans="3:54" ht="15" customHeight="1" x14ac:dyDescent="0.25">
      <c r="C378" s="42"/>
      <c r="D378" s="43">
        <f>D376</f>
        <v>45747</v>
      </c>
      <c r="E378" s="44">
        <f t="shared" ref="E378:E387" si="43">E377+2/24</f>
        <v>30.416666666666504</v>
      </c>
      <c r="F378" s="45">
        <f t="shared" si="39"/>
        <v>45747.416666667545</v>
      </c>
      <c r="G378" s="52">
        <v>0</v>
      </c>
      <c r="H378" s="53">
        <v>38</v>
      </c>
      <c r="I378" s="54">
        <v>10.5</v>
      </c>
      <c r="J378" s="54">
        <v>350</v>
      </c>
      <c r="K378" s="55">
        <v>0</v>
      </c>
      <c r="L378" s="56">
        <v>38</v>
      </c>
      <c r="M378" s="54">
        <v>10.1</v>
      </c>
      <c r="N378" s="54">
        <v>300</v>
      </c>
      <c r="O378" s="57">
        <v>0</v>
      </c>
      <c r="P378" s="53">
        <v>37</v>
      </c>
      <c r="Q378" s="54">
        <v>10.1</v>
      </c>
      <c r="R378" s="55">
        <v>0</v>
      </c>
      <c r="S378" s="55">
        <v>0</v>
      </c>
      <c r="T378" s="57">
        <v>18.5</v>
      </c>
      <c r="U378" s="56">
        <v>39</v>
      </c>
      <c r="V378" s="54">
        <v>10.3</v>
      </c>
      <c r="W378" s="55">
        <v>0</v>
      </c>
      <c r="X378" s="55">
        <v>0</v>
      </c>
      <c r="Y378" s="57">
        <v>11.25</v>
      </c>
      <c r="Z378" s="53">
        <v>39</v>
      </c>
      <c r="AA378" s="54">
        <v>10.4</v>
      </c>
      <c r="AB378" s="55">
        <v>0</v>
      </c>
      <c r="AC378" s="55">
        <v>0</v>
      </c>
      <c r="AD378" s="57">
        <v>12</v>
      </c>
      <c r="AE378" s="56">
        <v>37</v>
      </c>
      <c r="AF378" s="54">
        <v>10.3</v>
      </c>
      <c r="AG378" s="55">
        <v>0</v>
      </c>
      <c r="AH378" s="55">
        <v>0</v>
      </c>
      <c r="AI378" s="57">
        <v>12.5</v>
      </c>
      <c r="AJ378" s="56">
        <v>37</v>
      </c>
      <c r="AK378" s="54">
        <v>10.4</v>
      </c>
      <c r="AL378" s="54">
        <v>0</v>
      </c>
      <c r="AM378" s="54">
        <v>0</v>
      </c>
      <c r="AN378" s="57">
        <v>14.2</v>
      </c>
      <c r="AO378" s="53">
        <v>37</v>
      </c>
      <c r="AP378" s="54">
        <v>10.5</v>
      </c>
      <c r="AQ378" s="54">
        <v>150</v>
      </c>
      <c r="AR378" s="54">
        <v>0</v>
      </c>
      <c r="AS378" s="57">
        <v>16</v>
      </c>
      <c r="AT378" s="56">
        <v>0</v>
      </c>
      <c r="AU378" s="57">
        <v>0</v>
      </c>
      <c r="AV378" s="56"/>
      <c r="AW378" s="57"/>
      <c r="AX378" s="8"/>
      <c r="AZ378" s="1">
        <v>90</v>
      </c>
      <c r="BB378" s="82">
        <f t="shared" si="38"/>
        <v>37.326900000000002</v>
      </c>
    </row>
    <row r="379" spans="3:54" ht="15" customHeight="1" x14ac:dyDescent="0.25">
      <c r="C379" s="42"/>
      <c r="D379" s="43">
        <f>D376</f>
        <v>45747</v>
      </c>
      <c r="E379" s="44">
        <f t="shared" si="43"/>
        <v>30.499999999999837</v>
      </c>
      <c r="F379" s="45">
        <f t="shared" si="39"/>
        <v>45747.50000000088</v>
      </c>
      <c r="G379" s="52">
        <v>0</v>
      </c>
      <c r="H379" s="53">
        <v>38</v>
      </c>
      <c r="I379" s="54">
        <v>10.4</v>
      </c>
      <c r="J379" s="54">
        <v>350</v>
      </c>
      <c r="K379" s="55">
        <v>0</v>
      </c>
      <c r="L379" s="56">
        <v>38</v>
      </c>
      <c r="M379" s="54">
        <v>10.1</v>
      </c>
      <c r="N379" s="54">
        <v>300</v>
      </c>
      <c r="O379" s="57">
        <v>0</v>
      </c>
      <c r="P379" s="53">
        <v>38</v>
      </c>
      <c r="Q379" s="54">
        <v>9.9</v>
      </c>
      <c r="R379" s="55">
        <v>0</v>
      </c>
      <c r="S379" s="55">
        <v>0</v>
      </c>
      <c r="T379" s="57">
        <v>18.25</v>
      </c>
      <c r="U379" s="56">
        <v>39</v>
      </c>
      <c r="V379" s="54">
        <v>10.3</v>
      </c>
      <c r="W379" s="55">
        <v>0</v>
      </c>
      <c r="X379" s="55">
        <v>0</v>
      </c>
      <c r="Y379" s="57">
        <v>11.5</v>
      </c>
      <c r="Z379" s="53">
        <v>39</v>
      </c>
      <c r="AA379" s="54">
        <v>10.4</v>
      </c>
      <c r="AB379" s="55">
        <v>0</v>
      </c>
      <c r="AC379" s="55">
        <v>0</v>
      </c>
      <c r="AD379" s="57">
        <v>12.15</v>
      </c>
      <c r="AE379" s="56">
        <v>37</v>
      </c>
      <c r="AF379" s="54">
        <v>10.3</v>
      </c>
      <c r="AG379" s="55">
        <v>0</v>
      </c>
      <c r="AH379" s="55">
        <v>0</v>
      </c>
      <c r="AI379" s="57">
        <v>11.25</v>
      </c>
      <c r="AJ379" s="56">
        <v>37</v>
      </c>
      <c r="AK379" s="54">
        <v>10.5</v>
      </c>
      <c r="AL379" s="54">
        <v>0</v>
      </c>
      <c r="AM379" s="54">
        <v>0</v>
      </c>
      <c r="AN379" s="57">
        <v>13.75</v>
      </c>
      <c r="AO379" s="53">
        <v>37</v>
      </c>
      <c r="AP379" s="54">
        <v>10.4</v>
      </c>
      <c r="AQ379" s="54">
        <v>140</v>
      </c>
      <c r="AR379" s="54">
        <v>0</v>
      </c>
      <c r="AS379" s="57">
        <v>16.5</v>
      </c>
      <c r="AT379" s="56">
        <v>0</v>
      </c>
      <c r="AU379" s="57">
        <v>0</v>
      </c>
      <c r="AV379" s="56"/>
      <c r="AW379" s="57"/>
      <c r="AX379" s="8"/>
      <c r="AZ379" s="1">
        <v>90</v>
      </c>
      <c r="BB379" s="82">
        <f t="shared" si="38"/>
        <v>36.8628</v>
      </c>
    </row>
    <row r="380" spans="3:54" ht="15" customHeight="1" x14ac:dyDescent="0.25">
      <c r="C380" s="42"/>
      <c r="D380" s="43">
        <f>D376</f>
        <v>45747</v>
      </c>
      <c r="E380" s="44">
        <f t="shared" si="43"/>
        <v>30.583333333333169</v>
      </c>
      <c r="F380" s="45">
        <f t="shared" si="39"/>
        <v>45747.583333334216</v>
      </c>
      <c r="G380" s="52">
        <v>0</v>
      </c>
      <c r="H380" s="53">
        <v>38</v>
      </c>
      <c r="I380" s="54">
        <v>10.4</v>
      </c>
      <c r="J380" s="54">
        <v>350</v>
      </c>
      <c r="K380" s="55">
        <v>0</v>
      </c>
      <c r="L380" s="56">
        <v>39</v>
      </c>
      <c r="M380" s="54">
        <v>10.1</v>
      </c>
      <c r="N380" s="54">
        <v>300</v>
      </c>
      <c r="O380" s="57">
        <v>0</v>
      </c>
      <c r="P380" s="53">
        <v>38</v>
      </c>
      <c r="Q380" s="54">
        <v>9.9</v>
      </c>
      <c r="R380" s="55">
        <v>0</v>
      </c>
      <c r="S380" s="55">
        <v>0</v>
      </c>
      <c r="T380" s="57">
        <v>18.75</v>
      </c>
      <c r="U380" s="56">
        <v>38</v>
      </c>
      <c r="V380" s="54">
        <v>10.199999999999999</v>
      </c>
      <c r="W380" s="55">
        <v>0</v>
      </c>
      <c r="X380" s="55">
        <v>0</v>
      </c>
      <c r="Y380" s="57">
        <v>11.75</v>
      </c>
      <c r="Z380" s="53">
        <v>38</v>
      </c>
      <c r="AA380" s="54">
        <v>10.3</v>
      </c>
      <c r="AB380" s="55">
        <v>0</v>
      </c>
      <c r="AC380" s="55">
        <v>0</v>
      </c>
      <c r="AD380" s="57">
        <v>12.25</v>
      </c>
      <c r="AE380" s="56">
        <v>37</v>
      </c>
      <c r="AF380" s="54">
        <v>10.3</v>
      </c>
      <c r="AG380" s="55">
        <v>0</v>
      </c>
      <c r="AH380" s="55">
        <v>0</v>
      </c>
      <c r="AI380" s="57">
        <v>11.25</v>
      </c>
      <c r="AJ380" s="56">
        <v>38</v>
      </c>
      <c r="AK380" s="54">
        <v>10.4</v>
      </c>
      <c r="AL380" s="54">
        <v>0</v>
      </c>
      <c r="AM380" s="54">
        <v>0</v>
      </c>
      <c r="AN380" s="57">
        <v>13.75</v>
      </c>
      <c r="AO380" s="53">
        <v>37</v>
      </c>
      <c r="AP380" s="54">
        <v>10.4</v>
      </c>
      <c r="AQ380" s="54">
        <v>130</v>
      </c>
      <c r="AR380" s="54">
        <v>0</v>
      </c>
      <c r="AS380" s="57">
        <v>15</v>
      </c>
      <c r="AT380" s="56">
        <v>0</v>
      </c>
      <c r="AU380" s="57">
        <v>0</v>
      </c>
      <c r="AV380" s="56"/>
      <c r="AW380" s="57"/>
      <c r="AX380" s="8"/>
      <c r="AZ380" s="1">
        <v>90</v>
      </c>
      <c r="BB380" s="82">
        <f t="shared" si="38"/>
        <v>36.575499999999998</v>
      </c>
    </row>
    <row r="381" spans="3:54" ht="15" customHeight="1" x14ac:dyDescent="0.25">
      <c r="C381" s="42"/>
      <c r="D381" s="43">
        <f>D376</f>
        <v>45747</v>
      </c>
      <c r="E381" s="44">
        <f t="shared" si="43"/>
        <v>30.666666666666501</v>
      </c>
      <c r="F381" s="45">
        <f t="shared" si="39"/>
        <v>45747.666666667552</v>
      </c>
      <c r="G381" s="52">
        <v>0</v>
      </c>
      <c r="H381" s="53">
        <v>38</v>
      </c>
      <c r="I381" s="54">
        <v>10.4</v>
      </c>
      <c r="J381" s="54">
        <v>350</v>
      </c>
      <c r="K381" s="55">
        <v>0</v>
      </c>
      <c r="L381" s="56">
        <v>39</v>
      </c>
      <c r="M381" s="54">
        <v>10.1</v>
      </c>
      <c r="N381" s="54">
        <v>300</v>
      </c>
      <c r="O381" s="57">
        <v>0</v>
      </c>
      <c r="P381" s="53">
        <v>38</v>
      </c>
      <c r="Q381" s="54">
        <v>9.9</v>
      </c>
      <c r="R381" s="55">
        <v>0</v>
      </c>
      <c r="S381" s="55">
        <v>0</v>
      </c>
      <c r="T381" s="57">
        <v>18.75</v>
      </c>
      <c r="U381" s="56">
        <v>38</v>
      </c>
      <c r="V381" s="54">
        <v>10.199999999999999</v>
      </c>
      <c r="W381" s="55">
        <v>0</v>
      </c>
      <c r="X381" s="55">
        <v>0</v>
      </c>
      <c r="Y381" s="57">
        <v>11.25</v>
      </c>
      <c r="Z381" s="53">
        <v>39</v>
      </c>
      <c r="AA381" s="54">
        <v>10.3</v>
      </c>
      <c r="AB381" s="55">
        <v>0</v>
      </c>
      <c r="AC381" s="55">
        <v>0</v>
      </c>
      <c r="AD381" s="57">
        <v>12.15</v>
      </c>
      <c r="AE381" s="56">
        <v>36</v>
      </c>
      <c r="AF381" s="54">
        <v>10.3</v>
      </c>
      <c r="AG381" s="55">
        <v>0</v>
      </c>
      <c r="AH381" s="55">
        <v>0</v>
      </c>
      <c r="AI381" s="57">
        <v>11.25</v>
      </c>
      <c r="AJ381" s="56">
        <v>39</v>
      </c>
      <c r="AK381" s="54">
        <v>10.4</v>
      </c>
      <c r="AL381" s="54">
        <v>0</v>
      </c>
      <c r="AM381" s="54">
        <v>0</v>
      </c>
      <c r="AN381" s="57">
        <v>13.75</v>
      </c>
      <c r="AO381" s="53">
        <v>37</v>
      </c>
      <c r="AP381" s="54">
        <v>10.4</v>
      </c>
      <c r="AQ381" s="54">
        <v>130</v>
      </c>
      <c r="AR381" s="54">
        <v>0</v>
      </c>
      <c r="AS381" s="57">
        <v>16.25</v>
      </c>
      <c r="AT381" s="56">
        <v>0</v>
      </c>
      <c r="AU381" s="57">
        <v>0</v>
      </c>
      <c r="AV381" s="56"/>
      <c r="AW381" s="57"/>
      <c r="AX381" s="8"/>
      <c r="AZ381" s="1">
        <v>90</v>
      </c>
      <c r="BB381" s="82">
        <f t="shared" si="38"/>
        <v>36.8628</v>
      </c>
    </row>
    <row r="382" spans="3:54" ht="15" customHeight="1" x14ac:dyDescent="0.25">
      <c r="C382" s="42"/>
      <c r="D382" s="43">
        <f>D376</f>
        <v>45747</v>
      </c>
      <c r="E382" s="44">
        <f t="shared" si="43"/>
        <v>30.749999999999833</v>
      </c>
      <c r="F382" s="45">
        <f t="shared" si="39"/>
        <v>45747.750000000888</v>
      </c>
      <c r="G382" s="52">
        <v>0</v>
      </c>
      <c r="H382" s="53">
        <v>38</v>
      </c>
      <c r="I382" s="54">
        <v>10.4</v>
      </c>
      <c r="J382" s="54">
        <v>350</v>
      </c>
      <c r="K382" s="55">
        <v>0</v>
      </c>
      <c r="L382" s="56">
        <v>39</v>
      </c>
      <c r="M382" s="54">
        <v>10</v>
      </c>
      <c r="N382" s="54">
        <v>300</v>
      </c>
      <c r="O382" s="57">
        <v>0</v>
      </c>
      <c r="P382" s="53">
        <v>38</v>
      </c>
      <c r="Q382" s="54">
        <v>9.9</v>
      </c>
      <c r="R382" s="55">
        <v>0</v>
      </c>
      <c r="S382" s="55">
        <v>0</v>
      </c>
      <c r="T382" s="57">
        <v>18.5</v>
      </c>
      <c r="U382" s="56">
        <v>38</v>
      </c>
      <c r="V382" s="54">
        <v>10.199999999999999</v>
      </c>
      <c r="W382" s="55">
        <v>0</v>
      </c>
      <c r="X382" s="55">
        <v>0</v>
      </c>
      <c r="Y382" s="57">
        <v>11.25</v>
      </c>
      <c r="Z382" s="53">
        <v>38</v>
      </c>
      <c r="AA382" s="54">
        <v>10.3</v>
      </c>
      <c r="AB382" s="55">
        <v>0</v>
      </c>
      <c r="AC382" s="55">
        <v>0</v>
      </c>
      <c r="AD382" s="57">
        <v>12.15</v>
      </c>
      <c r="AE382" s="56">
        <v>36</v>
      </c>
      <c r="AF382" s="54">
        <v>10.3</v>
      </c>
      <c r="AG382" s="55">
        <v>0</v>
      </c>
      <c r="AH382" s="55">
        <v>0</v>
      </c>
      <c r="AI382" s="57">
        <v>12.5</v>
      </c>
      <c r="AJ382" s="56">
        <v>38</v>
      </c>
      <c r="AK382" s="54">
        <v>10.4</v>
      </c>
      <c r="AL382" s="54">
        <v>0</v>
      </c>
      <c r="AM382" s="54">
        <v>0</v>
      </c>
      <c r="AN382" s="57">
        <v>13.75</v>
      </c>
      <c r="AO382" s="53">
        <v>37</v>
      </c>
      <c r="AP382" s="54">
        <v>10.4</v>
      </c>
      <c r="AQ382" s="54">
        <v>130</v>
      </c>
      <c r="AR382" s="54">
        <v>0</v>
      </c>
      <c r="AS382" s="57">
        <v>15.75</v>
      </c>
      <c r="AT382" s="56">
        <v>0</v>
      </c>
      <c r="AU382" s="57">
        <v>0</v>
      </c>
      <c r="AV382" s="56"/>
      <c r="AW382" s="57"/>
      <c r="AX382" s="8"/>
      <c r="AZ382" s="1">
        <v>90</v>
      </c>
      <c r="BB382" s="82">
        <f t="shared" si="38"/>
        <v>37.083800000000004</v>
      </c>
    </row>
    <row r="383" spans="3:54" ht="15" customHeight="1" x14ac:dyDescent="0.25">
      <c r="C383" s="42"/>
      <c r="D383" s="43">
        <f>D376</f>
        <v>45747</v>
      </c>
      <c r="E383" s="44">
        <f t="shared" si="43"/>
        <v>30.833333333333165</v>
      </c>
      <c r="F383" s="45">
        <f t="shared" si="39"/>
        <v>45747.833333334223</v>
      </c>
      <c r="G383" s="52">
        <v>0</v>
      </c>
      <c r="H383" s="53">
        <v>38</v>
      </c>
      <c r="I383" s="54">
        <v>10.5</v>
      </c>
      <c r="J383" s="54">
        <v>350</v>
      </c>
      <c r="K383" s="55">
        <v>0</v>
      </c>
      <c r="L383" s="56">
        <v>39</v>
      </c>
      <c r="M383" s="54">
        <v>10</v>
      </c>
      <c r="N383" s="54">
        <v>300</v>
      </c>
      <c r="O383" s="57">
        <v>0</v>
      </c>
      <c r="P383" s="53">
        <v>38</v>
      </c>
      <c r="Q383" s="54">
        <v>9.9</v>
      </c>
      <c r="R383" s="55">
        <v>0</v>
      </c>
      <c r="S383" s="55">
        <v>0</v>
      </c>
      <c r="T383" s="57">
        <v>18.5</v>
      </c>
      <c r="U383" s="56">
        <v>38</v>
      </c>
      <c r="V383" s="54">
        <v>10.199999999999999</v>
      </c>
      <c r="W383" s="55">
        <v>0</v>
      </c>
      <c r="X383" s="55">
        <v>0</v>
      </c>
      <c r="Y383" s="57">
        <v>11.25</v>
      </c>
      <c r="Z383" s="53">
        <v>38</v>
      </c>
      <c r="AA383" s="54">
        <v>10.3</v>
      </c>
      <c r="AB383" s="55">
        <v>0</v>
      </c>
      <c r="AC383" s="55">
        <v>0</v>
      </c>
      <c r="AD383" s="57">
        <v>12.15</v>
      </c>
      <c r="AE383" s="56">
        <v>36</v>
      </c>
      <c r="AF383" s="54">
        <v>10.3</v>
      </c>
      <c r="AG383" s="55">
        <v>0</v>
      </c>
      <c r="AH383" s="55">
        <v>0</v>
      </c>
      <c r="AI383" s="57">
        <v>12.5</v>
      </c>
      <c r="AJ383" s="56">
        <v>38</v>
      </c>
      <c r="AK383" s="54">
        <v>10.4</v>
      </c>
      <c r="AL383" s="54">
        <v>0</v>
      </c>
      <c r="AM383" s="54">
        <v>0</v>
      </c>
      <c r="AN383" s="57">
        <v>13.75</v>
      </c>
      <c r="AO383" s="53">
        <v>37</v>
      </c>
      <c r="AP383" s="54">
        <v>10.4</v>
      </c>
      <c r="AQ383" s="54">
        <v>130</v>
      </c>
      <c r="AR383" s="54">
        <v>0</v>
      </c>
      <c r="AS383" s="57">
        <v>15.75</v>
      </c>
      <c r="AT383" s="56">
        <v>0</v>
      </c>
      <c r="AU383" s="57">
        <v>0</v>
      </c>
      <c r="AV383" s="56"/>
      <c r="AW383" s="57"/>
      <c r="AX383" s="8"/>
      <c r="AZ383" s="1">
        <v>90</v>
      </c>
      <c r="BB383" s="82">
        <f t="shared" si="38"/>
        <v>37.083800000000004</v>
      </c>
    </row>
    <row r="384" spans="3:54" ht="15" customHeight="1" x14ac:dyDescent="0.25">
      <c r="C384" s="42"/>
      <c r="D384" s="43">
        <f>D376</f>
        <v>45747</v>
      </c>
      <c r="E384" s="44">
        <f t="shared" si="43"/>
        <v>30.916666666666497</v>
      </c>
      <c r="F384" s="45">
        <f t="shared" si="39"/>
        <v>45747.916666667559</v>
      </c>
      <c r="G384" s="52">
        <v>0</v>
      </c>
      <c r="H384" s="53">
        <v>0</v>
      </c>
      <c r="I384" s="54">
        <v>0</v>
      </c>
      <c r="J384" s="54">
        <v>0</v>
      </c>
      <c r="K384" s="55">
        <v>0</v>
      </c>
      <c r="L384" s="56">
        <v>0</v>
      </c>
      <c r="M384" s="54">
        <v>0</v>
      </c>
      <c r="N384" s="54">
        <v>0</v>
      </c>
      <c r="O384" s="57">
        <v>0</v>
      </c>
      <c r="P384" s="53">
        <v>0</v>
      </c>
      <c r="Q384" s="54">
        <v>0</v>
      </c>
      <c r="R384" s="55">
        <v>0</v>
      </c>
      <c r="S384" s="55">
        <v>0</v>
      </c>
      <c r="T384" s="57">
        <v>0</v>
      </c>
      <c r="U384" s="56">
        <v>0</v>
      </c>
      <c r="V384" s="54">
        <v>0</v>
      </c>
      <c r="W384" s="55">
        <v>0</v>
      </c>
      <c r="X384" s="55">
        <v>0</v>
      </c>
      <c r="Y384" s="57">
        <v>0</v>
      </c>
      <c r="Z384" s="53">
        <v>0</v>
      </c>
      <c r="AA384" s="54">
        <v>0</v>
      </c>
      <c r="AB384" s="55">
        <v>0</v>
      </c>
      <c r="AC384" s="55">
        <v>0</v>
      </c>
      <c r="AD384" s="57">
        <v>0</v>
      </c>
      <c r="AE384" s="56">
        <v>0</v>
      </c>
      <c r="AF384" s="54">
        <v>0</v>
      </c>
      <c r="AG384" s="55">
        <v>0</v>
      </c>
      <c r="AH384" s="55">
        <v>0</v>
      </c>
      <c r="AI384" s="57">
        <v>0</v>
      </c>
      <c r="AJ384" s="56">
        <v>0</v>
      </c>
      <c r="AK384" s="54">
        <v>0</v>
      </c>
      <c r="AL384" s="54">
        <v>0</v>
      </c>
      <c r="AM384" s="54">
        <v>0</v>
      </c>
      <c r="AN384" s="57">
        <v>0</v>
      </c>
      <c r="AO384" s="53">
        <v>0</v>
      </c>
      <c r="AP384" s="54">
        <v>0</v>
      </c>
      <c r="AQ384" s="54">
        <v>0</v>
      </c>
      <c r="AR384" s="54">
        <v>0</v>
      </c>
      <c r="AS384" s="57">
        <v>0</v>
      </c>
      <c r="AT384" s="56">
        <v>0</v>
      </c>
      <c r="AU384" s="57">
        <v>0</v>
      </c>
      <c r="AV384" s="56"/>
      <c r="AW384" s="57"/>
      <c r="AX384" s="8"/>
      <c r="AZ384" s="1">
        <v>90</v>
      </c>
      <c r="BB384" s="82">
        <f t="shared" si="38"/>
        <v>0</v>
      </c>
    </row>
    <row r="385" spans="3:54" ht="15" customHeight="1" x14ac:dyDescent="0.25">
      <c r="C385" s="42"/>
      <c r="D385" s="43">
        <f>D376</f>
        <v>45747</v>
      </c>
      <c r="E385" s="44">
        <f t="shared" si="43"/>
        <v>30.999999999999829</v>
      </c>
      <c r="F385" s="45">
        <f t="shared" si="39"/>
        <v>45748.000000000895</v>
      </c>
      <c r="G385" s="52">
        <v>0</v>
      </c>
      <c r="H385" s="53">
        <v>40</v>
      </c>
      <c r="I385" s="54">
        <v>10.1</v>
      </c>
      <c r="J385" s="54">
        <v>300</v>
      </c>
      <c r="K385" s="55">
        <v>0</v>
      </c>
      <c r="L385" s="56">
        <v>39</v>
      </c>
      <c r="M385" s="54">
        <v>9.3000000000000007</v>
      </c>
      <c r="N385" s="54">
        <v>250</v>
      </c>
      <c r="O385" s="57">
        <v>0</v>
      </c>
      <c r="P385" s="53">
        <v>39</v>
      </c>
      <c r="Q385" s="54">
        <v>10.1</v>
      </c>
      <c r="R385" s="55">
        <v>0</v>
      </c>
      <c r="S385" s="55">
        <v>0</v>
      </c>
      <c r="T385" s="57">
        <v>18.399999999999999</v>
      </c>
      <c r="U385" s="56">
        <v>40</v>
      </c>
      <c r="V385" s="54">
        <v>10.4</v>
      </c>
      <c r="W385" s="55">
        <v>0</v>
      </c>
      <c r="X385" s="55">
        <v>0</v>
      </c>
      <c r="Y385" s="57">
        <v>11.23</v>
      </c>
      <c r="Z385" s="53">
        <v>41</v>
      </c>
      <c r="AA385" s="54">
        <v>10.3</v>
      </c>
      <c r="AB385" s="55">
        <v>0</v>
      </c>
      <c r="AC385" s="55">
        <v>0</v>
      </c>
      <c r="AD385" s="57">
        <v>12.2</v>
      </c>
      <c r="AE385" s="56">
        <v>40</v>
      </c>
      <c r="AF385" s="54">
        <v>10.4</v>
      </c>
      <c r="AG385" s="55">
        <v>0</v>
      </c>
      <c r="AH385" s="55">
        <v>0</v>
      </c>
      <c r="AI385" s="57">
        <v>11.73</v>
      </c>
      <c r="AJ385" s="56">
        <v>39</v>
      </c>
      <c r="AK385" s="54">
        <v>10.4</v>
      </c>
      <c r="AL385" s="54">
        <v>0</v>
      </c>
      <c r="AM385" s="54">
        <v>0</v>
      </c>
      <c r="AN385" s="57">
        <v>15.45</v>
      </c>
      <c r="AO385" s="53">
        <v>39</v>
      </c>
      <c r="AP385" s="54">
        <v>10.3</v>
      </c>
      <c r="AQ385" s="54">
        <v>120</v>
      </c>
      <c r="AR385" s="54">
        <v>0</v>
      </c>
      <c r="AS385" s="57">
        <v>15.8</v>
      </c>
      <c r="AT385" s="56">
        <v>0</v>
      </c>
      <c r="AU385" s="57">
        <v>0</v>
      </c>
      <c r="AV385" s="56"/>
      <c r="AW385" s="57"/>
      <c r="AX385" s="8"/>
      <c r="AZ385" s="1">
        <v>90</v>
      </c>
      <c r="BB385" s="82">
        <f t="shared" si="38"/>
        <v>37.486019999999996</v>
      </c>
    </row>
    <row r="386" spans="3:54" ht="15" customHeight="1" x14ac:dyDescent="0.25">
      <c r="C386" s="42"/>
      <c r="D386" s="43">
        <f>D376</f>
        <v>45747</v>
      </c>
      <c r="E386" s="44">
        <f t="shared" si="43"/>
        <v>31.083333333333162</v>
      </c>
      <c r="F386" s="45">
        <f t="shared" si="39"/>
        <v>45748.083333334231</v>
      </c>
      <c r="G386" s="52">
        <v>0</v>
      </c>
      <c r="H386" s="53">
        <v>41</v>
      </c>
      <c r="I386" s="54">
        <v>10</v>
      </c>
      <c r="J386" s="54">
        <v>300</v>
      </c>
      <c r="K386" s="55">
        <v>0</v>
      </c>
      <c r="L386" s="56">
        <v>40</v>
      </c>
      <c r="M386" s="54">
        <v>9.1999999999999993</v>
      </c>
      <c r="N386" s="54">
        <v>250</v>
      </c>
      <c r="O386" s="57">
        <v>0</v>
      </c>
      <c r="P386" s="53">
        <v>38</v>
      </c>
      <c r="Q386" s="54">
        <v>10</v>
      </c>
      <c r="R386" s="55">
        <v>0</v>
      </c>
      <c r="S386" s="55">
        <v>0</v>
      </c>
      <c r="T386" s="57">
        <v>18.75</v>
      </c>
      <c r="U386" s="56">
        <v>39</v>
      </c>
      <c r="V386" s="54">
        <v>10.3</v>
      </c>
      <c r="W386" s="55">
        <v>0</v>
      </c>
      <c r="X386" s="55">
        <v>0</v>
      </c>
      <c r="Y386" s="57">
        <v>10.75</v>
      </c>
      <c r="Z386" s="53">
        <v>42</v>
      </c>
      <c r="AA386" s="54">
        <v>10.199999999999999</v>
      </c>
      <c r="AB386" s="55">
        <v>0</v>
      </c>
      <c r="AC386" s="55">
        <v>0</v>
      </c>
      <c r="AD386" s="57">
        <v>11.5</v>
      </c>
      <c r="AE386" s="56">
        <v>39</v>
      </c>
      <c r="AF386" s="54">
        <v>10.4</v>
      </c>
      <c r="AG386" s="55">
        <v>0</v>
      </c>
      <c r="AH386" s="55">
        <v>0</v>
      </c>
      <c r="AI386" s="57">
        <v>11.25</v>
      </c>
      <c r="AJ386" s="56">
        <v>38</v>
      </c>
      <c r="AK386" s="54">
        <v>10.4</v>
      </c>
      <c r="AL386" s="54">
        <v>0</v>
      </c>
      <c r="AM386" s="54">
        <v>0</v>
      </c>
      <c r="AN386" s="57">
        <v>15.25</v>
      </c>
      <c r="AO386" s="53">
        <v>39</v>
      </c>
      <c r="AP386" s="54">
        <v>10.3</v>
      </c>
      <c r="AQ386" s="54">
        <v>110</v>
      </c>
      <c r="AR386" s="54">
        <v>0</v>
      </c>
      <c r="AS386" s="57">
        <v>15</v>
      </c>
      <c r="AT386" s="56">
        <v>0</v>
      </c>
      <c r="AU386" s="57">
        <v>0</v>
      </c>
      <c r="AV386" s="56"/>
      <c r="AW386" s="57"/>
      <c r="AX386" s="8"/>
      <c r="AZ386" s="1">
        <v>90</v>
      </c>
      <c r="BB386" s="82">
        <f t="shared" si="38"/>
        <v>36.465000000000003</v>
      </c>
    </row>
    <row r="387" spans="3:54" ht="15" customHeight="1" x14ac:dyDescent="0.25">
      <c r="C387" s="42"/>
      <c r="D387" s="69">
        <f>D376</f>
        <v>45747</v>
      </c>
      <c r="E387" s="70">
        <f t="shared" si="43"/>
        <v>31.166666666666494</v>
      </c>
      <c r="F387" s="71">
        <f t="shared" si="39"/>
        <v>45748.166666667566</v>
      </c>
      <c r="G387" s="72">
        <v>0</v>
      </c>
      <c r="H387" s="73">
        <v>0</v>
      </c>
      <c r="I387" s="74">
        <v>0</v>
      </c>
      <c r="J387" s="74">
        <v>0</v>
      </c>
      <c r="K387" s="75">
        <v>0</v>
      </c>
      <c r="L387" s="76">
        <v>0</v>
      </c>
      <c r="M387" s="74">
        <v>0</v>
      </c>
      <c r="N387" s="74">
        <v>0</v>
      </c>
      <c r="O387" s="77">
        <v>0</v>
      </c>
      <c r="P387" s="73">
        <v>0</v>
      </c>
      <c r="Q387" s="74">
        <v>0</v>
      </c>
      <c r="R387" s="75">
        <v>0</v>
      </c>
      <c r="S387" s="75">
        <v>0</v>
      </c>
      <c r="T387" s="77">
        <v>0</v>
      </c>
      <c r="U387" s="76">
        <v>0</v>
      </c>
      <c r="V387" s="74">
        <v>0</v>
      </c>
      <c r="W387" s="75">
        <v>0</v>
      </c>
      <c r="X387" s="75">
        <v>0</v>
      </c>
      <c r="Y387" s="77">
        <v>0</v>
      </c>
      <c r="Z387" s="73">
        <v>0</v>
      </c>
      <c r="AA387" s="74">
        <v>0</v>
      </c>
      <c r="AB387" s="75">
        <v>0</v>
      </c>
      <c r="AC387" s="75">
        <v>0</v>
      </c>
      <c r="AD387" s="77">
        <v>0</v>
      </c>
      <c r="AE387" s="76">
        <v>0</v>
      </c>
      <c r="AF387" s="74">
        <v>0</v>
      </c>
      <c r="AG387" s="75">
        <v>0</v>
      </c>
      <c r="AH387" s="75">
        <v>0</v>
      </c>
      <c r="AI387" s="77">
        <v>0</v>
      </c>
      <c r="AJ387" s="76">
        <v>0</v>
      </c>
      <c r="AK387" s="74">
        <v>0</v>
      </c>
      <c r="AL387" s="74">
        <v>0</v>
      </c>
      <c r="AM387" s="74">
        <v>0</v>
      </c>
      <c r="AN387" s="77">
        <v>0</v>
      </c>
      <c r="AO387" s="73">
        <v>0</v>
      </c>
      <c r="AP387" s="74">
        <v>0</v>
      </c>
      <c r="AQ387" s="74">
        <v>0</v>
      </c>
      <c r="AR387" s="74">
        <v>0</v>
      </c>
      <c r="AS387" s="77">
        <v>0</v>
      </c>
      <c r="AT387" s="76">
        <v>0</v>
      </c>
      <c r="AU387" s="77">
        <v>0</v>
      </c>
      <c r="AV387" s="76"/>
      <c r="AW387" s="77"/>
      <c r="AX387" s="8"/>
      <c r="AZ387" s="1">
        <v>90</v>
      </c>
      <c r="BB387" s="82">
        <f t="shared" si="38"/>
        <v>0</v>
      </c>
    </row>
    <row r="388" spans="3:54" ht="15.75" thickBot="1" x14ac:dyDescent="0.3">
      <c r="C388" s="78"/>
      <c r="D388" s="79"/>
      <c r="E388" s="79"/>
      <c r="F388" s="79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1"/>
    </row>
  </sheetData>
  <sheetProtection algorithmName="SHA-512" hashValue="dHlkjrEeqCAeWg7kyzSKHMeX2XXkEnGYzvb6BCdiqmkbjjUDaNfP/7F48sqPFETAkVq6MEw+Na91FAJNpBrBqQ==" saltValue="LiLIgXXc5xEfQj1R/Rfjjw==" spinCount="100000" sheet="1"/>
  <mergeCells count="56">
    <mergeCell ref="AW12:AW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K12:AK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J12:J14"/>
    <mergeCell ref="K12:K14"/>
    <mergeCell ref="L12:L14"/>
    <mergeCell ref="M12:M14"/>
    <mergeCell ref="Y12:Y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C2:AX8"/>
    <mergeCell ref="D10:F15"/>
    <mergeCell ref="G10:G11"/>
    <mergeCell ref="H10:K11"/>
    <mergeCell ref="L10:O11"/>
    <mergeCell ref="P10:T11"/>
    <mergeCell ref="U10:Y11"/>
    <mergeCell ref="Z10:AD11"/>
    <mergeCell ref="AE10:AI11"/>
    <mergeCell ref="AJ10:AN11"/>
    <mergeCell ref="AO10:AS11"/>
    <mergeCell ref="AT10:AU11"/>
    <mergeCell ref="AV10:AW11"/>
    <mergeCell ref="G12:G14"/>
    <mergeCell ref="H12:H14"/>
    <mergeCell ref="I12:I14"/>
  </mergeCells>
  <conditionalFormatting sqref="A1:C1 G1:XFD1 C2 A2:B8 AY2:XFD8 A9:C15 AX9:XFD1048576 A16:B387 A388:C1048576 G388:AW1048576">
    <cfRule type="cellIs" dxfId="45" priority="32" operator="between">
      <formula>10</formula>
      <formula>100</formula>
    </cfRule>
    <cfRule type="cellIs" dxfId="44" priority="33" operator="between">
      <formula>1</formula>
      <formula>10</formula>
    </cfRule>
    <cfRule type="cellIs" dxfId="43" priority="34" operator="between">
      <formula>0</formula>
      <formula>1</formula>
    </cfRule>
  </conditionalFormatting>
  <conditionalFormatting sqref="A1:C1 G1:XFD1 C2 A2:B8 AY2:XFD8 A9:C15 AX9:XFD1048576 A16:B387 A388:C1048576">
    <cfRule type="cellIs" dxfId="42" priority="30" operator="equal">
      <formula>0</formula>
    </cfRule>
    <cfRule type="cellIs" dxfId="41" priority="31" operator="greaterThan">
      <formula>100</formula>
    </cfRule>
  </conditionalFormatting>
  <conditionalFormatting sqref="D16:D387">
    <cfRule type="expression" dxfId="40" priority="18">
      <formula>_xlfn.ISFORMULA(D16)</formula>
    </cfRule>
    <cfRule type="expression" priority="19">
      <formula>isvalue(D16)</formula>
    </cfRule>
  </conditionalFormatting>
  <conditionalFormatting sqref="G16:G387">
    <cfRule type="expression" dxfId="39" priority="8">
      <formula>_xlfn.ISFORMULA(G16)</formula>
    </cfRule>
    <cfRule type="expression" dxfId="38" priority="9">
      <formula>isvalue(G16)</formula>
    </cfRule>
  </conditionalFormatting>
  <conditionalFormatting sqref="G16:AW387">
    <cfRule type="cellIs" dxfId="37" priority="1" operator="equal">
      <formula>1</formula>
    </cfRule>
    <cfRule type="cellIs" dxfId="36" priority="3" operator="between">
      <formula>0</formula>
      <formula>1</formula>
    </cfRule>
    <cfRule type="cellIs" dxfId="35" priority="4" operator="equal">
      <formula>100</formula>
    </cfRule>
    <cfRule type="cellIs" dxfId="34" priority="5" operator="between">
      <formula>1</formula>
      <formula>10</formula>
    </cfRule>
    <cfRule type="cellIs" dxfId="33" priority="6" operator="between">
      <formula>10</formula>
      <formula>100</formula>
    </cfRule>
    <cfRule type="cellIs" dxfId="32" priority="10" operator="lessThan">
      <formula>0</formula>
    </cfRule>
    <cfRule type="cellIs" dxfId="31" priority="11" operator="equal">
      <formula>0</formula>
    </cfRule>
    <cfRule type="cellIs" dxfId="30" priority="12" operator="between">
      <formula>0</formula>
      <formula>1</formula>
    </cfRule>
    <cfRule type="cellIs" dxfId="29" priority="13" operator="between">
      <formula>1</formula>
      <formula>100</formula>
    </cfRule>
    <cfRule type="cellIs" dxfId="28" priority="15" operator="equal">
      <formula>0</formula>
    </cfRule>
    <cfRule type="expression" dxfId="27" priority="17">
      <formula>_xlfn.ISFORMULA(G16)</formula>
    </cfRule>
  </conditionalFormatting>
  <conditionalFormatting sqref="G16:AW1048576">
    <cfRule type="cellIs" dxfId="26" priority="2" operator="equal">
      <formula>0</formula>
    </cfRule>
    <cfRule type="cellIs" dxfId="25" priority="7" operator="greaterThan">
      <formula>100</formula>
    </cfRule>
  </conditionalFormatting>
  <conditionalFormatting sqref="H16:AW387">
    <cfRule type="expression" dxfId="24" priority="21">
      <formula>isvalue(H16)</formula>
    </cfRule>
    <cfRule type="expression" dxfId="23" priority="29">
      <formula>_xlfn.ISFORMULA(H16)</formula>
    </cfRule>
  </conditionalFormatting>
  <pageMargins left="0.7" right="0.7" top="0.75" bottom="0.75" header="0.3" footer="0.3"/>
  <headerFooter>
    <oddHeader>&amp;L&amp;"Calibri"&amp;14&amp;K000000 INTERNAL USE&amp;1#_x000D_</oddHeader>
    <oddFooter>&amp;C_x000D_&amp;1#&amp;"Calibri"&amp;10&amp;K000000 General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3C69-6AAE-4934-B66D-13A97AC33808}">
  <sheetPr>
    <tabColor rgb="FF002060"/>
  </sheetPr>
  <dimension ref="C1:BB388"/>
  <sheetViews>
    <sheetView showGridLines="0" topLeftCell="A8" zoomScale="70" zoomScaleNormal="70" workbookViewId="0">
      <pane xSplit="6" ySplit="8" topLeftCell="G202" activePane="bottomRight" state="frozen"/>
      <selection pane="topRight" activeCell="G8" sqref="G8"/>
      <selection pane="bottomLeft" activeCell="A16" sqref="A16"/>
      <selection pane="bottomRight" activeCell="AU303" sqref="AU286:AU303"/>
    </sheetView>
  </sheetViews>
  <sheetFormatPr defaultColWidth="8.7109375" defaultRowHeight="15" x14ac:dyDescent="0.25"/>
  <cols>
    <col min="1" max="3" width="4.140625" style="1" customWidth="1"/>
    <col min="4" max="5" width="8.5703125" style="2" customWidth="1"/>
    <col min="6" max="6" width="12.28515625" style="2" customWidth="1"/>
    <col min="7" max="49" width="8.5703125" style="3" customWidth="1"/>
    <col min="50" max="50" width="3.5703125" style="1" customWidth="1"/>
    <col min="51" max="16384" width="8.7109375" style="1"/>
  </cols>
  <sheetData>
    <row r="1" spans="3:54" ht="15.75" thickBot="1" x14ac:dyDescent="0.3"/>
    <row r="2" spans="3:54" ht="14.45" customHeight="1" x14ac:dyDescent="0.25">
      <c r="C2" s="126" t="s">
        <v>17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8"/>
    </row>
    <row r="3" spans="3:54" ht="14.45" customHeight="1" x14ac:dyDescent="0.25">
      <c r="C3" s="129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1"/>
    </row>
    <row r="4" spans="3:54" ht="14.45" customHeight="1" x14ac:dyDescent="0.25"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1"/>
    </row>
    <row r="5" spans="3:54" ht="14.45" customHeight="1" x14ac:dyDescent="0.25">
      <c r="C5" s="129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1"/>
    </row>
    <row r="6" spans="3:54" ht="14.45" customHeight="1" x14ac:dyDescent="0.25">
      <c r="C6" s="129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1"/>
    </row>
    <row r="7" spans="3:54" ht="14.45" customHeight="1" x14ac:dyDescent="0.25">
      <c r="C7" s="129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1"/>
    </row>
    <row r="8" spans="3:54" ht="20.45" customHeight="1" thickBot="1" x14ac:dyDescent="0.3">
      <c r="C8" s="132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4"/>
    </row>
    <row r="9" spans="3:54" s="5" customFormat="1" x14ac:dyDescent="0.25">
      <c r="C9" s="4"/>
      <c r="D9" s="5">
        <v>1</v>
      </c>
      <c r="E9" s="5">
        <f>D9+1</f>
        <v>2</v>
      </c>
      <c r="F9" s="5">
        <f>E9+1</f>
        <v>3</v>
      </c>
      <c r="G9" s="5">
        <f t="shared" ref="G9:AS9" si="0">F9+1</f>
        <v>4</v>
      </c>
      <c r="H9" s="5">
        <f t="shared" si="0"/>
        <v>5</v>
      </c>
      <c r="I9" s="5">
        <f t="shared" si="0"/>
        <v>6</v>
      </c>
      <c r="J9" s="5">
        <f t="shared" si="0"/>
        <v>7</v>
      </c>
      <c r="K9" s="5">
        <f t="shared" si="0"/>
        <v>8</v>
      </c>
      <c r="L9" s="5">
        <f t="shared" si="0"/>
        <v>9</v>
      </c>
      <c r="M9" s="5">
        <f t="shared" si="0"/>
        <v>10</v>
      </c>
      <c r="N9" s="5">
        <f t="shared" si="0"/>
        <v>11</v>
      </c>
      <c r="O9" s="5">
        <f t="shared" si="0"/>
        <v>12</v>
      </c>
      <c r="P9" s="5">
        <f t="shared" si="0"/>
        <v>13</v>
      </c>
      <c r="Q9" s="5">
        <f t="shared" si="0"/>
        <v>14</v>
      </c>
      <c r="R9" s="5">
        <f t="shared" si="0"/>
        <v>15</v>
      </c>
      <c r="S9" s="5">
        <f t="shared" si="0"/>
        <v>16</v>
      </c>
      <c r="T9" s="5">
        <f t="shared" si="0"/>
        <v>17</v>
      </c>
      <c r="U9" s="5">
        <f t="shared" si="0"/>
        <v>18</v>
      </c>
      <c r="V9" s="5">
        <f t="shared" si="0"/>
        <v>19</v>
      </c>
      <c r="W9" s="5">
        <f t="shared" si="0"/>
        <v>20</v>
      </c>
      <c r="X9" s="5">
        <f t="shared" si="0"/>
        <v>21</v>
      </c>
      <c r="Y9" s="5">
        <f t="shared" si="0"/>
        <v>22</v>
      </c>
      <c r="Z9" s="5">
        <f t="shared" si="0"/>
        <v>23</v>
      </c>
      <c r="AA9" s="5">
        <f t="shared" si="0"/>
        <v>24</v>
      </c>
      <c r="AB9" s="5">
        <f t="shared" si="0"/>
        <v>25</v>
      </c>
      <c r="AC9" s="5">
        <f t="shared" si="0"/>
        <v>26</v>
      </c>
      <c r="AD9" s="5">
        <f t="shared" si="0"/>
        <v>27</v>
      </c>
      <c r="AE9" s="5">
        <f t="shared" si="0"/>
        <v>28</v>
      </c>
      <c r="AF9" s="5">
        <f t="shared" si="0"/>
        <v>29</v>
      </c>
      <c r="AG9" s="5">
        <f t="shared" si="0"/>
        <v>30</v>
      </c>
      <c r="AH9" s="5">
        <f t="shared" si="0"/>
        <v>31</v>
      </c>
      <c r="AI9" s="5">
        <f t="shared" si="0"/>
        <v>32</v>
      </c>
      <c r="AJ9" s="5">
        <f t="shared" si="0"/>
        <v>33</v>
      </c>
      <c r="AK9" s="5">
        <f t="shared" si="0"/>
        <v>34</v>
      </c>
      <c r="AL9" s="5">
        <f t="shared" si="0"/>
        <v>35</v>
      </c>
      <c r="AM9" s="5">
        <f t="shared" si="0"/>
        <v>36</v>
      </c>
      <c r="AN9" s="5">
        <f t="shared" si="0"/>
        <v>37</v>
      </c>
      <c r="AO9" s="5">
        <f t="shared" si="0"/>
        <v>38</v>
      </c>
      <c r="AP9" s="5">
        <f t="shared" si="0"/>
        <v>39</v>
      </c>
      <c r="AQ9" s="5">
        <f t="shared" si="0"/>
        <v>40</v>
      </c>
      <c r="AR9" s="5">
        <f t="shared" si="0"/>
        <v>41</v>
      </c>
      <c r="AS9" s="5">
        <f t="shared" si="0"/>
        <v>42</v>
      </c>
      <c r="AT9" s="5">
        <f>AS9+1</f>
        <v>43</v>
      </c>
      <c r="AU9" s="5">
        <f>AT9+1</f>
        <v>44</v>
      </c>
      <c r="AV9" s="5">
        <f>AU9+1</f>
        <v>45</v>
      </c>
      <c r="AW9" s="5">
        <f>AV9+1</f>
        <v>46</v>
      </c>
      <c r="AX9" s="6"/>
    </row>
    <row r="10" spans="3:54" ht="15" customHeight="1" x14ac:dyDescent="0.25">
      <c r="C10" s="7"/>
      <c r="D10" s="135" t="s">
        <v>0</v>
      </c>
      <c r="E10" s="136"/>
      <c r="F10" s="136"/>
      <c r="G10" s="139" t="s">
        <v>18</v>
      </c>
      <c r="H10" s="141" t="s">
        <v>19</v>
      </c>
      <c r="I10" s="142"/>
      <c r="J10" s="142"/>
      <c r="K10" s="143"/>
      <c r="L10" s="147" t="s">
        <v>20</v>
      </c>
      <c r="M10" s="148"/>
      <c r="N10" s="148"/>
      <c r="O10" s="149"/>
      <c r="P10" s="153" t="s">
        <v>21</v>
      </c>
      <c r="Q10" s="154"/>
      <c r="R10" s="154"/>
      <c r="S10" s="154"/>
      <c r="T10" s="155"/>
      <c r="U10" s="147" t="s">
        <v>22</v>
      </c>
      <c r="V10" s="148"/>
      <c r="W10" s="159"/>
      <c r="X10" s="159"/>
      <c r="Y10" s="149"/>
      <c r="Z10" s="161" t="s">
        <v>23</v>
      </c>
      <c r="AA10" s="162"/>
      <c r="AB10" s="162"/>
      <c r="AC10" s="162"/>
      <c r="AD10" s="163"/>
      <c r="AE10" s="167" t="s">
        <v>24</v>
      </c>
      <c r="AF10" s="168"/>
      <c r="AG10" s="168"/>
      <c r="AH10" s="168"/>
      <c r="AI10" s="169"/>
      <c r="AJ10" s="173" t="s">
        <v>25</v>
      </c>
      <c r="AK10" s="174"/>
      <c r="AL10" s="174"/>
      <c r="AM10" s="174"/>
      <c r="AN10" s="175"/>
      <c r="AO10" s="179" t="s">
        <v>26</v>
      </c>
      <c r="AP10" s="180"/>
      <c r="AQ10" s="180"/>
      <c r="AR10" s="180"/>
      <c r="AS10" s="181"/>
      <c r="AT10" s="185" t="s">
        <v>27</v>
      </c>
      <c r="AU10" s="186"/>
      <c r="AV10" s="189" t="s">
        <v>28</v>
      </c>
      <c r="AW10" s="190"/>
      <c r="AX10" s="8"/>
    </row>
    <row r="11" spans="3:54" ht="15" customHeight="1" x14ac:dyDescent="0.25">
      <c r="C11" s="7"/>
      <c r="D11" s="137"/>
      <c r="E11" s="138"/>
      <c r="F11" s="138"/>
      <c r="G11" s="140"/>
      <c r="H11" s="144"/>
      <c r="I11" s="145"/>
      <c r="J11" s="145"/>
      <c r="K11" s="146"/>
      <c r="L11" s="150"/>
      <c r="M11" s="151"/>
      <c r="N11" s="151"/>
      <c r="O11" s="152"/>
      <c r="P11" s="156"/>
      <c r="Q11" s="157"/>
      <c r="R11" s="157"/>
      <c r="S11" s="157"/>
      <c r="T11" s="158"/>
      <c r="U11" s="150"/>
      <c r="V11" s="151"/>
      <c r="W11" s="160"/>
      <c r="X11" s="160"/>
      <c r="Y11" s="152"/>
      <c r="Z11" s="164"/>
      <c r="AA11" s="165"/>
      <c r="AB11" s="165"/>
      <c r="AC11" s="165"/>
      <c r="AD11" s="166"/>
      <c r="AE11" s="170"/>
      <c r="AF11" s="171"/>
      <c r="AG11" s="171"/>
      <c r="AH11" s="171"/>
      <c r="AI11" s="172"/>
      <c r="AJ11" s="176"/>
      <c r="AK11" s="177"/>
      <c r="AL11" s="177"/>
      <c r="AM11" s="177"/>
      <c r="AN11" s="178"/>
      <c r="AO11" s="182"/>
      <c r="AP11" s="183"/>
      <c r="AQ11" s="183"/>
      <c r="AR11" s="183"/>
      <c r="AS11" s="184"/>
      <c r="AT11" s="187"/>
      <c r="AU11" s="188"/>
      <c r="AV11" s="191"/>
      <c r="AW11" s="192"/>
      <c r="AX11" s="8"/>
    </row>
    <row r="12" spans="3:54" ht="15" customHeight="1" x14ac:dyDescent="0.25">
      <c r="C12" s="7"/>
      <c r="D12" s="137"/>
      <c r="E12" s="138"/>
      <c r="F12" s="138"/>
      <c r="G12" s="193" t="s">
        <v>29</v>
      </c>
      <c r="H12" s="194" t="s">
        <v>29</v>
      </c>
      <c r="I12" s="195" t="s">
        <v>30</v>
      </c>
      <c r="J12" s="198" t="s">
        <v>31</v>
      </c>
      <c r="K12" s="199" t="s">
        <v>32</v>
      </c>
      <c r="L12" s="200" t="s">
        <v>29</v>
      </c>
      <c r="M12" s="201" t="s">
        <v>31</v>
      </c>
      <c r="N12" s="205" t="s">
        <v>30</v>
      </c>
      <c r="O12" s="204" t="s">
        <v>32</v>
      </c>
      <c r="P12" s="206" t="s">
        <v>29</v>
      </c>
      <c r="Q12" s="207" t="s">
        <v>30</v>
      </c>
      <c r="R12" s="207" t="s">
        <v>31</v>
      </c>
      <c r="S12" s="210" t="s">
        <v>32</v>
      </c>
      <c r="T12" s="211" t="s">
        <v>33</v>
      </c>
      <c r="U12" s="200" t="s">
        <v>29</v>
      </c>
      <c r="V12" s="201" t="s">
        <v>30</v>
      </c>
      <c r="W12" s="205" t="s">
        <v>31</v>
      </c>
      <c r="X12" s="201" t="s">
        <v>32</v>
      </c>
      <c r="Y12" s="204" t="s">
        <v>33</v>
      </c>
      <c r="Z12" s="217" t="s">
        <v>29</v>
      </c>
      <c r="AA12" s="218" t="s">
        <v>30</v>
      </c>
      <c r="AB12" s="218" t="s">
        <v>31</v>
      </c>
      <c r="AC12" s="221" t="s">
        <v>32</v>
      </c>
      <c r="AD12" s="222" t="s">
        <v>33</v>
      </c>
      <c r="AE12" s="225" t="s">
        <v>29</v>
      </c>
      <c r="AF12" s="226" t="s">
        <v>30</v>
      </c>
      <c r="AG12" s="229" t="s">
        <v>31</v>
      </c>
      <c r="AH12" s="229" t="s">
        <v>32</v>
      </c>
      <c r="AI12" s="230" t="s">
        <v>33</v>
      </c>
      <c r="AJ12" s="233" t="s">
        <v>29</v>
      </c>
      <c r="AK12" s="214" t="s">
        <v>30</v>
      </c>
      <c r="AL12" s="237" t="s">
        <v>31</v>
      </c>
      <c r="AM12" s="237" t="s">
        <v>32</v>
      </c>
      <c r="AN12" s="238" t="s">
        <v>34</v>
      </c>
      <c r="AO12" s="239" t="s">
        <v>29</v>
      </c>
      <c r="AP12" s="240" t="s">
        <v>30</v>
      </c>
      <c r="AQ12" s="243" t="s">
        <v>31</v>
      </c>
      <c r="AR12" s="243" t="s">
        <v>32</v>
      </c>
      <c r="AS12" s="244" t="s">
        <v>34</v>
      </c>
      <c r="AT12" s="245" t="s">
        <v>29</v>
      </c>
      <c r="AU12" s="246" t="s">
        <v>31</v>
      </c>
      <c r="AV12" s="249" t="s">
        <v>35</v>
      </c>
      <c r="AW12" s="234" t="s">
        <v>36</v>
      </c>
      <c r="AX12" s="8"/>
    </row>
    <row r="13" spans="3:54" ht="15" customHeight="1" x14ac:dyDescent="0.25">
      <c r="C13" s="7"/>
      <c r="D13" s="137"/>
      <c r="E13" s="138"/>
      <c r="F13" s="138"/>
      <c r="G13" s="193"/>
      <c r="H13" s="194"/>
      <c r="I13" s="196"/>
      <c r="J13" s="198"/>
      <c r="K13" s="199"/>
      <c r="L13" s="200"/>
      <c r="M13" s="202"/>
      <c r="N13" s="205"/>
      <c r="O13" s="204"/>
      <c r="P13" s="206"/>
      <c r="Q13" s="208"/>
      <c r="R13" s="208"/>
      <c r="S13" s="210"/>
      <c r="T13" s="212"/>
      <c r="U13" s="200"/>
      <c r="V13" s="202"/>
      <c r="W13" s="205"/>
      <c r="X13" s="202"/>
      <c r="Y13" s="204"/>
      <c r="Z13" s="217"/>
      <c r="AA13" s="219"/>
      <c r="AB13" s="219"/>
      <c r="AC13" s="221"/>
      <c r="AD13" s="223"/>
      <c r="AE13" s="225"/>
      <c r="AF13" s="227"/>
      <c r="AG13" s="229"/>
      <c r="AH13" s="229"/>
      <c r="AI13" s="231"/>
      <c r="AJ13" s="233"/>
      <c r="AK13" s="215"/>
      <c r="AL13" s="237"/>
      <c r="AM13" s="237"/>
      <c r="AN13" s="238"/>
      <c r="AO13" s="239"/>
      <c r="AP13" s="241"/>
      <c r="AQ13" s="243"/>
      <c r="AR13" s="243"/>
      <c r="AS13" s="244"/>
      <c r="AT13" s="245"/>
      <c r="AU13" s="247"/>
      <c r="AV13" s="249"/>
      <c r="AW13" s="235"/>
      <c r="AX13" s="8"/>
    </row>
    <row r="14" spans="3:54" ht="15" customHeight="1" x14ac:dyDescent="0.25">
      <c r="C14" s="7"/>
      <c r="D14" s="137"/>
      <c r="E14" s="138"/>
      <c r="F14" s="138"/>
      <c r="G14" s="193"/>
      <c r="H14" s="194"/>
      <c r="I14" s="197"/>
      <c r="J14" s="198"/>
      <c r="K14" s="199"/>
      <c r="L14" s="200"/>
      <c r="M14" s="203"/>
      <c r="N14" s="205"/>
      <c r="O14" s="204"/>
      <c r="P14" s="206"/>
      <c r="Q14" s="209"/>
      <c r="R14" s="209"/>
      <c r="S14" s="210"/>
      <c r="T14" s="213"/>
      <c r="U14" s="200"/>
      <c r="V14" s="203"/>
      <c r="W14" s="205"/>
      <c r="X14" s="203"/>
      <c r="Y14" s="204"/>
      <c r="Z14" s="217"/>
      <c r="AA14" s="220"/>
      <c r="AB14" s="220"/>
      <c r="AC14" s="221"/>
      <c r="AD14" s="224"/>
      <c r="AE14" s="225"/>
      <c r="AF14" s="228"/>
      <c r="AG14" s="229"/>
      <c r="AH14" s="229"/>
      <c r="AI14" s="232"/>
      <c r="AJ14" s="233"/>
      <c r="AK14" s="216"/>
      <c r="AL14" s="237"/>
      <c r="AM14" s="237"/>
      <c r="AN14" s="238"/>
      <c r="AO14" s="239"/>
      <c r="AP14" s="242"/>
      <c r="AQ14" s="243"/>
      <c r="AR14" s="243"/>
      <c r="AS14" s="244"/>
      <c r="AT14" s="245"/>
      <c r="AU14" s="248"/>
      <c r="AV14" s="249"/>
      <c r="AW14" s="236"/>
      <c r="AX14" s="8"/>
    </row>
    <row r="15" spans="3:54" s="41" customFormat="1" ht="21.6" customHeight="1" x14ac:dyDescent="0.25">
      <c r="C15" s="9"/>
      <c r="D15" s="137"/>
      <c r="E15" s="138"/>
      <c r="F15" s="138"/>
      <c r="G15" s="10" t="s">
        <v>37</v>
      </c>
      <c r="H15" s="11" t="s">
        <v>37</v>
      </c>
      <c r="I15" s="12" t="s">
        <v>38</v>
      </c>
      <c r="J15" s="12" t="s">
        <v>14</v>
      </c>
      <c r="K15" s="13" t="s">
        <v>14</v>
      </c>
      <c r="L15" s="14" t="s">
        <v>37</v>
      </c>
      <c r="M15" s="15" t="s">
        <v>38</v>
      </c>
      <c r="N15" s="15" t="s">
        <v>38</v>
      </c>
      <c r="O15" s="16" t="s">
        <v>14</v>
      </c>
      <c r="P15" s="17" t="s">
        <v>37</v>
      </c>
      <c r="Q15" s="18" t="s">
        <v>38</v>
      </c>
      <c r="R15" s="19" t="s">
        <v>14</v>
      </c>
      <c r="S15" s="19" t="s">
        <v>14</v>
      </c>
      <c r="T15" s="20" t="s">
        <v>39</v>
      </c>
      <c r="U15" s="14" t="s">
        <v>37</v>
      </c>
      <c r="V15" s="15" t="s">
        <v>38</v>
      </c>
      <c r="W15" s="15" t="s">
        <v>14</v>
      </c>
      <c r="X15" s="21" t="s">
        <v>14</v>
      </c>
      <c r="Y15" s="16" t="s">
        <v>39</v>
      </c>
      <c r="Z15" s="22" t="s">
        <v>37</v>
      </c>
      <c r="AA15" s="23" t="s">
        <v>38</v>
      </c>
      <c r="AB15" s="24" t="s">
        <v>14</v>
      </c>
      <c r="AC15" s="24" t="s">
        <v>14</v>
      </c>
      <c r="AD15" s="25" t="s">
        <v>39</v>
      </c>
      <c r="AE15" s="26" t="s">
        <v>37</v>
      </c>
      <c r="AF15" s="27" t="s">
        <v>38</v>
      </c>
      <c r="AG15" s="28" t="s">
        <v>14</v>
      </c>
      <c r="AH15" s="28" t="s">
        <v>14</v>
      </c>
      <c r="AI15" s="29" t="s">
        <v>39</v>
      </c>
      <c r="AJ15" s="30" t="s">
        <v>37</v>
      </c>
      <c r="AK15" s="31" t="s">
        <v>38</v>
      </c>
      <c r="AL15" s="31" t="s">
        <v>14</v>
      </c>
      <c r="AM15" s="31" t="s">
        <v>14</v>
      </c>
      <c r="AN15" s="32" t="s">
        <v>39</v>
      </c>
      <c r="AO15" s="33" t="s">
        <v>37</v>
      </c>
      <c r="AP15" s="34" t="s">
        <v>38</v>
      </c>
      <c r="AQ15" s="34" t="s">
        <v>14</v>
      </c>
      <c r="AR15" s="34" t="s">
        <v>14</v>
      </c>
      <c r="AS15" s="35" t="s">
        <v>39</v>
      </c>
      <c r="AT15" s="36" t="s">
        <v>37</v>
      </c>
      <c r="AU15" s="37" t="s">
        <v>38</v>
      </c>
      <c r="AV15" s="38" t="s">
        <v>37</v>
      </c>
      <c r="AW15" s="39" t="s">
        <v>38</v>
      </c>
      <c r="AX15" s="40"/>
    </row>
    <row r="16" spans="3:54" ht="15" customHeight="1" x14ac:dyDescent="0.25">
      <c r="C16" s="42">
        <v>1</v>
      </c>
      <c r="D16" s="43">
        <f>DATE([4]Dash!$F$3,VLOOKUP([4]Dash!$E$3,[4]Abb!$C$3:$D$14,2,FALSE),C16)</f>
        <v>45748</v>
      </c>
      <c r="E16" s="44">
        <v>0.25</v>
      </c>
      <c r="F16" s="45">
        <f>D16+E16</f>
        <v>45748.25</v>
      </c>
      <c r="G16" s="46">
        <v>0</v>
      </c>
      <c r="H16" s="47">
        <v>41</v>
      </c>
      <c r="I16" s="48">
        <v>10</v>
      </c>
      <c r="J16" s="48">
        <v>300</v>
      </c>
      <c r="K16" s="49">
        <v>0</v>
      </c>
      <c r="L16" s="50">
        <v>39</v>
      </c>
      <c r="M16" s="48">
        <v>9.1999999999999993</v>
      </c>
      <c r="N16" s="48">
        <v>250</v>
      </c>
      <c r="O16" s="51">
        <v>0</v>
      </c>
      <c r="P16" s="47">
        <v>38</v>
      </c>
      <c r="Q16" s="48">
        <v>9.9</v>
      </c>
      <c r="R16" s="49">
        <v>0</v>
      </c>
      <c r="S16" s="49">
        <v>0</v>
      </c>
      <c r="T16" s="51">
        <v>18.3</v>
      </c>
      <c r="U16" s="50">
        <v>38</v>
      </c>
      <c r="V16" s="48">
        <v>10.3</v>
      </c>
      <c r="W16" s="49">
        <v>0</v>
      </c>
      <c r="X16" s="49">
        <v>0</v>
      </c>
      <c r="Y16" s="51">
        <v>10.5</v>
      </c>
      <c r="Z16" s="47">
        <v>40</v>
      </c>
      <c r="AA16" s="48">
        <v>10.199999999999999</v>
      </c>
      <c r="AB16" s="49">
        <v>0</v>
      </c>
      <c r="AC16" s="49">
        <v>0</v>
      </c>
      <c r="AD16" s="51">
        <v>11.5</v>
      </c>
      <c r="AE16" s="50">
        <v>37</v>
      </c>
      <c r="AF16" s="48">
        <v>10.3</v>
      </c>
      <c r="AG16" s="49">
        <v>0</v>
      </c>
      <c r="AH16" s="49">
        <v>0</v>
      </c>
      <c r="AI16" s="51">
        <v>10.7</v>
      </c>
      <c r="AJ16" s="50">
        <v>37</v>
      </c>
      <c r="AK16" s="48">
        <v>10.4</v>
      </c>
      <c r="AL16" s="48">
        <v>0</v>
      </c>
      <c r="AM16" s="48">
        <v>0</v>
      </c>
      <c r="AN16" s="51">
        <v>15</v>
      </c>
      <c r="AO16" s="47">
        <v>38</v>
      </c>
      <c r="AP16" s="48">
        <v>10.3</v>
      </c>
      <c r="AQ16" s="48">
        <v>110</v>
      </c>
      <c r="AR16" s="48">
        <v>0</v>
      </c>
      <c r="AS16" s="51">
        <v>15.8</v>
      </c>
      <c r="AT16" s="50">
        <v>0</v>
      </c>
      <c r="AU16" s="51">
        <v>0</v>
      </c>
      <c r="AV16" s="50">
        <v>91.29</v>
      </c>
      <c r="AW16" s="51">
        <v>326.04000000000002</v>
      </c>
      <c r="AX16" s="8"/>
      <c r="AZ16" s="1">
        <v>90</v>
      </c>
      <c r="BB16" s="82">
        <f>((T16*442)+(Y16*442)+(AD16*442)+(AI16*442)+(AN16*442)+(AS16*442))/1000</f>
        <v>36.1556</v>
      </c>
    </row>
    <row r="17" spans="3:54" ht="15" customHeight="1" x14ac:dyDescent="0.25">
      <c r="C17" s="42"/>
      <c r="D17" s="43">
        <f>D16</f>
        <v>45748</v>
      </c>
      <c r="E17" s="44">
        <f>E16+2/24</f>
        <v>0.33333333333333331</v>
      </c>
      <c r="F17" s="45">
        <f>F16+(E17-E16)</f>
        <v>45748.333333333336</v>
      </c>
      <c r="G17" s="52">
        <v>37</v>
      </c>
      <c r="H17" s="53">
        <v>40</v>
      </c>
      <c r="I17" s="54">
        <v>10.1</v>
      </c>
      <c r="J17" s="54">
        <v>250</v>
      </c>
      <c r="K17" s="55">
        <v>0</v>
      </c>
      <c r="L17" s="56">
        <v>39</v>
      </c>
      <c r="M17" s="54">
        <v>9.6999999999999993</v>
      </c>
      <c r="N17" s="54">
        <v>200</v>
      </c>
      <c r="O17" s="57">
        <v>0</v>
      </c>
      <c r="P17" s="53">
        <v>38</v>
      </c>
      <c r="Q17" s="54">
        <v>9.9</v>
      </c>
      <c r="R17" s="55">
        <v>0</v>
      </c>
      <c r="S17" s="55">
        <v>0</v>
      </c>
      <c r="T17" s="57">
        <v>18.8</v>
      </c>
      <c r="U17" s="56">
        <v>38</v>
      </c>
      <c r="V17" s="54">
        <v>10.1</v>
      </c>
      <c r="W17" s="55">
        <v>0</v>
      </c>
      <c r="X17" s="55">
        <v>0</v>
      </c>
      <c r="Y17" s="57">
        <v>12.5</v>
      </c>
      <c r="Z17" s="53">
        <v>38</v>
      </c>
      <c r="AA17" s="54">
        <v>10.199999999999999</v>
      </c>
      <c r="AB17" s="55">
        <v>0</v>
      </c>
      <c r="AC17" s="55">
        <v>0</v>
      </c>
      <c r="AD17" s="57">
        <v>11.3</v>
      </c>
      <c r="AE17" s="56">
        <v>31</v>
      </c>
      <c r="AF17" s="54">
        <v>10.4</v>
      </c>
      <c r="AG17" s="55">
        <v>0</v>
      </c>
      <c r="AH17" s="55">
        <v>0</v>
      </c>
      <c r="AI17" s="57">
        <v>12.5</v>
      </c>
      <c r="AJ17" s="56">
        <v>36</v>
      </c>
      <c r="AK17" s="54">
        <v>10.3</v>
      </c>
      <c r="AL17" s="54">
        <v>0</v>
      </c>
      <c r="AM17" s="54">
        <v>0</v>
      </c>
      <c r="AN17" s="57">
        <v>16.3</v>
      </c>
      <c r="AO17" s="53">
        <v>37</v>
      </c>
      <c r="AP17" s="54">
        <v>10.4</v>
      </c>
      <c r="AQ17" s="54">
        <v>80</v>
      </c>
      <c r="AR17" s="54">
        <v>0</v>
      </c>
      <c r="AS17" s="57">
        <v>15</v>
      </c>
      <c r="AT17" s="56">
        <v>0</v>
      </c>
      <c r="AU17" s="57">
        <v>0</v>
      </c>
      <c r="AV17" s="56">
        <v>91.3</v>
      </c>
      <c r="AW17" s="57">
        <v>322.14999999999998</v>
      </c>
      <c r="AX17" s="8"/>
      <c r="AZ17" s="1">
        <v>90</v>
      </c>
      <c r="BB17" s="82">
        <f t="shared" ref="BB17:BB80" si="1">((T17*442)+(Y17*442)+(AD17*442)+(AI17*442)+(AN17*442)+(AS17*442))/1000</f>
        <v>38.188800000000001</v>
      </c>
    </row>
    <row r="18" spans="3:54" ht="15" customHeight="1" x14ac:dyDescent="0.25">
      <c r="C18" s="42"/>
      <c r="D18" s="43">
        <f>D16</f>
        <v>45748</v>
      </c>
      <c r="E18" s="44">
        <f t="shared" ref="E18:E27" si="2">E17+2/24</f>
        <v>0.41666666666666663</v>
      </c>
      <c r="F18" s="45">
        <f t="shared" ref="F18:F81" si="3">F17+(E18-E17)</f>
        <v>45748.416666666672</v>
      </c>
      <c r="G18" s="52">
        <v>37</v>
      </c>
      <c r="H18" s="53">
        <v>39</v>
      </c>
      <c r="I18" s="54">
        <v>10.5</v>
      </c>
      <c r="J18" s="54">
        <v>500</v>
      </c>
      <c r="K18" s="55">
        <v>0</v>
      </c>
      <c r="L18" s="56">
        <v>39</v>
      </c>
      <c r="M18" s="54">
        <v>10.199999999999999</v>
      </c>
      <c r="N18" s="54">
        <v>550</v>
      </c>
      <c r="O18" s="57">
        <v>0</v>
      </c>
      <c r="P18" s="53">
        <v>38</v>
      </c>
      <c r="Q18" s="54">
        <v>10.3</v>
      </c>
      <c r="R18" s="55">
        <v>0</v>
      </c>
      <c r="S18" s="55">
        <v>0</v>
      </c>
      <c r="T18" s="57">
        <v>18.100000000000001</v>
      </c>
      <c r="U18" s="56">
        <v>37</v>
      </c>
      <c r="V18" s="54">
        <v>10.199999999999999</v>
      </c>
      <c r="W18" s="55">
        <v>0</v>
      </c>
      <c r="X18" s="55">
        <v>0</v>
      </c>
      <c r="Y18" s="57">
        <v>11.3</v>
      </c>
      <c r="Z18" s="53">
        <v>38</v>
      </c>
      <c r="AA18" s="54">
        <v>10.3</v>
      </c>
      <c r="AB18" s="55">
        <v>0</v>
      </c>
      <c r="AC18" s="55">
        <v>0</v>
      </c>
      <c r="AD18" s="57">
        <v>12</v>
      </c>
      <c r="AE18" s="56">
        <v>34</v>
      </c>
      <c r="AF18" s="54">
        <v>10.5</v>
      </c>
      <c r="AG18" s="55">
        <v>0</v>
      </c>
      <c r="AH18" s="55">
        <v>0</v>
      </c>
      <c r="AI18" s="57">
        <v>11.5</v>
      </c>
      <c r="AJ18" s="56">
        <v>37</v>
      </c>
      <c r="AK18" s="54">
        <v>10.4</v>
      </c>
      <c r="AL18" s="54">
        <v>0</v>
      </c>
      <c r="AM18" s="54">
        <v>0</v>
      </c>
      <c r="AN18" s="57">
        <v>16.3</v>
      </c>
      <c r="AO18" s="53">
        <v>38</v>
      </c>
      <c r="AP18" s="54">
        <v>10.7</v>
      </c>
      <c r="AQ18" s="54">
        <v>100</v>
      </c>
      <c r="AR18" s="54">
        <v>0</v>
      </c>
      <c r="AS18" s="57">
        <v>14.5</v>
      </c>
      <c r="AT18" s="56">
        <v>37</v>
      </c>
      <c r="AU18" s="57">
        <v>70</v>
      </c>
      <c r="AV18" s="56">
        <v>91.32</v>
      </c>
      <c r="AW18" s="57">
        <v>323.77</v>
      </c>
      <c r="AX18" s="8"/>
      <c r="AZ18" s="1">
        <v>90</v>
      </c>
      <c r="BB18" s="82">
        <f t="shared" si="1"/>
        <v>36.995400000000004</v>
      </c>
    </row>
    <row r="19" spans="3:54" ht="15" customHeight="1" x14ac:dyDescent="0.25">
      <c r="C19" s="42"/>
      <c r="D19" s="43">
        <f>D16</f>
        <v>45748</v>
      </c>
      <c r="E19" s="44">
        <f t="shared" si="2"/>
        <v>0.49999999999999994</v>
      </c>
      <c r="F19" s="45">
        <f t="shared" si="3"/>
        <v>45748.500000000007</v>
      </c>
      <c r="G19" s="52">
        <v>31</v>
      </c>
      <c r="H19" s="53">
        <v>37</v>
      </c>
      <c r="I19" s="54">
        <v>11.3</v>
      </c>
      <c r="J19" s="54">
        <v>500</v>
      </c>
      <c r="K19" s="55">
        <v>0</v>
      </c>
      <c r="L19" s="56">
        <v>39</v>
      </c>
      <c r="M19" s="54">
        <v>10.199999999999999</v>
      </c>
      <c r="N19" s="54">
        <v>500</v>
      </c>
      <c r="O19" s="57">
        <v>0</v>
      </c>
      <c r="P19" s="53">
        <v>38</v>
      </c>
      <c r="Q19" s="54">
        <v>10.3</v>
      </c>
      <c r="R19" s="55">
        <v>0</v>
      </c>
      <c r="S19" s="55">
        <v>0</v>
      </c>
      <c r="T19" s="57">
        <v>18.8</v>
      </c>
      <c r="U19" s="56">
        <v>38</v>
      </c>
      <c r="V19" s="54">
        <v>10.1</v>
      </c>
      <c r="W19" s="55">
        <v>0</v>
      </c>
      <c r="X19" s="55">
        <v>0</v>
      </c>
      <c r="Y19" s="57">
        <v>11.3</v>
      </c>
      <c r="Z19" s="53">
        <v>37</v>
      </c>
      <c r="AA19" s="54">
        <v>10.199999999999999</v>
      </c>
      <c r="AB19" s="55">
        <v>0</v>
      </c>
      <c r="AC19" s="55">
        <v>0</v>
      </c>
      <c r="AD19" s="57">
        <v>12.5</v>
      </c>
      <c r="AE19" s="56">
        <v>33</v>
      </c>
      <c r="AF19" s="54">
        <v>10.1</v>
      </c>
      <c r="AG19" s="55">
        <v>0</v>
      </c>
      <c r="AH19" s="55">
        <v>0</v>
      </c>
      <c r="AI19" s="57">
        <v>11.3</v>
      </c>
      <c r="AJ19" s="56">
        <v>36</v>
      </c>
      <c r="AK19" s="54">
        <v>10.199999999999999</v>
      </c>
      <c r="AL19" s="54">
        <v>0</v>
      </c>
      <c r="AM19" s="54">
        <v>0</v>
      </c>
      <c r="AN19" s="57">
        <v>16.3</v>
      </c>
      <c r="AO19" s="53">
        <v>36</v>
      </c>
      <c r="AP19" s="54">
        <v>10.4</v>
      </c>
      <c r="AQ19" s="54">
        <v>80</v>
      </c>
      <c r="AR19" s="54">
        <v>0</v>
      </c>
      <c r="AS19" s="57">
        <v>14.5</v>
      </c>
      <c r="AT19" s="56">
        <v>28</v>
      </c>
      <c r="AU19" s="57">
        <v>60</v>
      </c>
      <c r="AV19" s="56">
        <v>91.16</v>
      </c>
      <c r="AW19" s="57">
        <v>319.81</v>
      </c>
      <c r="AX19" s="8"/>
      <c r="AZ19" s="1">
        <v>90</v>
      </c>
      <c r="BB19" s="82">
        <f t="shared" si="1"/>
        <v>37.437400000000004</v>
      </c>
    </row>
    <row r="20" spans="3:54" ht="15" customHeight="1" x14ac:dyDescent="0.25">
      <c r="C20" s="42"/>
      <c r="D20" s="43">
        <f>D16</f>
        <v>45748</v>
      </c>
      <c r="E20" s="44">
        <f t="shared" si="2"/>
        <v>0.58333333333333326</v>
      </c>
      <c r="F20" s="45">
        <f t="shared" si="3"/>
        <v>45748.583333333343</v>
      </c>
      <c r="G20" s="52">
        <v>38</v>
      </c>
      <c r="H20" s="53">
        <v>39</v>
      </c>
      <c r="I20" s="54">
        <v>10.5</v>
      </c>
      <c r="J20" s="54">
        <v>350</v>
      </c>
      <c r="K20" s="55">
        <v>0</v>
      </c>
      <c r="L20" s="56">
        <v>37</v>
      </c>
      <c r="M20" s="54">
        <v>10.5</v>
      </c>
      <c r="N20" s="54">
        <v>450</v>
      </c>
      <c r="O20" s="57">
        <v>0</v>
      </c>
      <c r="P20" s="53">
        <v>38</v>
      </c>
      <c r="Q20" s="54">
        <v>10.4</v>
      </c>
      <c r="R20" s="55">
        <v>0</v>
      </c>
      <c r="S20" s="55">
        <v>0</v>
      </c>
      <c r="T20" s="57">
        <v>18</v>
      </c>
      <c r="U20" s="56">
        <v>38</v>
      </c>
      <c r="V20" s="54">
        <v>10.199999999999999</v>
      </c>
      <c r="W20" s="55">
        <v>0</v>
      </c>
      <c r="X20" s="55">
        <v>0</v>
      </c>
      <c r="Y20" s="57">
        <v>11</v>
      </c>
      <c r="Z20" s="53">
        <v>37</v>
      </c>
      <c r="AA20" s="54">
        <v>10.3</v>
      </c>
      <c r="AB20" s="55">
        <v>0</v>
      </c>
      <c r="AC20" s="55">
        <v>0</v>
      </c>
      <c r="AD20" s="57">
        <v>13</v>
      </c>
      <c r="AE20" s="56">
        <v>34</v>
      </c>
      <c r="AF20" s="54">
        <v>10.1</v>
      </c>
      <c r="AG20" s="55">
        <v>0</v>
      </c>
      <c r="AH20" s="55">
        <v>0</v>
      </c>
      <c r="AI20" s="57">
        <v>12</v>
      </c>
      <c r="AJ20" s="56">
        <v>37</v>
      </c>
      <c r="AK20" s="54">
        <v>10.199999999999999</v>
      </c>
      <c r="AL20" s="54">
        <v>0</v>
      </c>
      <c r="AM20" s="54">
        <v>0</v>
      </c>
      <c r="AN20" s="57">
        <v>15.5</v>
      </c>
      <c r="AO20" s="53">
        <v>37</v>
      </c>
      <c r="AP20" s="54">
        <v>10.4</v>
      </c>
      <c r="AQ20" s="54">
        <v>110</v>
      </c>
      <c r="AR20" s="54">
        <v>0</v>
      </c>
      <c r="AS20" s="57">
        <v>15</v>
      </c>
      <c r="AT20" s="56">
        <v>29</v>
      </c>
      <c r="AU20" s="57">
        <v>80</v>
      </c>
      <c r="AV20" s="56">
        <v>91.02</v>
      </c>
      <c r="AW20" s="57">
        <v>322.85000000000002</v>
      </c>
      <c r="AX20" s="8"/>
      <c r="AZ20" s="1">
        <v>90</v>
      </c>
      <c r="BB20" s="82">
        <f t="shared" si="1"/>
        <v>37.348999999999997</v>
      </c>
    </row>
    <row r="21" spans="3:54" ht="15" customHeight="1" x14ac:dyDescent="0.25">
      <c r="C21" s="42"/>
      <c r="D21" s="43">
        <f>D16</f>
        <v>45748</v>
      </c>
      <c r="E21" s="44">
        <f t="shared" si="2"/>
        <v>0.66666666666666663</v>
      </c>
      <c r="F21" s="45">
        <f t="shared" si="3"/>
        <v>45748.666666666679</v>
      </c>
      <c r="G21" s="52">
        <v>38</v>
      </c>
      <c r="H21" s="53">
        <v>37</v>
      </c>
      <c r="I21" s="54">
        <v>9.6999999999999993</v>
      </c>
      <c r="J21" s="54">
        <v>300</v>
      </c>
      <c r="K21" s="55">
        <v>7.1</v>
      </c>
      <c r="L21" s="56">
        <v>37</v>
      </c>
      <c r="M21" s="54">
        <v>10.199999999999999</v>
      </c>
      <c r="N21" s="54">
        <v>400</v>
      </c>
      <c r="O21" s="57">
        <v>7.5</v>
      </c>
      <c r="P21" s="53">
        <v>37</v>
      </c>
      <c r="Q21" s="54">
        <v>10.3</v>
      </c>
      <c r="R21" s="55">
        <v>0</v>
      </c>
      <c r="S21" s="55">
        <v>6.9</v>
      </c>
      <c r="T21" s="57">
        <v>18</v>
      </c>
      <c r="U21" s="56">
        <v>37</v>
      </c>
      <c r="V21" s="54">
        <v>10.3</v>
      </c>
      <c r="W21" s="55">
        <v>0</v>
      </c>
      <c r="X21" s="55">
        <v>6.9</v>
      </c>
      <c r="Y21" s="57">
        <v>11.3</v>
      </c>
      <c r="Z21" s="53">
        <v>37</v>
      </c>
      <c r="AA21" s="54">
        <v>10.1</v>
      </c>
      <c r="AB21" s="55">
        <v>0</v>
      </c>
      <c r="AC21" s="55">
        <v>5.0999999999999996</v>
      </c>
      <c r="AD21" s="57">
        <v>12.5</v>
      </c>
      <c r="AE21" s="56">
        <v>38</v>
      </c>
      <c r="AF21" s="54">
        <v>10.1</v>
      </c>
      <c r="AG21" s="55">
        <v>0</v>
      </c>
      <c r="AH21" s="55">
        <v>7.2</v>
      </c>
      <c r="AI21" s="57">
        <v>12.3</v>
      </c>
      <c r="AJ21" s="56">
        <v>37</v>
      </c>
      <c r="AK21" s="54">
        <v>10.199999999999999</v>
      </c>
      <c r="AL21" s="54">
        <v>0</v>
      </c>
      <c r="AM21" s="54">
        <v>9.1</v>
      </c>
      <c r="AN21" s="57">
        <v>16.3</v>
      </c>
      <c r="AO21" s="53">
        <v>34</v>
      </c>
      <c r="AP21" s="54">
        <v>10.199999999999999</v>
      </c>
      <c r="AQ21" s="54">
        <v>80</v>
      </c>
      <c r="AR21" s="54">
        <v>9.3000000000000007</v>
      </c>
      <c r="AS21" s="57">
        <v>14.8</v>
      </c>
      <c r="AT21" s="56">
        <v>27</v>
      </c>
      <c r="AU21" s="57">
        <v>70</v>
      </c>
      <c r="AV21" s="56">
        <v>90.78</v>
      </c>
      <c r="AW21" s="57">
        <v>324.26</v>
      </c>
      <c r="AX21" s="8"/>
      <c r="AZ21" s="1">
        <v>90</v>
      </c>
      <c r="BB21" s="82">
        <f t="shared" si="1"/>
        <v>37.658399999999993</v>
      </c>
    </row>
    <row r="22" spans="3:54" ht="15" customHeight="1" x14ac:dyDescent="0.25">
      <c r="C22" s="42"/>
      <c r="D22" s="43">
        <f>D16</f>
        <v>45748</v>
      </c>
      <c r="E22" s="44">
        <f t="shared" si="2"/>
        <v>0.75</v>
      </c>
      <c r="F22" s="45">
        <f t="shared" si="3"/>
        <v>45748.750000000015</v>
      </c>
      <c r="G22" s="52">
        <v>39</v>
      </c>
      <c r="H22" s="53">
        <v>38</v>
      </c>
      <c r="I22" s="54">
        <v>10.3</v>
      </c>
      <c r="J22" s="54">
        <v>350</v>
      </c>
      <c r="K22" s="55">
        <v>7.3</v>
      </c>
      <c r="L22" s="56">
        <v>37</v>
      </c>
      <c r="M22" s="54">
        <v>10.4</v>
      </c>
      <c r="N22" s="54">
        <v>450</v>
      </c>
      <c r="O22" s="57">
        <v>7.2</v>
      </c>
      <c r="P22" s="53">
        <v>38</v>
      </c>
      <c r="Q22" s="54">
        <v>10.4</v>
      </c>
      <c r="R22" s="55">
        <v>0</v>
      </c>
      <c r="S22" s="55">
        <v>6.7</v>
      </c>
      <c r="T22" s="57">
        <v>18.8</v>
      </c>
      <c r="U22" s="56">
        <v>38</v>
      </c>
      <c r="V22" s="54">
        <v>10.5</v>
      </c>
      <c r="W22" s="55">
        <v>0</v>
      </c>
      <c r="X22" s="55">
        <v>6.5</v>
      </c>
      <c r="Y22" s="57">
        <v>12.5</v>
      </c>
      <c r="Z22" s="53">
        <v>36</v>
      </c>
      <c r="AA22" s="54">
        <v>10.3</v>
      </c>
      <c r="AB22" s="55">
        <v>0</v>
      </c>
      <c r="AC22" s="55">
        <v>5.9</v>
      </c>
      <c r="AD22" s="57">
        <v>12.5</v>
      </c>
      <c r="AE22" s="56">
        <v>37</v>
      </c>
      <c r="AF22" s="54">
        <v>10.3</v>
      </c>
      <c r="AG22" s="55">
        <v>0</v>
      </c>
      <c r="AH22" s="55">
        <v>6.9</v>
      </c>
      <c r="AI22" s="57">
        <v>11.5</v>
      </c>
      <c r="AJ22" s="56">
        <v>36</v>
      </c>
      <c r="AK22" s="54">
        <v>10.199999999999999</v>
      </c>
      <c r="AL22" s="54">
        <v>0</v>
      </c>
      <c r="AM22" s="54">
        <v>8.5</v>
      </c>
      <c r="AN22" s="57">
        <v>16.3</v>
      </c>
      <c r="AO22" s="53">
        <v>36</v>
      </c>
      <c r="AP22" s="54">
        <v>10.199999999999999</v>
      </c>
      <c r="AQ22" s="54">
        <v>80</v>
      </c>
      <c r="AR22" s="54">
        <v>9.1</v>
      </c>
      <c r="AS22" s="57">
        <v>15</v>
      </c>
      <c r="AT22" s="56">
        <v>28</v>
      </c>
      <c r="AU22" s="57">
        <v>70</v>
      </c>
      <c r="AV22" s="56">
        <v>91.35</v>
      </c>
      <c r="AW22" s="57">
        <v>322.64</v>
      </c>
      <c r="AX22" s="8"/>
      <c r="AZ22" s="1">
        <v>90</v>
      </c>
      <c r="BB22" s="82">
        <f t="shared" si="1"/>
        <v>38.277200000000001</v>
      </c>
    </row>
    <row r="23" spans="3:54" ht="15" customHeight="1" x14ac:dyDescent="0.25">
      <c r="C23" s="42"/>
      <c r="D23" s="43">
        <f>D16</f>
        <v>45748</v>
      </c>
      <c r="E23" s="44">
        <f t="shared" si="2"/>
        <v>0.83333333333333337</v>
      </c>
      <c r="F23" s="45">
        <f t="shared" si="3"/>
        <v>45748.83333333335</v>
      </c>
      <c r="G23" s="52">
        <v>38</v>
      </c>
      <c r="H23" s="53">
        <v>39</v>
      </c>
      <c r="I23" s="54">
        <v>11.4</v>
      </c>
      <c r="J23" s="54">
        <v>350</v>
      </c>
      <c r="K23" s="55">
        <v>7.7</v>
      </c>
      <c r="L23" s="56">
        <v>39</v>
      </c>
      <c r="M23" s="54">
        <v>10.9</v>
      </c>
      <c r="N23" s="54">
        <v>400</v>
      </c>
      <c r="O23" s="57">
        <v>7.8</v>
      </c>
      <c r="P23" s="53">
        <v>38</v>
      </c>
      <c r="Q23" s="54">
        <v>10.5</v>
      </c>
      <c r="R23" s="55">
        <v>0</v>
      </c>
      <c r="S23" s="55">
        <v>8.5</v>
      </c>
      <c r="T23" s="57">
        <v>18.8</v>
      </c>
      <c r="U23" s="56">
        <v>37</v>
      </c>
      <c r="V23" s="54">
        <v>10.3</v>
      </c>
      <c r="W23" s="55">
        <v>0</v>
      </c>
      <c r="X23" s="55">
        <v>8.1999999999999993</v>
      </c>
      <c r="Y23" s="57">
        <v>11.3</v>
      </c>
      <c r="Z23" s="53">
        <v>38</v>
      </c>
      <c r="AA23" s="54">
        <v>10.3</v>
      </c>
      <c r="AB23" s="55">
        <v>0</v>
      </c>
      <c r="AC23" s="55">
        <v>7.5</v>
      </c>
      <c r="AD23" s="57">
        <v>12.5</v>
      </c>
      <c r="AE23" s="56">
        <v>37</v>
      </c>
      <c r="AF23" s="54">
        <v>10.199999999999999</v>
      </c>
      <c r="AG23" s="55">
        <v>0</v>
      </c>
      <c r="AH23" s="55">
        <v>6.5</v>
      </c>
      <c r="AI23" s="57">
        <v>12.5</v>
      </c>
      <c r="AJ23" s="56">
        <v>37</v>
      </c>
      <c r="AK23" s="54">
        <v>10.1</v>
      </c>
      <c r="AL23" s="54">
        <v>0</v>
      </c>
      <c r="AM23" s="54">
        <v>6.3</v>
      </c>
      <c r="AN23" s="57">
        <v>16.3</v>
      </c>
      <c r="AO23" s="53">
        <v>37</v>
      </c>
      <c r="AP23" s="54">
        <v>10.1</v>
      </c>
      <c r="AQ23" s="54">
        <v>120</v>
      </c>
      <c r="AR23" s="54">
        <v>8.3000000000000007</v>
      </c>
      <c r="AS23" s="57">
        <v>15</v>
      </c>
      <c r="AT23" s="56">
        <v>30</v>
      </c>
      <c r="AU23" s="57">
        <v>90</v>
      </c>
      <c r="AV23" s="56">
        <v>91.24</v>
      </c>
      <c r="AW23" s="57">
        <v>330.56</v>
      </c>
      <c r="AX23" s="8"/>
      <c r="AZ23" s="1">
        <v>90</v>
      </c>
      <c r="BB23" s="82">
        <f t="shared" si="1"/>
        <v>38.188800000000001</v>
      </c>
    </row>
    <row r="24" spans="3:54" ht="15" customHeight="1" x14ac:dyDescent="0.25">
      <c r="C24" s="42"/>
      <c r="D24" s="43">
        <f>D16</f>
        <v>45748</v>
      </c>
      <c r="E24" s="44">
        <f t="shared" si="2"/>
        <v>0.91666666666666674</v>
      </c>
      <c r="F24" s="45">
        <f t="shared" si="3"/>
        <v>45748.916666666686</v>
      </c>
      <c r="G24" s="52">
        <v>39</v>
      </c>
      <c r="H24" s="53">
        <v>37</v>
      </c>
      <c r="I24" s="54">
        <v>11.4</v>
      </c>
      <c r="J24" s="54">
        <v>300</v>
      </c>
      <c r="K24" s="55">
        <v>7.1</v>
      </c>
      <c r="L24" s="56">
        <v>38</v>
      </c>
      <c r="M24" s="54">
        <v>11</v>
      </c>
      <c r="N24" s="54">
        <v>450</v>
      </c>
      <c r="O24" s="57">
        <v>7.3</v>
      </c>
      <c r="P24" s="53">
        <v>38</v>
      </c>
      <c r="Q24" s="54">
        <v>10.6</v>
      </c>
      <c r="R24" s="55">
        <v>0</v>
      </c>
      <c r="S24" s="55">
        <v>8.6999999999999993</v>
      </c>
      <c r="T24" s="57">
        <v>18</v>
      </c>
      <c r="U24" s="56">
        <v>37</v>
      </c>
      <c r="V24" s="54">
        <v>10.3</v>
      </c>
      <c r="W24" s="55">
        <v>0</v>
      </c>
      <c r="X24" s="55">
        <v>7.9</v>
      </c>
      <c r="Y24" s="57">
        <v>12.2</v>
      </c>
      <c r="Z24" s="53">
        <v>37</v>
      </c>
      <c r="AA24" s="54">
        <v>10.3</v>
      </c>
      <c r="AB24" s="55">
        <v>0</v>
      </c>
      <c r="AC24" s="55">
        <v>7.5</v>
      </c>
      <c r="AD24" s="57">
        <v>11.3</v>
      </c>
      <c r="AE24" s="56">
        <v>37</v>
      </c>
      <c r="AF24" s="54">
        <v>10.199999999999999</v>
      </c>
      <c r="AG24" s="55">
        <v>0</v>
      </c>
      <c r="AH24" s="55">
        <v>6.9</v>
      </c>
      <c r="AI24" s="57">
        <v>11.3</v>
      </c>
      <c r="AJ24" s="56">
        <v>36</v>
      </c>
      <c r="AK24" s="54">
        <v>10.1</v>
      </c>
      <c r="AL24" s="54">
        <v>0</v>
      </c>
      <c r="AM24" s="54">
        <v>6.3</v>
      </c>
      <c r="AN24" s="57">
        <v>16.8</v>
      </c>
      <c r="AO24" s="53">
        <v>36</v>
      </c>
      <c r="AP24" s="54">
        <v>10.1</v>
      </c>
      <c r="AQ24" s="54">
        <v>110</v>
      </c>
      <c r="AR24" s="54">
        <v>9.1</v>
      </c>
      <c r="AS24" s="57">
        <v>15.7</v>
      </c>
      <c r="AT24" s="56">
        <v>27</v>
      </c>
      <c r="AU24" s="57">
        <v>80</v>
      </c>
      <c r="AV24" s="56">
        <v>94.93</v>
      </c>
      <c r="AW24" s="57">
        <v>230.72</v>
      </c>
      <c r="AX24" s="8"/>
      <c r="AZ24" s="1">
        <v>90</v>
      </c>
      <c r="BB24" s="82">
        <f t="shared" si="1"/>
        <v>37.702599999999997</v>
      </c>
    </row>
    <row r="25" spans="3:54" ht="15" customHeight="1" x14ac:dyDescent="0.25">
      <c r="C25" s="42"/>
      <c r="D25" s="43">
        <f>D16</f>
        <v>45748</v>
      </c>
      <c r="E25" s="44">
        <f t="shared" si="2"/>
        <v>1</v>
      </c>
      <c r="F25" s="45">
        <f t="shared" si="3"/>
        <v>45749.000000000022</v>
      </c>
      <c r="G25" s="52">
        <v>37</v>
      </c>
      <c r="H25" s="53">
        <v>36</v>
      </c>
      <c r="I25" s="54">
        <v>10.8</v>
      </c>
      <c r="J25" s="54">
        <v>350</v>
      </c>
      <c r="K25" s="55">
        <v>6.9</v>
      </c>
      <c r="L25" s="56">
        <v>38</v>
      </c>
      <c r="M25" s="54">
        <v>11.1</v>
      </c>
      <c r="N25" s="54">
        <v>400</v>
      </c>
      <c r="O25" s="57">
        <v>6.7</v>
      </c>
      <c r="P25" s="53">
        <v>38</v>
      </c>
      <c r="Q25" s="54">
        <v>11</v>
      </c>
      <c r="R25" s="55">
        <v>0</v>
      </c>
      <c r="S25" s="55">
        <v>7.5</v>
      </c>
      <c r="T25" s="57">
        <v>18.7</v>
      </c>
      <c r="U25" s="56">
        <v>36</v>
      </c>
      <c r="V25" s="54">
        <v>10.6</v>
      </c>
      <c r="W25" s="55">
        <v>0</v>
      </c>
      <c r="X25" s="55">
        <v>8.1</v>
      </c>
      <c r="Y25" s="57">
        <v>12.5</v>
      </c>
      <c r="Z25" s="53">
        <v>36</v>
      </c>
      <c r="AA25" s="54">
        <v>10.5</v>
      </c>
      <c r="AB25" s="55">
        <v>0</v>
      </c>
      <c r="AC25" s="55">
        <v>7.7</v>
      </c>
      <c r="AD25" s="57">
        <v>11.3</v>
      </c>
      <c r="AE25" s="56">
        <v>35</v>
      </c>
      <c r="AF25" s="54">
        <v>10.199999999999999</v>
      </c>
      <c r="AG25" s="55">
        <v>0</v>
      </c>
      <c r="AH25" s="55">
        <v>6.3</v>
      </c>
      <c r="AI25" s="57">
        <v>12.5</v>
      </c>
      <c r="AJ25" s="56">
        <v>36</v>
      </c>
      <c r="AK25" s="54">
        <v>10.199999999999999</v>
      </c>
      <c r="AL25" s="54">
        <v>0</v>
      </c>
      <c r="AM25" s="54">
        <v>6.7</v>
      </c>
      <c r="AN25" s="57">
        <v>16.3</v>
      </c>
      <c r="AO25" s="53">
        <v>37</v>
      </c>
      <c r="AP25" s="54">
        <v>10.199999999999999</v>
      </c>
      <c r="AQ25" s="54">
        <v>110</v>
      </c>
      <c r="AR25" s="54">
        <v>8.5</v>
      </c>
      <c r="AS25" s="57">
        <v>16.3</v>
      </c>
      <c r="AT25" s="56">
        <v>29</v>
      </c>
      <c r="AU25" s="57">
        <v>90</v>
      </c>
      <c r="AV25" s="56">
        <v>94.79</v>
      </c>
      <c r="AW25" s="57">
        <v>217.49</v>
      </c>
      <c r="AX25" s="8"/>
      <c r="AZ25" s="1">
        <v>90</v>
      </c>
      <c r="BB25" s="82">
        <f t="shared" si="1"/>
        <v>38.719199999999994</v>
      </c>
    </row>
    <row r="26" spans="3:54" ht="15" customHeight="1" x14ac:dyDescent="0.25">
      <c r="C26" s="42"/>
      <c r="D26" s="43">
        <f>D16</f>
        <v>45748</v>
      </c>
      <c r="E26" s="44">
        <f t="shared" si="2"/>
        <v>1.0833333333333333</v>
      </c>
      <c r="F26" s="45">
        <f t="shared" si="3"/>
        <v>45749.083333333358</v>
      </c>
      <c r="G26" s="52">
        <v>38</v>
      </c>
      <c r="H26" s="53">
        <v>38</v>
      </c>
      <c r="I26" s="54">
        <v>11.1</v>
      </c>
      <c r="J26" s="54">
        <v>350</v>
      </c>
      <c r="K26" s="55">
        <v>6.5</v>
      </c>
      <c r="L26" s="56">
        <v>38</v>
      </c>
      <c r="M26" s="54">
        <v>11.2</v>
      </c>
      <c r="N26" s="54">
        <v>350</v>
      </c>
      <c r="O26" s="57">
        <v>7.2</v>
      </c>
      <c r="P26" s="53">
        <v>38</v>
      </c>
      <c r="Q26" s="54">
        <v>11.1</v>
      </c>
      <c r="R26" s="55">
        <v>0</v>
      </c>
      <c r="S26" s="55">
        <v>7.5</v>
      </c>
      <c r="T26" s="57">
        <v>18.7</v>
      </c>
      <c r="U26" s="56">
        <v>37</v>
      </c>
      <c r="V26" s="54">
        <v>10.7</v>
      </c>
      <c r="W26" s="55">
        <v>0</v>
      </c>
      <c r="X26" s="55">
        <v>7.7</v>
      </c>
      <c r="Y26" s="57">
        <v>12.5</v>
      </c>
      <c r="Z26" s="53">
        <v>37</v>
      </c>
      <c r="AA26" s="54">
        <v>10.6</v>
      </c>
      <c r="AB26" s="55">
        <v>0</v>
      </c>
      <c r="AC26" s="55">
        <v>7.1</v>
      </c>
      <c r="AD26" s="57">
        <v>12.5</v>
      </c>
      <c r="AE26" s="56">
        <v>36</v>
      </c>
      <c r="AF26" s="54">
        <v>10.3</v>
      </c>
      <c r="AG26" s="55">
        <v>0</v>
      </c>
      <c r="AH26" s="55">
        <v>6.7</v>
      </c>
      <c r="AI26" s="57">
        <v>12.5</v>
      </c>
      <c r="AJ26" s="56">
        <v>37</v>
      </c>
      <c r="AK26" s="54">
        <v>10.199999999999999</v>
      </c>
      <c r="AL26" s="54">
        <v>0</v>
      </c>
      <c r="AM26" s="54">
        <v>6.5</v>
      </c>
      <c r="AN26" s="57">
        <v>16.8</v>
      </c>
      <c r="AO26" s="53">
        <v>38</v>
      </c>
      <c r="AP26" s="54">
        <v>10.1</v>
      </c>
      <c r="AQ26" s="54">
        <v>120</v>
      </c>
      <c r="AR26" s="54">
        <v>8.5</v>
      </c>
      <c r="AS26" s="57">
        <v>16.3</v>
      </c>
      <c r="AT26" s="56">
        <v>30</v>
      </c>
      <c r="AU26" s="57">
        <v>90</v>
      </c>
      <c r="AV26" s="56">
        <v>94.95</v>
      </c>
      <c r="AW26" s="57">
        <v>215.13</v>
      </c>
      <c r="AX26" s="8"/>
      <c r="AZ26" s="1">
        <v>90</v>
      </c>
      <c r="BB26" s="82">
        <f t="shared" si="1"/>
        <v>39.470599999999997</v>
      </c>
    </row>
    <row r="27" spans="3:54" ht="15" customHeight="1" x14ac:dyDescent="0.25">
      <c r="C27" s="42"/>
      <c r="D27" s="58">
        <f>D16</f>
        <v>45748</v>
      </c>
      <c r="E27" s="59">
        <f t="shared" si="2"/>
        <v>1.1666666666666665</v>
      </c>
      <c r="F27" s="45">
        <f t="shared" si="3"/>
        <v>45749.166666666693</v>
      </c>
      <c r="G27" s="60">
        <v>37</v>
      </c>
      <c r="H27" s="61">
        <v>38</v>
      </c>
      <c r="I27" s="62">
        <v>10.7</v>
      </c>
      <c r="J27" s="62">
        <v>350</v>
      </c>
      <c r="K27" s="63">
        <v>7.1</v>
      </c>
      <c r="L27" s="64">
        <v>37</v>
      </c>
      <c r="M27" s="62">
        <v>10.7</v>
      </c>
      <c r="N27" s="62">
        <v>400</v>
      </c>
      <c r="O27" s="65">
        <v>5.9</v>
      </c>
      <c r="P27" s="61">
        <v>38</v>
      </c>
      <c r="Q27" s="62">
        <v>10.9</v>
      </c>
      <c r="R27" s="63">
        <v>0</v>
      </c>
      <c r="S27" s="63">
        <v>7.5</v>
      </c>
      <c r="T27" s="65">
        <v>18.7</v>
      </c>
      <c r="U27" s="64">
        <v>38</v>
      </c>
      <c r="V27" s="62">
        <v>10.8</v>
      </c>
      <c r="W27" s="63">
        <v>0</v>
      </c>
      <c r="X27" s="63">
        <v>7.7</v>
      </c>
      <c r="Y27" s="65">
        <v>12.5</v>
      </c>
      <c r="Z27" s="61">
        <v>38</v>
      </c>
      <c r="AA27" s="62">
        <v>10.6</v>
      </c>
      <c r="AB27" s="63">
        <v>0</v>
      </c>
      <c r="AC27" s="63">
        <v>7.7</v>
      </c>
      <c r="AD27" s="65">
        <v>12.5</v>
      </c>
      <c r="AE27" s="64">
        <v>38</v>
      </c>
      <c r="AF27" s="62">
        <v>10.5</v>
      </c>
      <c r="AG27" s="63">
        <v>0</v>
      </c>
      <c r="AH27" s="63">
        <v>6.5</v>
      </c>
      <c r="AI27" s="65">
        <v>12.5</v>
      </c>
      <c r="AJ27" s="64">
        <v>37</v>
      </c>
      <c r="AK27" s="62">
        <v>10.3</v>
      </c>
      <c r="AL27" s="62">
        <v>0</v>
      </c>
      <c r="AM27" s="62">
        <v>6.5</v>
      </c>
      <c r="AN27" s="65">
        <v>16.3</v>
      </c>
      <c r="AO27" s="61">
        <v>36</v>
      </c>
      <c r="AP27" s="62">
        <v>10.199999999999999</v>
      </c>
      <c r="AQ27" s="62">
        <v>130</v>
      </c>
      <c r="AR27" s="62">
        <v>8.6999999999999993</v>
      </c>
      <c r="AS27" s="65">
        <v>15.7</v>
      </c>
      <c r="AT27" s="64">
        <v>31</v>
      </c>
      <c r="AU27" s="65">
        <v>100</v>
      </c>
      <c r="AV27" s="64">
        <v>94.99</v>
      </c>
      <c r="AW27" s="65">
        <v>221.51</v>
      </c>
      <c r="AX27" s="8"/>
      <c r="AZ27" s="1">
        <v>90</v>
      </c>
      <c r="BB27" s="82">
        <f t="shared" si="1"/>
        <v>38.984400000000001</v>
      </c>
    </row>
    <row r="28" spans="3:54" ht="15" customHeight="1" x14ac:dyDescent="0.25">
      <c r="C28" s="42">
        <f>C16+1</f>
        <v>2</v>
      </c>
      <c r="D28" s="66">
        <f>D16+1</f>
        <v>45749</v>
      </c>
      <c r="E28" s="67">
        <f>E27+2/24</f>
        <v>1.2499999999999998</v>
      </c>
      <c r="F28" s="68">
        <f t="shared" si="3"/>
        <v>45749.250000000029</v>
      </c>
      <c r="G28" s="46">
        <v>37.42</v>
      </c>
      <c r="H28" s="47">
        <v>38</v>
      </c>
      <c r="I28" s="48">
        <v>10.7</v>
      </c>
      <c r="J28" s="48">
        <v>350</v>
      </c>
      <c r="K28" s="49">
        <v>6.8</v>
      </c>
      <c r="L28" s="50">
        <v>37</v>
      </c>
      <c r="M28" s="48">
        <v>10.9</v>
      </c>
      <c r="N28" s="48">
        <v>400</v>
      </c>
      <c r="O28" s="51">
        <v>6.7</v>
      </c>
      <c r="P28" s="47">
        <v>37</v>
      </c>
      <c r="Q28" s="48">
        <v>10.9</v>
      </c>
      <c r="R28" s="49">
        <v>0</v>
      </c>
      <c r="S28" s="49">
        <v>7.1</v>
      </c>
      <c r="T28" s="51">
        <v>18.7</v>
      </c>
      <c r="U28" s="50">
        <v>38</v>
      </c>
      <c r="V28" s="48">
        <v>10.9</v>
      </c>
      <c r="W28" s="49">
        <v>0</v>
      </c>
      <c r="X28" s="49">
        <v>6.5</v>
      </c>
      <c r="Y28" s="51">
        <v>12.5</v>
      </c>
      <c r="Z28" s="47">
        <v>37</v>
      </c>
      <c r="AA28" s="48">
        <v>10.7</v>
      </c>
      <c r="AB28" s="49">
        <v>0</v>
      </c>
      <c r="AC28" s="49">
        <v>6.8</v>
      </c>
      <c r="AD28" s="51">
        <v>12.5</v>
      </c>
      <c r="AE28" s="50">
        <v>38</v>
      </c>
      <c r="AF28" s="48">
        <v>10.6</v>
      </c>
      <c r="AG28" s="49">
        <v>0</v>
      </c>
      <c r="AH28" s="49">
        <v>7.1</v>
      </c>
      <c r="AI28" s="51">
        <v>11.3</v>
      </c>
      <c r="AJ28" s="50">
        <v>37</v>
      </c>
      <c r="AK28" s="48">
        <v>10.3</v>
      </c>
      <c r="AL28" s="48">
        <v>0</v>
      </c>
      <c r="AM28" s="48">
        <v>5.6</v>
      </c>
      <c r="AN28" s="51">
        <v>16.3</v>
      </c>
      <c r="AO28" s="47">
        <v>37</v>
      </c>
      <c r="AP28" s="48">
        <v>10.3</v>
      </c>
      <c r="AQ28" s="48">
        <v>170</v>
      </c>
      <c r="AR28" s="48">
        <v>9.1</v>
      </c>
      <c r="AS28" s="51">
        <v>16.3</v>
      </c>
      <c r="AT28" s="50">
        <v>30</v>
      </c>
      <c r="AU28" s="51">
        <v>100</v>
      </c>
      <c r="AV28" s="50">
        <v>95</v>
      </c>
      <c r="AW28" s="51">
        <v>226.2</v>
      </c>
      <c r="AX28" s="8"/>
      <c r="AZ28" s="1">
        <v>90</v>
      </c>
      <c r="BB28" s="82">
        <f t="shared" si="1"/>
        <v>38.719199999999994</v>
      </c>
    </row>
    <row r="29" spans="3:54" ht="15" customHeight="1" x14ac:dyDescent="0.25">
      <c r="C29" s="42"/>
      <c r="D29" s="43">
        <f>D28</f>
        <v>45749</v>
      </c>
      <c r="E29" s="44">
        <f>E28+2/24</f>
        <v>1.333333333333333</v>
      </c>
      <c r="F29" s="45">
        <f t="shared" si="3"/>
        <v>45749.333333333365</v>
      </c>
      <c r="G29" s="52">
        <v>38</v>
      </c>
      <c r="H29" s="53">
        <v>38</v>
      </c>
      <c r="I29" s="54">
        <v>10.5</v>
      </c>
      <c r="J29" s="54">
        <v>300</v>
      </c>
      <c r="K29" s="55">
        <v>6.2</v>
      </c>
      <c r="L29" s="56">
        <v>37</v>
      </c>
      <c r="M29" s="54">
        <v>10.5</v>
      </c>
      <c r="N29" s="54">
        <v>300</v>
      </c>
      <c r="O29" s="57">
        <v>6.4</v>
      </c>
      <c r="P29" s="53">
        <v>36</v>
      </c>
      <c r="Q29" s="54">
        <v>11</v>
      </c>
      <c r="R29" s="55">
        <v>0</v>
      </c>
      <c r="S29" s="55">
        <v>6.1</v>
      </c>
      <c r="T29" s="57">
        <v>19</v>
      </c>
      <c r="U29" s="56">
        <v>36</v>
      </c>
      <c r="V29" s="54">
        <v>11.1</v>
      </c>
      <c r="W29" s="55">
        <v>0</v>
      </c>
      <c r="X29" s="55">
        <v>6.3</v>
      </c>
      <c r="Y29" s="57">
        <v>11.3</v>
      </c>
      <c r="Z29" s="53">
        <v>36</v>
      </c>
      <c r="AA29" s="54">
        <v>10.7</v>
      </c>
      <c r="AB29" s="55">
        <v>0</v>
      </c>
      <c r="AC29" s="55">
        <v>6.3</v>
      </c>
      <c r="AD29" s="57">
        <v>11.3</v>
      </c>
      <c r="AE29" s="56">
        <v>34</v>
      </c>
      <c r="AF29" s="54">
        <v>10.5</v>
      </c>
      <c r="AG29" s="55">
        <v>0</v>
      </c>
      <c r="AH29" s="55">
        <v>6.3</v>
      </c>
      <c r="AI29" s="57">
        <v>11.3</v>
      </c>
      <c r="AJ29" s="56">
        <v>37</v>
      </c>
      <c r="AK29" s="54">
        <v>10.5</v>
      </c>
      <c r="AL29" s="54">
        <v>0</v>
      </c>
      <c r="AM29" s="54">
        <v>6.6</v>
      </c>
      <c r="AN29" s="57">
        <v>15</v>
      </c>
      <c r="AO29" s="53">
        <v>37</v>
      </c>
      <c r="AP29" s="54">
        <v>10.3</v>
      </c>
      <c r="AQ29" s="54">
        <v>180</v>
      </c>
      <c r="AR29" s="54">
        <v>6.3</v>
      </c>
      <c r="AS29" s="57">
        <v>15</v>
      </c>
      <c r="AT29" s="56">
        <v>28</v>
      </c>
      <c r="AU29" s="57">
        <v>80</v>
      </c>
      <c r="AV29" s="56">
        <v>95.08</v>
      </c>
      <c r="AW29" s="57">
        <v>222.27</v>
      </c>
      <c r="AX29" s="8"/>
      <c r="AZ29" s="1">
        <v>90</v>
      </c>
      <c r="BB29" s="82">
        <f t="shared" si="1"/>
        <v>36.641800000000003</v>
      </c>
    </row>
    <row r="30" spans="3:54" ht="15" customHeight="1" x14ac:dyDescent="0.25">
      <c r="C30" s="42"/>
      <c r="D30" s="43">
        <f>D28</f>
        <v>45749</v>
      </c>
      <c r="E30" s="44">
        <f t="shared" ref="E30:E39" si="4">E29+2/24</f>
        <v>1.4166666666666663</v>
      </c>
      <c r="F30" s="45">
        <f t="shared" si="3"/>
        <v>45749.416666666701</v>
      </c>
      <c r="G30" s="52">
        <v>37</v>
      </c>
      <c r="H30" s="53">
        <v>37</v>
      </c>
      <c r="I30" s="54">
        <v>10.1</v>
      </c>
      <c r="J30" s="54">
        <v>300</v>
      </c>
      <c r="K30" s="55">
        <v>6.4</v>
      </c>
      <c r="L30" s="56">
        <v>38</v>
      </c>
      <c r="M30" s="54">
        <v>10.7</v>
      </c>
      <c r="N30" s="54">
        <v>300</v>
      </c>
      <c r="O30" s="57">
        <v>6.6</v>
      </c>
      <c r="P30" s="53">
        <v>37</v>
      </c>
      <c r="Q30" s="54">
        <v>10.9</v>
      </c>
      <c r="R30" s="55">
        <v>0</v>
      </c>
      <c r="S30" s="55">
        <v>5.8</v>
      </c>
      <c r="T30" s="57">
        <v>18.8</v>
      </c>
      <c r="U30" s="56">
        <v>37</v>
      </c>
      <c r="V30" s="54">
        <v>11</v>
      </c>
      <c r="W30" s="55">
        <v>0</v>
      </c>
      <c r="X30" s="55">
        <v>6.4</v>
      </c>
      <c r="Y30" s="57">
        <v>11</v>
      </c>
      <c r="Z30" s="53">
        <v>37</v>
      </c>
      <c r="AA30" s="54">
        <v>10.7</v>
      </c>
      <c r="AB30" s="55">
        <v>0</v>
      </c>
      <c r="AC30" s="55">
        <v>6.1</v>
      </c>
      <c r="AD30" s="57">
        <v>11.3</v>
      </c>
      <c r="AE30" s="56">
        <v>35</v>
      </c>
      <c r="AF30" s="54">
        <v>10.5</v>
      </c>
      <c r="AG30" s="55">
        <v>0</v>
      </c>
      <c r="AH30" s="55">
        <v>6</v>
      </c>
      <c r="AI30" s="57">
        <v>11.5</v>
      </c>
      <c r="AJ30" s="56">
        <v>36</v>
      </c>
      <c r="AK30" s="54">
        <v>10.5</v>
      </c>
      <c r="AL30" s="54">
        <v>0</v>
      </c>
      <c r="AM30" s="54">
        <v>6.2</v>
      </c>
      <c r="AN30" s="57">
        <v>16.3</v>
      </c>
      <c r="AO30" s="53">
        <v>37</v>
      </c>
      <c r="AP30" s="54">
        <v>10.4</v>
      </c>
      <c r="AQ30" s="54">
        <v>130</v>
      </c>
      <c r="AR30" s="54">
        <v>6.5</v>
      </c>
      <c r="AS30" s="57">
        <v>15</v>
      </c>
      <c r="AT30" s="56">
        <v>27</v>
      </c>
      <c r="AU30" s="57">
        <v>110</v>
      </c>
      <c r="AV30" s="56">
        <v>95.08</v>
      </c>
      <c r="AW30" s="57">
        <v>210.54</v>
      </c>
      <c r="AX30" s="8"/>
      <c r="AZ30" s="1">
        <v>90</v>
      </c>
      <c r="BB30" s="82">
        <f t="shared" si="1"/>
        <v>37.083800000000004</v>
      </c>
    </row>
    <row r="31" spans="3:54" ht="15" customHeight="1" x14ac:dyDescent="0.25">
      <c r="C31" s="42"/>
      <c r="D31" s="43">
        <f>D28</f>
        <v>45749</v>
      </c>
      <c r="E31" s="44">
        <f t="shared" si="4"/>
        <v>1.4999999999999996</v>
      </c>
      <c r="F31" s="45">
        <f t="shared" si="3"/>
        <v>45749.500000000036</v>
      </c>
      <c r="G31" s="52">
        <v>38</v>
      </c>
      <c r="H31" s="53">
        <v>38</v>
      </c>
      <c r="I31" s="54">
        <v>10.3</v>
      </c>
      <c r="J31" s="54">
        <v>350</v>
      </c>
      <c r="K31" s="55">
        <v>6.5</v>
      </c>
      <c r="L31" s="56">
        <v>38</v>
      </c>
      <c r="M31" s="54">
        <v>10.5</v>
      </c>
      <c r="N31" s="54">
        <v>300</v>
      </c>
      <c r="O31" s="57">
        <v>6.5</v>
      </c>
      <c r="P31" s="53">
        <v>37</v>
      </c>
      <c r="Q31" s="54">
        <v>10.7</v>
      </c>
      <c r="R31" s="55">
        <v>0</v>
      </c>
      <c r="S31" s="55">
        <v>6</v>
      </c>
      <c r="T31" s="57">
        <v>18.8</v>
      </c>
      <c r="U31" s="56">
        <v>37</v>
      </c>
      <c r="V31" s="54">
        <v>10.8</v>
      </c>
      <c r="W31" s="55">
        <v>0</v>
      </c>
      <c r="X31" s="55">
        <v>6.7</v>
      </c>
      <c r="Y31" s="57">
        <v>11.3</v>
      </c>
      <c r="Z31" s="53">
        <v>36</v>
      </c>
      <c r="AA31" s="54">
        <v>10.9</v>
      </c>
      <c r="AB31" s="55">
        <v>0</v>
      </c>
      <c r="AC31" s="55">
        <v>5.9</v>
      </c>
      <c r="AD31" s="57">
        <v>12.5</v>
      </c>
      <c r="AE31" s="56">
        <v>35</v>
      </c>
      <c r="AF31" s="54">
        <v>10.6</v>
      </c>
      <c r="AG31" s="55">
        <v>0</v>
      </c>
      <c r="AH31" s="55">
        <v>5.7</v>
      </c>
      <c r="AI31" s="57">
        <v>12.5</v>
      </c>
      <c r="AJ31" s="56">
        <v>36</v>
      </c>
      <c r="AK31" s="54">
        <v>10.6</v>
      </c>
      <c r="AL31" s="54">
        <v>0</v>
      </c>
      <c r="AM31" s="54">
        <v>5.8</v>
      </c>
      <c r="AN31" s="57">
        <v>16.3</v>
      </c>
      <c r="AO31" s="53">
        <v>36</v>
      </c>
      <c r="AP31" s="54">
        <v>10.5</v>
      </c>
      <c r="AQ31" s="54">
        <v>130</v>
      </c>
      <c r="AR31" s="54">
        <v>6.2</v>
      </c>
      <c r="AS31" s="57">
        <v>14.8</v>
      </c>
      <c r="AT31" s="56">
        <v>29</v>
      </c>
      <c r="AU31" s="57">
        <v>100</v>
      </c>
      <c r="AV31" s="56">
        <v>95.2</v>
      </c>
      <c r="AW31" s="57">
        <v>216.56</v>
      </c>
      <c r="AX31" s="8"/>
      <c r="AZ31" s="1">
        <v>90</v>
      </c>
      <c r="BB31" s="82">
        <f t="shared" si="1"/>
        <v>38.1004</v>
      </c>
    </row>
    <row r="32" spans="3:54" ht="15" customHeight="1" x14ac:dyDescent="0.25">
      <c r="C32" s="42"/>
      <c r="D32" s="43">
        <f>D28</f>
        <v>45749</v>
      </c>
      <c r="E32" s="44">
        <f t="shared" si="4"/>
        <v>1.5833333333333328</v>
      </c>
      <c r="F32" s="45">
        <f t="shared" si="3"/>
        <v>45749.583333333372</v>
      </c>
      <c r="G32" s="52">
        <v>38</v>
      </c>
      <c r="H32" s="53">
        <v>40</v>
      </c>
      <c r="I32" s="54">
        <v>11.3</v>
      </c>
      <c r="J32" s="54">
        <v>400</v>
      </c>
      <c r="K32" s="55">
        <v>6.9</v>
      </c>
      <c r="L32" s="56">
        <v>36</v>
      </c>
      <c r="M32" s="54">
        <v>11</v>
      </c>
      <c r="N32" s="54">
        <v>350</v>
      </c>
      <c r="O32" s="57">
        <v>7.2</v>
      </c>
      <c r="P32" s="53">
        <v>37</v>
      </c>
      <c r="Q32" s="54">
        <v>10.8</v>
      </c>
      <c r="R32" s="55">
        <v>0</v>
      </c>
      <c r="S32" s="55">
        <v>6.8</v>
      </c>
      <c r="T32" s="57">
        <v>17.5</v>
      </c>
      <c r="U32" s="56">
        <v>37</v>
      </c>
      <c r="V32" s="54">
        <v>10.9</v>
      </c>
      <c r="W32" s="55">
        <v>0</v>
      </c>
      <c r="X32" s="55">
        <v>6.4</v>
      </c>
      <c r="Y32" s="57">
        <v>11.3</v>
      </c>
      <c r="Z32" s="53">
        <v>36</v>
      </c>
      <c r="AA32" s="54">
        <v>10.8</v>
      </c>
      <c r="AB32" s="55">
        <v>0</v>
      </c>
      <c r="AC32" s="55">
        <v>6.1</v>
      </c>
      <c r="AD32" s="57">
        <v>12.5</v>
      </c>
      <c r="AE32" s="56">
        <v>36</v>
      </c>
      <c r="AF32" s="54">
        <v>10.6</v>
      </c>
      <c r="AG32" s="55">
        <v>0</v>
      </c>
      <c r="AH32" s="55">
        <v>6</v>
      </c>
      <c r="AI32" s="57">
        <v>11.5</v>
      </c>
      <c r="AJ32" s="56">
        <v>36</v>
      </c>
      <c r="AK32" s="54">
        <v>10.6</v>
      </c>
      <c r="AL32" s="54">
        <v>0</v>
      </c>
      <c r="AM32" s="54">
        <v>6.5</v>
      </c>
      <c r="AN32" s="57">
        <v>15</v>
      </c>
      <c r="AO32" s="53">
        <v>36</v>
      </c>
      <c r="AP32" s="54">
        <v>10.4</v>
      </c>
      <c r="AQ32" s="54">
        <v>170</v>
      </c>
      <c r="AR32" s="54">
        <v>6.1</v>
      </c>
      <c r="AS32" s="57">
        <v>15</v>
      </c>
      <c r="AT32" s="56">
        <v>27</v>
      </c>
      <c r="AU32" s="57">
        <v>110</v>
      </c>
      <c r="AV32" s="56">
        <v>95.21</v>
      </c>
      <c r="AW32" s="57">
        <v>221.22</v>
      </c>
      <c r="AX32" s="8"/>
      <c r="AZ32" s="1">
        <v>90</v>
      </c>
      <c r="BB32" s="82">
        <f t="shared" si="1"/>
        <v>36.5976</v>
      </c>
    </row>
    <row r="33" spans="3:54" ht="15" customHeight="1" x14ac:dyDescent="0.25">
      <c r="C33" s="42"/>
      <c r="D33" s="43">
        <f>D28</f>
        <v>45749</v>
      </c>
      <c r="E33" s="44">
        <f t="shared" si="4"/>
        <v>1.6666666666666661</v>
      </c>
      <c r="F33" s="45">
        <f t="shared" si="3"/>
        <v>45749.666666666708</v>
      </c>
      <c r="G33" s="52">
        <v>40</v>
      </c>
      <c r="H33" s="53">
        <v>37</v>
      </c>
      <c r="I33" s="54">
        <v>10.8</v>
      </c>
      <c r="J33" s="54">
        <v>350</v>
      </c>
      <c r="K33" s="55">
        <v>7.8</v>
      </c>
      <c r="L33" s="56">
        <v>38</v>
      </c>
      <c r="M33" s="54">
        <v>10.9</v>
      </c>
      <c r="N33" s="54">
        <v>300</v>
      </c>
      <c r="O33" s="57">
        <v>7.2</v>
      </c>
      <c r="P33" s="53">
        <v>37</v>
      </c>
      <c r="Q33" s="54">
        <v>10.8</v>
      </c>
      <c r="R33" s="55">
        <v>0</v>
      </c>
      <c r="S33" s="55">
        <v>7.1</v>
      </c>
      <c r="T33" s="57">
        <v>17.5</v>
      </c>
      <c r="U33" s="56">
        <v>36</v>
      </c>
      <c r="V33" s="54">
        <v>10.7</v>
      </c>
      <c r="W33" s="55">
        <v>0</v>
      </c>
      <c r="X33" s="55">
        <v>6.6</v>
      </c>
      <c r="Y33" s="57">
        <v>11.3</v>
      </c>
      <c r="Z33" s="53">
        <v>35</v>
      </c>
      <c r="AA33" s="54">
        <v>10.7</v>
      </c>
      <c r="AB33" s="55">
        <v>0</v>
      </c>
      <c r="AC33" s="55">
        <v>6.6</v>
      </c>
      <c r="AD33" s="57">
        <v>11.3</v>
      </c>
      <c r="AE33" s="56">
        <v>35</v>
      </c>
      <c r="AF33" s="54">
        <v>10.7</v>
      </c>
      <c r="AG33" s="55">
        <v>0</v>
      </c>
      <c r="AH33" s="55">
        <v>6.4</v>
      </c>
      <c r="AI33" s="57">
        <v>12.5</v>
      </c>
      <c r="AJ33" s="56">
        <v>36</v>
      </c>
      <c r="AK33" s="54">
        <v>10.6</v>
      </c>
      <c r="AL33" s="54">
        <v>0</v>
      </c>
      <c r="AM33" s="54">
        <v>6.9</v>
      </c>
      <c r="AN33" s="57">
        <v>15</v>
      </c>
      <c r="AO33" s="53">
        <v>37</v>
      </c>
      <c r="AP33" s="54">
        <v>10.4</v>
      </c>
      <c r="AQ33" s="54">
        <v>140</v>
      </c>
      <c r="AR33" s="54">
        <v>7.4</v>
      </c>
      <c r="AS33" s="57">
        <v>13.8</v>
      </c>
      <c r="AT33" s="56">
        <v>32</v>
      </c>
      <c r="AU33" s="57">
        <v>100</v>
      </c>
      <c r="AV33" s="56">
        <v>95.18</v>
      </c>
      <c r="AW33" s="57">
        <v>224.79</v>
      </c>
      <c r="AX33" s="8"/>
      <c r="AZ33" s="1">
        <v>90</v>
      </c>
      <c r="BB33" s="82">
        <f t="shared" si="1"/>
        <v>35.9788</v>
      </c>
    </row>
    <row r="34" spans="3:54" ht="15" customHeight="1" x14ac:dyDescent="0.25">
      <c r="C34" s="42"/>
      <c r="D34" s="43">
        <f>D28</f>
        <v>45749</v>
      </c>
      <c r="E34" s="44">
        <f t="shared" si="4"/>
        <v>1.7499999999999993</v>
      </c>
      <c r="F34" s="45">
        <f t="shared" si="3"/>
        <v>45749.750000000044</v>
      </c>
      <c r="G34" s="52">
        <v>38</v>
      </c>
      <c r="H34" s="53">
        <v>38</v>
      </c>
      <c r="I34" s="54">
        <v>10.7</v>
      </c>
      <c r="J34" s="54">
        <v>350</v>
      </c>
      <c r="K34" s="55">
        <v>7.5</v>
      </c>
      <c r="L34" s="56">
        <v>38</v>
      </c>
      <c r="M34" s="54">
        <v>10.8</v>
      </c>
      <c r="N34" s="54">
        <v>350</v>
      </c>
      <c r="O34" s="57">
        <v>7.3</v>
      </c>
      <c r="P34" s="53">
        <v>38</v>
      </c>
      <c r="Q34" s="54">
        <v>10.8</v>
      </c>
      <c r="R34" s="55">
        <v>0</v>
      </c>
      <c r="S34" s="55">
        <v>6.8</v>
      </c>
      <c r="T34" s="57">
        <v>18.8</v>
      </c>
      <c r="U34" s="56">
        <v>37</v>
      </c>
      <c r="V34" s="54">
        <v>10.7</v>
      </c>
      <c r="W34" s="55">
        <v>0</v>
      </c>
      <c r="X34" s="55">
        <v>6.7</v>
      </c>
      <c r="Y34" s="57">
        <v>11.3</v>
      </c>
      <c r="Z34" s="53">
        <v>36</v>
      </c>
      <c r="AA34" s="54">
        <v>10.7</v>
      </c>
      <c r="AB34" s="55">
        <v>0</v>
      </c>
      <c r="AC34" s="55">
        <v>7.4</v>
      </c>
      <c r="AD34" s="57">
        <v>12.5</v>
      </c>
      <c r="AE34" s="56">
        <v>36</v>
      </c>
      <c r="AF34" s="54">
        <v>10.7</v>
      </c>
      <c r="AG34" s="55">
        <v>0</v>
      </c>
      <c r="AH34" s="55">
        <v>6.2</v>
      </c>
      <c r="AI34" s="57">
        <v>12.5</v>
      </c>
      <c r="AJ34" s="56">
        <v>37</v>
      </c>
      <c r="AK34" s="54">
        <v>10.5</v>
      </c>
      <c r="AL34" s="54">
        <v>0</v>
      </c>
      <c r="AM34" s="54">
        <v>6.9</v>
      </c>
      <c r="AN34" s="57">
        <v>16.3</v>
      </c>
      <c r="AO34" s="53">
        <v>37</v>
      </c>
      <c r="AP34" s="54">
        <v>10.4</v>
      </c>
      <c r="AQ34" s="54">
        <v>140</v>
      </c>
      <c r="AR34" s="54">
        <v>6.9</v>
      </c>
      <c r="AS34" s="57">
        <v>13.8</v>
      </c>
      <c r="AT34" s="56">
        <v>28</v>
      </c>
      <c r="AU34" s="57">
        <v>110</v>
      </c>
      <c r="AV34" s="56">
        <v>95.05</v>
      </c>
      <c r="AW34" s="57">
        <v>231.4</v>
      </c>
      <c r="AX34" s="8"/>
      <c r="AZ34" s="1">
        <v>90</v>
      </c>
      <c r="BB34" s="82">
        <f t="shared" si="1"/>
        <v>37.6584</v>
      </c>
    </row>
    <row r="35" spans="3:54" ht="15" customHeight="1" x14ac:dyDescent="0.25">
      <c r="C35" s="42"/>
      <c r="D35" s="43">
        <f>D28</f>
        <v>45749</v>
      </c>
      <c r="E35" s="44">
        <f t="shared" si="4"/>
        <v>1.8333333333333326</v>
      </c>
      <c r="F35" s="45">
        <f t="shared" si="3"/>
        <v>45749.833333333379</v>
      </c>
      <c r="G35" s="52">
        <v>37</v>
      </c>
      <c r="H35" s="53">
        <v>38</v>
      </c>
      <c r="I35" s="54">
        <v>9.6</v>
      </c>
      <c r="J35" s="54">
        <v>300</v>
      </c>
      <c r="K35" s="55">
        <v>7.3</v>
      </c>
      <c r="L35" s="56">
        <v>38</v>
      </c>
      <c r="M35" s="54">
        <v>10.7</v>
      </c>
      <c r="N35" s="54">
        <v>300</v>
      </c>
      <c r="O35" s="57">
        <v>7.2</v>
      </c>
      <c r="P35" s="53">
        <v>38</v>
      </c>
      <c r="Q35" s="54">
        <v>10.6</v>
      </c>
      <c r="R35" s="55">
        <v>0</v>
      </c>
      <c r="S35" s="55">
        <v>6.7</v>
      </c>
      <c r="T35" s="57">
        <v>17.3</v>
      </c>
      <c r="U35" s="56">
        <v>36</v>
      </c>
      <c r="V35" s="54">
        <v>10.8</v>
      </c>
      <c r="W35" s="55">
        <v>0</v>
      </c>
      <c r="X35" s="55">
        <v>7.1</v>
      </c>
      <c r="Y35" s="57">
        <v>11.3</v>
      </c>
      <c r="Z35" s="53">
        <v>36</v>
      </c>
      <c r="AA35" s="54">
        <v>10.8</v>
      </c>
      <c r="AB35" s="55">
        <v>0</v>
      </c>
      <c r="AC35" s="55">
        <v>7.2</v>
      </c>
      <c r="AD35" s="57">
        <v>12.5</v>
      </c>
      <c r="AE35" s="56">
        <v>35</v>
      </c>
      <c r="AF35" s="54">
        <v>10.6</v>
      </c>
      <c r="AG35" s="55">
        <v>0</v>
      </c>
      <c r="AH35" s="55">
        <v>6.3</v>
      </c>
      <c r="AI35" s="57">
        <v>12.5</v>
      </c>
      <c r="AJ35" s="56">
        <v>35</v>
      </c>
      <c r="AK35" s="54">
        <v>10.7</v>
      </c>
      <c r="AL35" s="54">
        <v>0</v>
      </c>
      <c r="AM35" s="54">
        <v>7.1</v>
      </c>
      <c r="AN35" s="57">
        <v>15</v>
      </c>
      <c r="AO35" s="53">
        <v>35</v>
      </c>
      <c r="AP35" s="54">
        <v>10.6</v>
      </c>
      <c r="AQ35" s="54">
        <v>140</v>
      </c>
      <c r="AR35" s="54">
        <v>7.3</v>
      </c>
      <c r="AS35" s="57">
        <v>15</v>
      </c>
      <c r="AT35" s="56">
        <v>31</v>
      </c>
      <c r="AU35" s="57">
        <v>110</v>
      </c>
      <c r="AV35" s="56">
        <v>95.02</v>
      </c>
      <c r="AW35" s="57">
        <v>234.33</v>
      </c>
      <c r="AX35" s="8"/>
      <c r="AZ35" s="1">
        <v>90</v>
      </c>
      <c r="BB35" s="82">
        <f t="shared" si="1"/>
        <v>36.9512</v>
      </c>
    </row>
    <row r="36" spans="3:54" ht="15" customHeight="1" x14ac:dyDescent="0.25">
      <c r="C36" s="42"/>
      <c r="D36" s="43">
        <f>D28</f>
        <v>45749</v>
      </c>
      <c r="E36" s="44">
        <f t="shared" si="4"/>
        <v>1.9166666666666659</v>
      </c>
      <c r="F36" s="45">
        <f t="shared" si="3"/>
        <v>45749.916666666715</v>
      </c>
      <c r="G36" s="52">
        <v>39</v>
      </c>
      <c r="H36" s="53">
        <v>39</v>
      </c>
      <c r="I36" s="54">
        <v>11</v>
      </c>
      <c r="J36" s="54">
        <v>400</v>
      </c>
      <c r="K36" s="55">
        <v>7.8</v>
      </c>
      <c r="L36" s="56">
        <v>37</v>
      </c>
      <c r="M36" s="54">
        <v>10.7</v>
      </c>
      <c r="N36" s="54">
        <v>350</v>
      </c>
      <c r="O36" s="57">
        <v>7.2</v>
      </c>
      <c r="P36" s="53">
        <v>34</v>
      </c>
      <c r="Q36" s="54">
        <v>10.7</v>
      </c>
      <c r="R36" s="55">
        <v>0</v>
      </c>
      <c r="S36" s="55">
        <v>6.9</v>
      </c>
      <c r="T36" s="57">
        <v>11</v>
      </c>
      <c r="U36" s="56">
        <v>36</v>
      </c>
      <c r="V36" s="54">
        <v>10.8</v>
      </c>
      <c r="W36" s="55">
        <v>0</v>
      </c>
      <c r="X36" s="55">
        <v>6.6</v>
      </c>
      <c r="Y36" s="57">
        <v>12.5</v>
      </c>
      <c r="Z36" s="53">
        <v>36</v>
      </c>
      <c r="AA36" s="54">
        <v>10.8</v>
      </c>
      <c r="AB36" s="55">
        <v>0</v>
      </c>
      <c r="AC36" s="55">
        <v>7.2</v>
      </c>
      <c r="AD36" s="57">
        <v>12.5</v>
      </c>
      <c r="AE36" s="56">
        <v>36</v>
      </c>
      <c r="AF36" s="54">
        <v>10.7</v>
      </c>
      <c r="AG36" s="55">
        <v>0</v>
      </c>
      <c r="AH36" s="55">
        <v>6.4</v>
      </c>
      <c r="AI36" s="57">
        <v>12.5</v>
      </c>
      <c r="AJ36" s="56">
        <v>36</v>
      </c>
      <c r="AK36" s="54">
        <v>10.7</v>
      </c>
      <c r="AL36" s="54">
        <v>0</v>
      </c>
      <c r="AM36" s="54">
        <v>6.9</v>
      </c>
      <c r="AN36" s="57">
        <v>15</v>
      </c>
      <c r="AO36" s="53">
        <v>36</v>
      </c>
      <c r="AP36" s="54">
        <v>10.6</v>
      </c>
      <c r="AQ36" s="54">
        <v>150</v>
      </c>
      <c r="AR36" s="54">
        <v>7.4</v>
      </c>
      <c r="AS36" s="57">
        <v>15.8</v>
      </c>
      <c r="AT36" s="56">
        <v>30</v>
      </c>
      <c r="AU36" s="57">
        <v>100</v>
      </c>
      <c r="AV36" s="56">
        <v>95</v>
      </c>
      <c r="AW36" s="57">
        <v>237.28</v>
      </c>
      <c r="AX36" s="8"/>
      <c r="AZ36" s="1">
        <v>90</v>
      </c>
      <c r="BB36" s="82">
        <f t="shared" si="1"/>
        <v>35.050599999999996</v>
      </c>
    </row>
    <row r="37" spans="3:54" ht="15" customHeight="1" x14ac:dyDescent="0.25">
      <c r="C37" s="42"/>
      <c r="D37" s="43">
        <f>D28</f>
        <v>45749</v>
      </c>
      <c r="E37" s="44">
        <f t="shared" si="4"/>
        <v>1.9999999999999991</v>
      </c>
      <c r="F37" s="45">
        <f t="shared" si="3"/>
        <v>45750.000000000051</v>
      </c>
      <c r="G37" s="52">
        <v>39</v>
      </c>
      <c r="H37" s="53">
        <v>39</v>
      </c>
      <c r="I37" s="54">
        <v>10.7</v>
      </c>
      <c r="J37" s="54">
        <v>400</v>
      </c>
      <c r="K37" s="55">
        <v>7.7</v>
      </c>
      <c r="L37" s="56">
        <v>38</v>
      </c>
      <c r="M37" s="54">
        <v>10.6</v>
      </c>
      <c r="N37" s="54">
        <v>350</v>
      </c>
      <c r="O37" s="57">
        <v>7.3</v>
      </c>
      <c r="P37" s="53">
        <v>34</v>
      </c>
      <c r="Q37" s="54">
        <v>10.6</v>
      </c>
      <c r="R37" s="55">
        <v>0</v>
      </c>
      <c r="S37" s="55">
        <v>6.8</v>
      </c>
      <c r="T37" s="57">
        <v>6.3</v>
      </c>
      <c r="U37" s="56">
        <v>37</v>
      </c>
      <c r="V37" s="54">
        <v>10.7</v>
      </c>
      <c r="W37" s="55">
        <v>0</v>
      </c>
      <c r="X37" s="55">
        <v>6.3</v>
      </c>
      <c r="Y37" s="57">
        <v>11</v>
      </c>
      <c r="Z37" s="53">
        <v>36</v>
      </c>
      <c r="AA37" s="54">
        <v>10.8</v>
      </c>
      <c r="AB37" s="55">
        <v>0</v>
      </c>
      <c r="AC37" s="55">
        <v>7.1</v>
      </c>
      <c r="AD37" s="57">
        <v>11.8</v>
      </c>
      <c r="AE37" s="56">
        <v>35</v>
      </c>
      <c r="AF37" s="54">
        <v>10.8</v>
      </c>
      <c r="AG37" s="55">
        <v>0</v>
      </c>
      <c r="AH37" s="55">
        <v>6.5</v>
      </c>
      <c r="AI37" s="57">
        <v>12.3</v>
      </c>
      <c r="AJ37" s="56">
        <v>36</v>
      </c>
      <c r="AK37" s="54">
        <v>10.8</v>
      </c>
      <c r="AL37" s="54">
        <v>0</v>
      </c>
      <c r="AM37" s="54">
        <v>7.1</v>
      </c>
      <c r="AN37" s="57">
        <v>16.3</v>
      </c>
      <c r="AO37" s="53">
        <v>36</v>
      </c>
      <c r="AP37" s="54">
        <v>10.7</v>
      </c>
      <c r="AQ37" s="54">
        <v>150</v>
      </c>
      <c r="AR37" s="54">
        <v>7.4</v>
      </c>
      <c r="AS37" s="57">
        <v>15.8</v>
      </c>
      <c r="AT37" s="56">
        <v>29</v>
      </c>
      <c r="AU37" s="57">
        <v>110</v>
      </c>
      <c r="AV37" s="56">
        <v>95.02</v>
      </c>
      <c r="AW37" s="57">
        <v>237.69</v>
      </c>
      <c r="AX37" s="8"/>
      <c r="AZ37" s="1">
        <v>90</v>
      </c>
      <c r="BB37" s="82">
        <f t="shared" si="1"/>
        <v>32.487000000000002</v>
      </c>
    </row>
    <row r="38" spans="3:54" ht="15" customHeight="1" x14ac:dyDescent="0.25">
      <c r="C38" s="42"/>
      <c r="D38" s="43">
        <f>D28</f>
        <v>45749</v>
      </c>
      <c r="E38" s="44">
        <f t="shared" si="4"/>
        <v>2.0833333333333326</v>
      </c>
      <c r="F38" s="45">
        <f t="shared" si="3"/>
        <v>45750.083333333387</v>
      </c>
      <c r="G38" s="52">
        <v>40</v>
      </c>
      <c r="H38" s="53">
        <v>38</v>
      </c>
      <c r="I38" s="54">
        <v>10.4</v>
      </c>
      <c r="J38" s="54">
        <v>400</v>
      </c>
      <c r="K38" s="55">
        <v>7.9</v>
      </c>
      <c r="L38" s="56">
        <v>37</v>
      </c>
      <c r="M38" s="54">
        <v>10.6</v>
      </c>
      <c r="N38" s="54">
        <v>350</v>
      </c>
      <c r="O38" s="57">
        <v>7.1</v>
      </c>
      <c r="P38" s="53">
        <v>35</v>
      </c>
      <c r="Q38" s="54">
        <v>10.5</v>
      </c>
      <c r="R38" s="55">
        <v>0</v>
      </c>
      <c r="S38" s="55">
        <v>6.7</v>
      </c>
      <c r="T38" s="57">
        <v>1.3</v>
      </c>
      <c r="U38" s="56">
        <v>37</v>
      </c>
      <c r="V38" s="54">
        <v>10.7</v>
      </c>
      <c r="W38" s="55">
        <v>0</v>
      </c>
      <c r="X38" s="55">
        <v>7</v>
      </c>
      <c r="Y38" s="57">
        <v>11</v>
      </c>
      <c r="Z38" s="53">
        <v>36</v>
      </c>
      <c r="AA38" s="54">
        <v>10.8</v>
      </c>
      <c r="AB38" s="55">
        <v>0</v>
      </c>
      <c r="AC38" s="55">
        <v>7.1</v>
      </c>
      <c r="AD38" s="57">
        <v>12.5</v>
      </c>
      <c r="AE38" s="56">
        <v>34</v>
      </c>
      <c r="AF38" s="54">
        <v>10.8</v>
      </c>
      <c r="AG38" s="55">
        <v>0</v>
      </c>
      <c r="AH38" s="55">
        <v>6.7</v>
      </c>
      <c r="AI38" s="57">
        <v>12.5</v>
      </c>
      <c r="AJ38" s="56">
        <v>36</v>
      </c>
      <c r="AK38" s="54">
        <v>10.8</v>
      </c>
      <c r="AL38" s="54">
        <v>0</v>
      </c>
      <c r="AM38" s="54">
        <v>7.2</v>
      </c>
      <c r="AN38" s="57">
        <v>16</v>
      </c>
      <c r="AO38" s="53">
        <v>36</v>
      </c>
      <c r="AP38" s="54">
        <v>10.7</v>
      </c>
      <c r="AQ38" s="54">
        <v>150</v>
      </c>
      <c r="AR38" s="54">
        <v>7.5</v>
      </c>
      <c r="AS38" s="57">
        <v>15.8</v>
      </c>
      <c r="AT38" s="56">
        <v>30</v>
      </c>
      <c r="AU38" s="57">
        <v>110</v>
      </c>
      <c r="AV38" s="56">
        <v>94.99</v>
      </c>
      <c r="AW38" s="57">
        <v>235.29</v>
      </c>
      <c r="AX38" s="8"/>
      <c r="AZ38" s="1">
        <v>90</v>
      </c>
      <c r="BB38" s="82">
        <f t="shared" si="1"/>
        <v>30.542199999999998</v>
      </c>
    </row>
    <row r="39" spans="3:54" ht="15" customHeight="1" x14ac:dyDescent="0.25">
      <c r="C39" s="42"/>
      <c r="D39" s="69">
        <f>D28</f>
        <v>45749</v>
      </c>
      <c r="E39" s="70">
        <f t="shared" si="4"/>
        <v>2.1666666666666661</v>
      </c>
      <c r="F39" s="71">
        <f t="shared" si="3"/>
        <v>45750.166666666722</v>
      </c>
      <c r="G39" s="60">
        <v>39</v>
      </c>
      <c r="H39" s="61">
        <v>38</v>
      </c>
      <c r="I39" s="62">
        <v>10.5</v>
      </c>
      <c r="J39" s="62">
        <v>400</v>
      </c>
      <c r="K39" s="63">
        <v>7.3</v>
      </c>
      <c r="L39" s="64">
        <v>38</v>
      </c>
      <c r="M39" s="62">
        <v>10.6</v>
      </c>
      <c r="N39" s="62">
        <v>350</v>
      </c>
      <c r="O39" s="65">
        <v>7.2</v>
      </c>
      <c r="P39" s="61">
        <v>36</v>
      </c>
      <c r="Q39" s="62">
        <v>10.5</v>
      </c>
      <c r="R39" s="63">
        <v>0</v>
      </c>
      <c r="S39" s="63">
        <v>6.7</v>
      </c>
      <c r="T39" s="65">
        <v>1.3</v>
      </c>
      <c r="U39" s="64">
        <v>37</v>
      </c>
      <c r="V39" s="62">
        <v>10.7</v>
      </c>
      <c r="W39" s="63">
        <v>0</v>
      </c>
      <c r="X39" s="63">
        <v>7.1</v>
      </c>
      <c r="Y39" s="65">
        <v>12.5</v>
      </c>
      <c r="Z39" s="61">
        <v>37</v>
      </c>
      <c r="AA39" s="62">
        <v>10.8</v>
      </c>
      <c r="AB39" s="63">
        <v>0</v>
      </c>
      <c r="AC39" s="63">
        <v>7.2</v>
      </c>
      <c r="AD39" s="65">
        <v>12.5</v>
      </c>
      <c r="AE39" s="64">
        <v>35</v>
      </c>
      <c r="AF39" s="62">
        <v>10.8</v>
      </c>
      <c r="AG39" s="63">
        <v>0</v>
      </c>
      <c r="AH39" s="63">
        <v>6.3</v>
      </c>
      <c r="AI39" s="65">
        <v>12.3</v>
      </c>
      <c r="AJ39" s="64">
        <v>36</v>
      </c>
      <c r="AK39" s="62">
        <v>10.8</v>
      </c>
      <c r="AL39" s="62">
        <v>0</v>
      </c>
      <c r="AM39" s="62">
        <v>7.1</v>
      </c>
      <c r="AN39" s="65">
        <v>16.3</v>
      </c>
      <c r="AO39" s="61">
        <v>36</v>
      </c>
      <c r="AP39" s="62">
        <v>10.8</v>
      </c>
      <c r="AQ39" s="62">
        <v>140</v>
      </c>
      <c r="AR39" s="62">
        <v>7.3</v>
      </c>
      <c r="AS39" s="65">
        <v>15.8</v>
      </c>
      <c r="AT39" s="64">
        <v>29</v>
      </c>
      <c r="AU39" s="65">
        <v>100</v>
      </c>
      <c r="AV39" s="64">
        <v>94.96</v>
      </c>
      <c r="AW39" s="65">
        <v>234.29</v>
      </c>
      <c r="AX39" s="8"/>
      <c r="AZ39" s="1">
        <v>90</v>
      </c>
      <c r="BB39" s="82">
        <f t="shared" si="1"/>
        <v>31.249400000000001</v>
      </c>
    </row>
    <row r="40" spans="3:54" ht="15" customHeight="1" x14ac:dyDescent="0.25">
      <c r="C40" s="42">
        <f>C28+1</f>
        <v>3</v>
      </c>
      <c r="D40" s="66">
        <f>DATE([4]Dash!$F$3,VLOOKUP([4]Dash!$E$3,[4]Abb!$C$3:$D$14,2,FALSE),C40)</f>
        <v>45750</v>
      </c>
      <c r="E40" s="67">
        <f>E39+2/24</f>
        <v>2.2499999999999996</v>
      </c>
      <c r="F40" s="68">
        <f t="shared" si="3"/>
        <v>45750.250000000058</v>
      </c>
      <c r="G40" s="46">
        <v>38</v>
      </c>
      <c r="H40" s="47">
        <v>38</v>
      </c>
      <c r="I40" s="48">
        <v>10.5</v>
      </c>
      <c r="J40" s="48">
        <v>400</v>
      </c>
      <c r="K40" s="49">
        <v>7.6</v>
      </c>
      <c r="L40" s="50">
        <v>36</v>
      </c>
      <c r="M40" s="48">
        <v>10.4</v>
      </c>
      <c r="N40" s="48">
        <v>350</v>
      </c>
      <c r="O40" s="51">
        <v>7.3</v>
      </c>
      <c r="P40" s="47">
        <v>37</v>
      </c>
      <c r="Q40" s="48">
        <v>10.6</v>
      </c>
      <c r="R40" s="49">
        <v>0</v>
      </c>
      <c r="S40" s="49">
        <v>7</v>
      </c>
      <c r="T40" s="51">
        <v>7.5</v>
      </c>
      <c r="U40" s="50">
        <v>35</v>
      </c>
      <c r="V40" s="48">
        <v>10.6</v>
      </c>
      <c r="W40" s="49">
        <v>0</v>
      </c>
      <c r="X40" s="49">
        <v>6.9</v>
      </c>
      <c r="Y40" s="51">
        <v>8.8000000000000007</v>
      </c>
      <c r="Z40" s="47">
        <v>36</v>
      </c>
      <c r="AA40" s="48">
        <v>10.7</v>
      </c>
      <c r="AB40" s="49">
        <v>0</v>
      </c>
      <c r="AC40" s="49">
        <v>6.9</v>
      </c>
      <c r="AD40" s="51">
        <v>11.8</v>
      </c>
      <c r="AE40" s="50">
        <v>36</v>
      </c>
      <c r="AF40" s="48">
        <v>10.8</v>
      </c>
      <c r="AG40" s="49">
        <v>0</v>
      </c>
      <c r="AH40" s="49">
        <v>7.1</v>
      </c>
      <c r="AI40" s="51">
        <v>12.5</v>
      </c>
      <c r="AJ40" s="50">
        <v>35</v>
      </c>
      <c r="AK40" s="48">
        <v>10.8</v>
      </c>
      <c r="AL40" s="48">
        <v>0</v>
      </c>
      <c r="AM40" s="48">
        <v>7.2</v>
      </c>
      <c r="AN40" s="51">
        <v>16</v>
      </c>
      <c r="AO40" s="47">
        <v>37</v>
      </c>
      <c r="AP40" s="48">
        <v>10.7</v>
      </c>
      <c r="AQ40" s="48">
        <v>150</v>
      </c>
      <c r="AR40" s="48">
        <v>6.9</v>
      </c>
      <c r="AS40" s="51">
        <v>16</v>
      </c>
      <c r="AT40" s="50">
        <v>31</v>
      </c>
      <c r="AU40" s="51">
        <v>100</v>
      </c>
      <c r="AV40" s="50">
        <v>95.07</v>
      </c>
      <c r="AW40" s="51">
        <v>231.77</v>
      </c>
      <c r="AX40" s="8"/>
      <c r="AZ40" s="1">
        <v>90</v>
      </c>
      <c r="BB40" s="82">
        <f t="shared" si="1"/>
        <v>32.089199999999998</v>
      </c>
    </row>
    <row r="41" spans="3:54" ht="15" customHeight="1" x14ac:dyDescent="0.25">
      <c r="C41" s="42"/>
      <c r="D41" s="43">
        <f>D40</f>
        <v>45750</v>
      </c>
      <c r="E41" s="44">
        <f>E40+2/24</f>
        <v>2.333333333333333</v>
      </c>
      <c r="F41" s="45">
        <f t="shared" si="3"/>
        <v>45750.333333333394</v>
      </c>
      <c r="G41" s="52">
        <v>41</v>
      </c>
      <c r="H41" s="53">
        <v>39</v>
      </c>
      <c r="I41" s="54">
        <v>11.1</v>
      </c>
      <c r="J41" s="54">
        <v>350</v>
      </c>
      <c r="K41" s="55">
        <v>7.3</v>
      </c>
      <c r="L41" s="56">
        <v>39</v>
      </c>
      <c r="M41" s="54">
        <v>10.3</v>
      </c>
      <c r="N41" s="54">
        <v>400</v>
      </c>
      <c r="O41" s="57">
        <v>7.5</v>
      </c>
      <c r="P41" s="53">
        <v>38</v>
      </c>
      <c r="Q41" s="54">
        <v>10.3</v>
      </c>
      <c r="R41" s="55">
        <v>0</v>
      </c>
      <c r="S41" s="55">
        <v>7.2</v>
      </c>
      <c r="T41" s="57">
        <v>7.5</v>
      </c>
      <c r="U41" s="56">
        <v>38</v>
      </c>
      <c r="V41" s="54">
        <v>10.5</v>
      </c>
      <c r="W41" s="55">
        <v>0</v>
      </c>
      <c r="X41" s="55">
        <v>7.1</v>
      </c>
      <c r="Y41" s="57">
        <v>10</v>
      </c>
      <c r="Z41" s="53">
        <v>38</v>
      </c>
      <c r="AA41" s="54">
        <v>10.5</v>
      </c>
      <c r="AB41" s="55">
        <v>0</v>
      </c>
      <c r="AC41" s="55">
        <v>6.8</v>
      </c>
      <c r="AD41" s="57">
        <v>11.3</v>
      </c>
      <c r="AE41" s="56">
        <v>37</v>
      </c>
      <c r="AF41" s="54">
        <v>10.4</v>
      </c>
      <c r="AG41" s="55">
        <v>0</v>
      </c>
      <c r="AH41" s="55">
        <v>6.5</v>
      </c>
      <c r="AI41" s="57">
        <v>12.5</v>
      </c>
      <c r="AJ41" s="56">
        <v>37</v>
      </c>
      <c r="AK41" s="54">
        <v>10.4</v>
      </c>
      <c r="AL41" s="54">
        <v>0</v>
      </c>
      <c r="AM41" s="54">
        <v>7.5</v>
      </c>
      <c r="AN41" s="57">
        <v>16.3</v>
      </c>
      <c r="AO41" s="53">
        <v>36</v>
      </c>
      <c r="AP41" s="54">
        <v>10.3</v>
      </c>
      <c r="AQ41" s="54">
        <v>110</v>
      </c>
      <c r="AR41" s="54">
        <v>7.4</v>
      </c>
      <c r="AS41" s="57">
        <v>15</v>
      </c>
      <c r="AT41" s="56">
        <v>28</v>
      </c>
      <c r="AU41" s="57">
        <v>90</v>
      </c>
      <c r="AV41" s="56">
        <v>95.05</v>
      </c>
      <c r="AW41" s="57">
        <v>233.69</v>
      </c>
      <c r="AX41" s="8"/>
      <c r="AZ41" s="1">
        <v>90</v>
      </c>
      <c r="BB41" s="82">
        <f t="shared" si="1"/>
        <v>32.089199999999998</v>
      </c>
    </row>
    <row r="42" spans="3:54" ht="15" customHeight="1" x14ac:dyDescent="0.25">
      <c r="C42" s="42"/>
      <c r="D42" s="43">
        <f>D40</f>
        <v>45750</v>
      </c>
      <c r="E42" s="44">
        <f t="shared" ref="E42:E51" si="5">E41+2/24</f>
        <v>2.4166666666666665</v>
      </c>
      <c r="F42" s="45">
        <f t="shared" si="3"/>
        <v>45750.41666666673</v>
      </c>
      <c r="G42" s="52">
        <v>0</v>
      </c>
      <c r="H42" s="53">
        <v>38</v>
      </c>
      <c r="I42" s="54">
        <v>11</v>
      </c>
      <c r="J42" s="54">
        <v>450</v>
      </c>
      <c r="K42" s="55">
        <v>6.8</v>
      </c>
      <c r="L42" s="56">
        <v>37</v>
      </c>
      <c r="M42" s="54">
        <v>10.4</v>
      </c>
      <c r="N42" s="54">
        <v>350</v>
      </c>
      <c r="O42" s="57">
        <v>7.1</v>
      </c>
      <c r="P42" s="53">
        <v>38</v>
      </c>
      <c r="Q42" s="54">
        <v>10.4</v>
      </c>
      <c r="R42" s="55">
        <v>0</v>
      </c>
      <c r="S42" s="55">
        <v>6.8</v>
      </c>
      <c r="T42" s="57">
        <v>10</v>
      </c>
      <c r="U42" s="56">
        <v>38</v>
      </c>
      <c r="V42" s="54">
        <v>10.4</v>
      </c>
      <c r="W42" s="55">
        <v>0</v>
      </c>
      <c r="X42" s="55">
        <v>6.7</v>
      </c>
      <c r="Y42" s="57">
        <v>8.8000000000000007</v>
      </c>
      <c r="Z42" s="53">
        <v>37</v>
      </c>
      <c r="AA42" s="54">
        <v>10.5</v>
      </c>
      <c r="AB42" s="55">
        <v>0</v>
      </c>
      <c r="AC42" s="55">
        <v>6.5</v>
      </c>
      <c r="AD42" s="57">
        <v>11.3</v>
      </c>
      <c r="AE42" s="56">
        <v>37</v>
      </c>
      <c r="AF42" s="54">
        <v>10.5</v>
      </c>
      <c r="AG42" s="55">
        <v>0</v>
      </c>
      <c r="AH42" s="55">
        <v>6.4</v>
      </c>
      <c r="AI42" s="57">
        <v>12.5</v>
      </c>
      <c r="AJ42" s="56">
        <v>37</v>
      </c>
      <c r="AK42" s="54">
        <v>10.6</v>
      </c>
      <c r="AL42" s="54">
        <v>0</v>
      </c>
      <c r="AM42" s="54">
        <v>7.2</v>
      </c>
      <c r="AN42" s="57">
        <v>16.3</v>
      </c>
      <c r="AO42" s="53">
        <v>36</v>
      </c>
      <c r="AP42" s="54">
        <v>10.6</v>
      </c>
      <c r="AQ42" s="54">
        <v>120</v>
      </c>
      <c r="AR42" s="54">
        <v>7.6</v>
      </c>
      <c r="AS42" s="57">
        <v>15</v>
      </c>
      <c r="AT42" s="56">
        <v>0</v>
      </c>
      <c r="AU42" s="57">
        <v>0</v>
      </c>
      <c r="AV42" s="56">
        <v>94.97</v>
      </c>
      <c r="AW42" s="57">
        <v>233.46</v>
      </c>
      <c r="AX42" s="8"/>
      <c r="AZ42" s="1">
        <v>90</v>
      </c>
      <c r="BB42" s="82">
        <f t="shared" si="1"/>
        <v>32.663800000000002</v>
      </c>
    </row>
    <row r="43" spans="3:54" ht="15" customHeight="1" x14ac:dyDescent="0.25">
      <c r="C43" s="42"/>
      <c r="D43" s="43">
        <f>D40</f>
        <v>45750</v>
      </c>
      <c r="E43" s="44">
        <f t="shared" si="5"/>
        <v>2.5</v>
      </c>
      <c r="F43" s="45">
        <f t="shared" si="3"/>
        <v>45750.500000000065</v>
      </c>
      <c r="G43" s="52">
        <v>0</v>
      </c>
      <c r="H43" s="53">
        <v>39</v>
      </c>
      <c r="I43" s="54">
        <v>10.9</v>
      </c>
      <c r="J43" s="54">
        <v>450</v>
      </c>
      <c r="K43" s="55">
        <v>7.1</v>
      </c>
      <c r="L43" s="56">
        <v>38</v>
      </c>
      <c r="M43" s="54">
        <v>10.3</v>
      </c>
      <c r="N43" s="54">
        <v>350</v>
      </c>
      <c r="O43" s="57">
        <v>7.3</v>
      </c>
      <c r="P43" s="53">
        <v>37</v>
      </c>
      <c r="Q43" s="54">
        <v>10.4</v>
      </c>
      <c r="R43" s="55">
        <v>0</v>
      </c>
      <c r="S43" s="55">
        <v>6.8</v>
      </c>
      <c r="T43" s="57">
        <v>10.8</v>
      </c>
      <c r="U43" s="56">
        <v>38</v>
      </c>
      <c r="V43" s="54">
        <v>10.4</v>
      </c>
      <c r="W43" s="55">
        <v>0</v>
      </c>
      <c r="X43" s="55">
        <v>6.5</v>
      </c>
      <c r="Y43" s="57">
        <v>8</v>
      </c>
      <c r="Z43" s="53">
        <v>38</v>
      </c>
      <c r="AA43" s="54">
        <v>10.6</v>
      </c>
      <c r="AB43" s="55">
        <v>0</v>
      </c>
      <c r="AC43" s="55">
        <v>6.7</v>
      </c>
      <c r="AD43" s="57">
        <v>11.8</v>
      </c>
      <c r="AE43" s="56">
        <v>37</v>
      </c>
      <c r="AF43" s="54">
        <v>10.4</v>
      </c>
      <c r="AG43" s="55">
        <v>0</v>
      </c>
      <c r="AH43" s="55">
        <v>6.2</v>
      </c>
      <c r="AI43" s="57">
        <v>12.5</v>
      </c>
      <c r="AJ43" s="56">
        <v>37</v>
      </c>
      <c r="AK43" s="54">
        <v>10.6</v>
      </c>
      <c r="AL43" s="54">
        <v>0</v>
      </c>
      <c r="AM43" s="54">
        <v>7.1</v>
      </c>
      <c r="AN43" s="57">
        <v>16</v>
      </c>
      <c r="AO43" s="53">
        <v>34</v>
      </c>
      <c r="AP43" s="54">
        <v>10.5</v>
      </c>
      <c r="AQ43" s="54">
        <v>120</v>
      </c>
      <c r="AR43" s="54">
        <v>7.8</v>
      </c>
      <c r="AS43" s="57">
        <v>15</v>
      </c>
      <c r="AT43" s="56">
        <v>0</v>
      </c>
      <c r="AU43" s="57">
        <v>0</v>
      </c>
      <c r="AV43" s="56">
        <v>95.17</v>
      </c>
      <c r="AW43" s="57">
        <v>233.65</v>
      </c>
      <c r="AX43" s="8"/>
      <c r="AZ43" s="1">
        <v>90</v>
      </c>
      <c r="BB43" s="82">
        <f t="shared" si="1"/>
        <v>32.752200000000002</v>
      </c>
    </row>
    <row r="44" spans="3:54" ht="15" customHeight="1" x14ac:dyDescent="0.25">
      <c r="C44" s="42"/>
      <c r="D44" s="43">
        <f>D40</f>
        <v>45750</v>
      </c>
      <c r="E44" s="44">
        <f t="shared" si="5"/>
        <v>2.5833333333333335</v>
      </c>
      <c r="F44" s="45">
        <f t="shared" si="3"/>
        <v>45750.583333333401</v>
      </c>
      <c r="G44" s="52">
        <v>0</v>
      </c>
      <c r="H44" s="53">
        <v>38</v>
      </c>
      <c r="I44" s="54">
        <v>10.9</v>
      </c>
      <c r="J44" s="54">
        <v>450</v>
      </c>
      <c r="K44" s="55">
        <v>7.5</v>
      </c>
      <c r="L44" s="56">
        <v>36</v>
      </c>
      <c r="M44" s="54">
        <v>10.4</v>
      </c>
      <c r="N44" s="54">
        <v>350</v>
      </c>
      <c r="O44" s="57">
        <v>7.4</v>
      </c>
      <c r="P44" s="53">
        <v>37</v>
      </c>
      <c r="Q44" s="54">
        <v>10.3</v>
      </c>
      <c r="R44" s="55">
        <v>0</v>
      </c>
      <c r="S44" s="55">
        <v>6.8</v>
      </c>
      <c r="T44" s="57">
        <v>11.3</v>
      </c>
      <c r="U44" s="56">
        <v>38</v>
      </c>
      <c r="V44" s="54">
        <v>10.4</v>
      </c>
      <c r="W44" s="55">
        <v>0</v>
      </c>
      <c r="X44" s="55">
        <v>6.1</v>
      </c>
      <c r="Y44" s="57">
        <v>6.3</v>
      </c>
      <c r="Z44" s="53">
        <v>38</v>
      </c>
      <c r="AA44" s="54">
        <v>10.5</v>
      </c>
      <c r="AB44" s="55">
        <v>0</v>
      </c>
      <c r="AC44" s="55">
        <v>6.8</v>
      </c>
      <c r="AD44" s="57">
        <v>11.3</v>
      </c>
      <c r="AE44" s="56">
        <v>37</v>
      </c>
      <c r="AF44" s="54">
        <v>10.4</v>
      </c>
      <c r="AG44" s="55">
        <v>0</v>
      </c>
      <c r="AH44" s="55">
        <v>6.3</v>
      </c>
      <c r="AI44" s="57">
        <v>12.5</v>
      </c>
      <c r="AJ44" s="56">
        <v>37</v>
      </c>
      <c r="AK44" s="54">
        <v>10.4</v>
      </c>
      <c r="AL44" s="54">
        <v>0</v>
      </c>
      <c r="AM44" s="54">
        <v>7.3</v>
      </c>
      <c r="AN44" s="57">
        <v>16.3</v>
      </c>
      <c r="AO44" s="53">
        <v>36</v>
      </c>
      <c r="AP44" s="54">
        <v>10.6</v>
      </c>
      <c r="AQ44" s="54">
        <v>110</v>
      </c>
      <c r="AR44" s="54">
        <v>7.6</v>
      </c>
      <c r="AS44" s="57">
        <v>15</v>
      </c>
      <c r="AT44" s="56">
        <v>0</v>
      </c>
      <c r="AU44" s="57">
        <v>0</v>
      </c>
      <c r="AV44" s="56">
        <v>95.06</v>
      </c>
      <c r="AW44" s="57">
        <v>237.09</v>
      </c>
      <c r="AX44" s="8"/>
      <c r="AZ44" s="1">
        <v>90</v>
      </c>
      <c r="BB44" s="82">
        <f t="shared" si="1"/>
        <v>32.133400000000002</v>
      </c>
    </row>
    <row r="45" spans="3:54" ht="15" customHeight="1" x14ac:dyDescent="0.25">
      <c r="C45" s="42"/>
      <c r="D45" s="43">
        <f>D40</f>
        <v>45750</v>
      </c>
      <c r="E45" s="44">
        <f t="shared" si="5"/>
        <v>2.666666666666667</v>
      </c>
      <c r="F45" s="45">
        <f t="shared" si="3"/>
        <v>45750.666666666737</v>
      </c>
      <c r="G45" s="52">
        <v>0</v>
      </c>
      <c r="H45" s="53">
        <v>39</v>
      </c>
      <c r="I45" s="54">
        <v>11.8</v>
      </c>
      <c r="J45" s="54">
        <v>400</v>
      </c>
      <c r="K45" s="55">
        <v>5.5</v>
      </c>
      <c r="L45" s="56">
        <v>37</v>
      </c>
      <c r="M45" s="54">
        <v>10.4</v>
      </c>
      <c r="N45" s="54">
        <v>350</v>
      </c>
      <c r="O45" s="57">
        <v>7.5</v>
      </c>
      <c r="P45" s="53">
        <v>37</v>
      </c>
      <c r="Q45" s="54">
        <v>10.4</v>
      </c>
      <c r="R45" s="55">
        <v>0</v>
      </c>
      <c r="S45" s="55">
        <v>6.2</v>
      </c>
      <c r="T45" s="57">
        <v>13</v>
      </c>
      <c r="U45" s="56">
        <v>37</v>
      </c>
      <c r="V45" s="54">
        <v>10.5</v>
      </c>
      <c r="W45" s="55">
        <v>0</v>
      </c>
      <c r="X45" s="55">
        <v>6</v>
      </c>
      <c r="Y45" s="57">
        <v>7.5</v>
      </c>
      <c r="Z45" s="53">
        <v>37</v>
      </c>
      <c r="AA45" s="54">
        <v>10.5</v>
      </c>
      <c r="AB45" s="55">
        <v>0</v>
      </c>
      <c r="AC45" s="55">
        <v>6</v>
      </c>
      <c r="AD45" s="57">
        <v>8</v>
      </c>
      <c r="AE45" s="56">
        <v>35</v>
      </c>
      <c r="AF45" s="54">
        <v>10.4</v>
      </c>
      <c r="AG45" s="55">
        <v>0</v>
      </c>
      <c r="AH45" s="55">
        <v>6.1</v>
      </c>
      <c r="AI45" s="57">
        <v>13.3</v>
      </c>
      <c r="AJ45" s="56">
        <v>35</v>
      </c>
      <c r="AK45" s="54">
        <v>10.5</v>
      </c>
      <c r="AL45" s="54">
        <v>0</v>
      </c>
      <c r="AM45" s="54">
        <v>7.9</v>
      </c>
      <c r="AN45" s="57">
        <v>16.3</v>
      </c>
      <c r="AO45" s="53">
        <v>34</v>
      </c>
      <c r="AP45" s="54">
        <v>10.5</v>
      </c>
      <c r="AQ45" s="54">
        <v>130</v>
      </c>
      <c r="AR45" s="54">
        <v>6.8</v>
      </c>
      <c r="AS45" s="57">
        <v>16</v>
      </c>
      <c r="AT45" s="56">
        <v>0</v>
      </c>
      <c r="AU45" s="57">
        <v>0</v>
      </c>
      <c r="AV45" s="56">
        <v>94.82</v>
      </c>
      <c r="AW45" s="57">
        <v>238.67</v>
      </c>
      <c r="AX45" s="8"/>
      <c r="AZ45" s="1">
        <v>90</v>
      </c>
      <c r="BB45" s="82">
        <f t="shared" si="1"/>
        <v>32.752199999999995</v>
      </c>
    </row>
    <row r="46" spans="3:54" ht="15" customHeight="1" x14ac:dyDescent="0.25">
      <c r="C46" s="42"/>
      <c r="D46" s="43">
        <f>D40</f>
        <v>45750</v>
      </c>
      <c r="E46" s="44">
        <f t="shared" si="5"/>
        <v>2.7500000000000004</v>
      </c>
      <c r="F46" s="45">
        <f t="shared" si="3"/>
        <v>45750.750000000073</v>
      </c>
      <c r="G46" s="52">
        <v>0</v>
      </c>
      <c r="H46" s="53">
        <v>39</v>
      </c>
      <c r="I46" s="54">
        <v>11.2</v>
      </c>
      <c r="J46" s="54">
        <v>400</v>
      </c>
      <c r="K46" s="55">
        <v>6.1</v>
      </c>
      <c r="L46" s="56">
        <v>37</v>
      </c>
      <c r="M46" s="54">
        <v>10.4</v>
      </c>
      <c r="N46" s="54">
        <v>350</v>
      </c>
      <c r="O46" s="57">
        <v>7.2</v>
      </c>
      <c r="P46" s="53">
        <v>37</v>
      </c>
      <c r="Q46" s="54">
        <v>10.4</v>
      </c>
      <c r="R46" s="55">
        <v>0</v>
      </c>
      <c r="S46" s="55">
        <v>5.8</v>
      </c>
      <c r="T46" s="57">
        <v>13</v>
      </c>
      <c r="U46" s="56">
        <v>37</v>
      </c>
      <c r="V46" s="54">
        <v>10.5</v>
      </c>
      <c r="W46" s="55">
        <v>0</v>
      </c>
      <c r="X46" s="55">
        <v>5.9</v>
      </c>
      <c r="Y46" s="57">
        <v>8</v>
      </c>
      <c r="Z46" s="53">
        <v>37</v>
      </c>
      <c r="AA46" s="54">
        <v>10.5</v>
      </c>
      <c r="AB46" s="55">
        <v>0</v>
      </c>
      <c r="AC46" s="55">
        <v>6.2</v>
      </c>
      <c r="AD46" s="57">
        <v>8</v>
      </c>
      <c r="AE46" s="56">
        <v>35</v>
      </c>
      <c r="AF46" s="54">
        <v>10.4</v>
      </c>
      <c r="AG46" s="55">
        <v>0</v>
      </c>
      <c r="AH46" s="55">
        <v>6.1</v>
      </c>
      <c r="AI46" s="57">
        <v>13.3</v>
      </c>
      <c r="AJ46" s="56">
        <v>35</v>
      </c>
      <c r="AK46" s="54">
        <v>10.5</v>
      </c>
      <c r="AL46" s="54">
        <v>0</v>
      </c>
      <c r="AM46" s="54">
        <v>7.1</v>
      </c>
      <c r="AN46" s="57">
        <v>16.399999999999999</v>
      </c>
      <c r="AO46" s="53">
        <v>34</v>
      </c>
      <c r="AP46" s="54">
        <v>10.5</v>
      </c>
      <c r="AQ46" s="54">
        <v>130</v>
      </c>
      <c r="AR46" s="54">
        <v>6.9</v>
      </c>
      <c r="AS46" s="57">
        <v>16</v>
      </c>
      <c r="AT46" s="56">
        <v>0</v>
      </c>
      <c r="AU46" s="57">
        <v>0</v>
      </c>
      <c r="AV46" s="56">
        <v>95.01</v>
      </c>
      <c r="AW46" s="57">
        <v>232.78</v>
      </c>
      <c r="AX46" s="8"/>
      <c r="AZ46" s="1">
        <v>90</v>
      </c>
      <c r="BB46" s="82">
        <f t="shared" si="1"/>
        <v>33.017399999999995</v>
      </c>
    </row>
    <row r="47" spans="3:54" ht="15" customHeight="1" x14ac:dyDescent="0.25">
      <c r="C47" s="42"/>
      <c r="D47" s="43">
        <f>D40</f>
        <v>45750</v>
      </c>
      <c r="E47" s="44">
        <f t="shared" si="5"/>
        <v>2.8333333333333339</v>
      </c>
      <c r="F47" s="45">
        <f t="shared" si="3"/>
        <v>45750.833333333409</v>
      </c>
      <c r="G47" s="52">
        <v>0</v>
      </c>
      <c r="H47" s="53">
        <v>38</v>
      </c>
      <c r="I47" s="54">
        <v>10.9</v>
      </c>
      <c r="J47" s="54">
        <v>400</v>
      </c>
      <c r="K47" s="55">
        <v>0</v>
      </c>
      <c r="L47" s="56">
        <v>39</v>
      </c>
      <c r="M47" s="54">
        <v>10.8</v>
      </c>
      <c r="N47" s="54">
        <v>350</v>
      </c>
      <c r="O47" s="57">
        <v>0</v>
      </c>
      <c r="P47" s="53">
        <v>35</v>
      </c>
      <c r="Q47" s="54">
        <v>10.4</v>
      </c>
      <c r="R47" s="55">
        <v>0</v>
      </c>
      <c r="S47" s="55">
        <v>0</v>
      </c>
      <c r="T47" s="57">
        <v>14.5</v>
      </c>
      <c r="U47" s="56">
        <v>35</v>
      </c>
      <c r="V47" s="54">
        <v>10.5</v>
      </c>
      <c r="W47" s="55">
        <v>0</v>
      </c>
      <c r="X47" s="55">
        <v>0</v>
      </c>
      <c r="Y47" s="57">
        <v>10</v>
      </c>
      <c r="Z47" s="53">
        <v>35</v>
      </c>
      <c r="AA47" s="54">
        <v>10.4</v>
      </c>
      <c r="AB47" s="55">
        <v>0</v>
      </c>
      <c r="AC47" s="55">
        <v>0</v>
      </c>
      <c r="AD47" s="57">
        <v>6.3</v>
      </c>
      <c r="AE47" s="56">
        <v>33</v>
      </c>
      <c r="AF47" s="54">
        <v>10.5</v>
      </c>
      <c r="AG47" s="55">
        <v>0</v>
      </c>
      <c r="AH47" s="55">
        <v>0</v>
      </c>
      <c r="AI47" s="57">
        <v>12.5</v>
      </c>
      <c r="AJ47" s="56">
        <v>33</v>
      </c>
      <c r="AK47" s="54">
        <v>10.4</v>
      </c>
      <c r="AL47" s="54">
        <v>0</v>
      </c>
      <c r="AM47" s="54">
        <v>0</v>
      </c>
      <c r="AN47" s="57">
        <v>17.5</v>
      </c>
      <c r="AO47" s="53">
        <v>34</v>
      </c>
      <c r="AP47" s="54">
        <v>10.4</v>
      </c>
      <c r="AQ47" s="54">
        <v>120</v>
      </c>
      <c r="AR47" s="54">
        <v>0</v>
      </c>
      <c r="AS47" s="57">
        <v>15</v>
      </c>
      <c r="AT47" s="56">
        <v>0</v>
      </c>
      <c r="AU47" s="57">
        <v>0</v>
      </c>
      <c r="AV47" s="56">
        <v>95.04</v>
      </c>
      <c r="AW47" s="57">
        <v>239.08</v>
      </c>
      <c r="AX47" s="8"/>
      <c r="AZ47" s="1">
        <v>90</v>
      </c>
      <c r="BB47" s="82">
        <f t="shared" si="1"/>
        <v>33.503599999999999</v>
      </c>
    </row>
    <row r="48" spans="3:54" ht="15" customHeight="1" x14ac:dyDescent="0.25">
      <c r="C48" s="42"/>
      <c r="D48" s="43">
        <f>D40</f>
        <v>45750</v>
      </c>
      <c r="E48" s="44">
        <f t="shared" si="5"/>
        <v>2.9166666666666674</v>
      </c>
      <c r="F48" s="45">
        <f t="shared" si="3"/>
        <v>45750.916666666744</v>
      </c>
      <c r="G48" s="52">
        <v>0</v>
      </c>
      <c r="H48" s="53">
        <v>39</v>
      </c>
      <c r="I48" s="54">
        <v>10.9</v>
      </c>
      <c r="J48" s="54">
        <v>400</v>
      </c>
      <c r="K48" s="55">
        <v>0</v>
      </c>
      <c r="L48" s="56">
        <v>39</v>
      </c>
      <c r="M48" s="54">
        <v>10.8</v>
      </c>
      <c r="N48" s="54">
        <v>350</v>
      </c>
      <c r="O48" s="57">
        <v>0</v>
      </c>
      <c r="P48" s="53">
        <v>36</v>
      </c>
      <c r="Q48" s="54">
        <v>10.4</v>
      </c>
      <c r="R48" s="55">
        <v>0</v>
      </c>
      <c r="S48" s="55">
        <v>0</v>
      </c>
      <c r="T48" s="57">
        <v>14.5</v>
      </c>
      <c r="U48" s="56">
        <v>35</v>
      </c>
      <c r="V48" s="54">
        <v>10.5</v>
      </c>
      <c r="W48" s="55">
        <v>0</v>
      </c>
      <c r="X48" s="55">
        <v>0</v>
      </c>
      <c r="Y48" s="57">
        <v>10</v>
      </c>
      <c r="Z48" s="53">
        <v>36</v>
      </c>
      <c r="AA48" s="54">
        <v>10.4</v>
      </c>
      <c r="AB48" s="55">
        <v>0</v>
      </c>
      <c r="AC48" s="55">
        <v>0</v>
      </c>
      <c r="AD48" s="57">
        <v>6.3</v>
      </c>
      <c r="AE48" s="56">
        <v>34</v>
      </c>
      <c r="AF48" s="54">
        <v>10.5</v>
      </c>
      <c r="AG48" s="55">
        <v>0</v>
      </c>
      <c r="AH48" s="55">
        <v>0</v>
      </c>
      <c r="AI48" s="57">
        <v>12.5</v>
      </c>
      <c r="AJ48" s="56">
        <v>33</v>
      </c>
      <c r="AK48" s="54">
        <v>10.4</v>
      </c>
      <c r="AL48" s="54">
        <v>0</v>
      </c>
      <c r="AM48" s="54">
        <v>0</v>
      </c>
      <c r="AN48" s="57">
        <v>15.2</v>
      </c>
      <c r="AO48" s="53">
        <v>34</v>
      </c>
      <c r="AP48" s="54">
        <v>10.4</v>
      </c>
      <c r="AQ48" s="54">
        <v>120</v>
      </c>
      <c r="AR48" s="54">
        <v>0</v>
      </c>
      <c r="AS48" s="57">
        <v>15</v>
      </c>
      <c r="AT48" s="56">
        <v>0</v>
      </c>
      <c r="AU48" s="57">
        <v>0</v>
      </c>
      <c r="AV48" s="56">
        <v>94.89</v>
      </c>
      <c r="AW48" s="57">
        <v>238.23</v>
      </c>
      <c r="AX48" s="8"/>
      <c r="AZ48" s="1">
        <v>90</v>
      </c>
      <c r="BB48" s="82">
        <f t="shared" si="1"/>
        <v>32.487000000000002</v>
      </c>
    </row>
    <row r="49" spans="3:54" ht="15" customHeight="1" x14ac:dyDescent="0.25">
      <c r="C49" s="42"/>
      <c r="D49" s="43">
        <f>D40</f>
        <v>45750</v>
      </c>
      <c r="E49" s="44">
        <f t="shared" si="5"/>
        <v>3.0000000000000009</v>
      </c>
      <c r="F49" s="45">
        <f t="shared" si="3"/>
        <v>45751.00000000008</v>
      </c>
      <c r="G49" s="52">
        <v>32</v>
      </c>
      <c r="H49" s="53">
        <v>39</v>
      </c>
      <c r="I49" s="54">
        <v>10.9</v>
      </c>
      <c r="J49" s="54">
        <v>400</v>
      </c>
      <c r="K49" s="55">
        <v>0</v>
      </c>
      <c r="L49" s="56">
        <v>38</v>
      </c>
      <c r="M49" s="54">
        <v>10.7</v>
      </c>
      <c r="N49" s="54">
        <v>350</v>
      </c>
      <c r="O49" s="57">
        <v>0</v>
      </c>
      <c r="P49" s="53">
        <v>36</v>
      </c>
      <c r="Q49" s="54">
        <v>10.4</v>
      </c>
      <c r="R49" s="55">
        <v>0</v>
      </c>
      <c r="S49" s="55">
        <v>0</v>
      </c>
      <c r="T49" s="57">
        <v>14.5</v>
      </c>
      <c r="U49" s="56">
        <v>35</v>
      </c>
      <c r="V49" s="54">
        <v>10.4</v>
      </c>
      <c r="W49" s="55">
        <v>0</v>
      </c>
      <c r="X49" s="55">
        <v>0</v>
      </c>
      <c r="Y49" s="57">
        <v>10</v>
      </c>
      <c r="Z49" s="53">
        <v>35</v>
      </c>
      <c r="AA49" s="54">
        <v>10.4</v>
      </c>
      <c r="AB49" s="55">
        <v>0</v>
      </c>
      <c r="AC49" s="55">
        <v>0</v>
      </c>
      <c r="AD49" s="57">
        <v>6.3</v>
      </c>
      <c r="AE49" s="56">
        <v>33</v>
      </c>
      <c r="AF49" s="54">
        <v>10.5</v>
      </c>
      <c r="AG49" s="55">
        <v>0</v>
      </c>
      <c r="AH49" s="55">
        <v>0</v>
      </c>
      <c r="AI49" s="57">
        <v>12.5</v>
      </c>
      <c r="AJ49" s="56">
        <v>33</v>
      </c>
      <c r="AK49" s="54">
        <v>10.4</v>
      </c>
      <c r="AL49" s="54">
        <v>0</v>
      </c>
      <c r="AM49" s="54">
        <v>0</v>
      </c>
      <c r="AN49" s="57">
        <v>15.5</v>
      </c>
      <c r="AO49" s="53">
        <v>34</v>
      </c>
      <c r="AP49" s="54">
        <v>10.4</v>
      </c>
      <c r="AQ49" s="54">
        <v>120</v>
      </c>
      <c r="AR49" s="54">
        <v>0</v>
      </c>
      <c r="AS49" s="57">
        <v>15.2</v>
      </c>
      <c r="AT49" s="56">
        <v>0</v>
      </c>
      <c r="AU49" s="57">
        <v>0</v>
      </c>
      <c r="AV49" s="56">
        <v>95.02</v>
      </c>
      <c r="AW49" s="57">
        <v>234.76</v>
      </c>
      <c r="AX49" s="8"/>
      <c r="AZ49" s="1">
        <v>90</v>
      </c>
      <c r="BB49" s="82">
        <f t="shared" si="1"/>
        <v>32.707999999999998</v>
      </c>
    </row>
    <row r="50" spans="3:54" ht="15" customHeight="1" x14ac:dyDescent="0.25">
      <c r="C50" s="42"/>
      <c r="D50" s="43">
        <f>D40</f>
        <v>45750</v>
      </c>
      <c r="E50" s="44">
        <f t="shared" si="5"/>
        <v>3.0833333333333344</v>
      </c>
      <c r="F50" s="45">
        <f t="shared" si="3"/>
        <v>45751.083333333416</v>
      </c>
      <c r="G50" s="52">
        <v>40</v>
      </c>
      <c r="H50" s="53">
        <v>37</v>
      </c>
      <c r="I50" s="54">
        <v>11.3</v>
      </c>
      <c r="J50" s="54">
        <v>450</v>
      </c>
      <c r="K50" s="55">
        <v>0</v>
      </c>
      <c r="L50" s="56">
        <v>37</v>
      </c>
      <c r="M50" s="54">
        <v>10.6</v>
      </c>
      <c r="N50" s="54">
        <v>350</v>
      </c>
      <c r="O50" s="57">
        <v>0</v>
      </c>
      <c r="P50" s="53">
        <v>37</v>
      </c>
      <c r="Q50" s="54">
        <v>10.3</v>
      </c>
      <c r="R50" s="55">
        <v>0</v>
      </c>
      <c r="S50" s="55">
        <v>0</v>
      </c>
      <c r="T50" s="57">
        <v>16.3</v>
      </c>
      <c r="U50" s="56">
        <v>36</v>
      </c>
      <c r="V50" s="54">
        <v>10.3</v>
      </c>
      <c r="W50" s="55">
        <v>0</v>
      </c>
      <c r="X50" s="55">
        <v>0</v>
      </c>
      <c r="Y50" s="57">
        <v>10</v>
      </c>
      <c r="Z50" s="53">
        <v>35</v>
      </c>
      <c r="AA50" s="54">
        <v>10.4</v>
      </c>
      <c r="AB50" s="55">
        <v>0</v>
      </c>
      <c r="AC50" s="55">
        <v>0</v>
      </c>
      <c r="AD50" s="57">
        <v>6.3</v>
      </c>
      <c r="AE50" s="56">
        <v>33</v>
      </c>
      <c r="AF50" s="54">
        <v>10.5</v>
      </c>
      <c r="AG50" s="55">
        <v>0</v>
      </c>
      <c r="AH50" s="55">
        <v>0</v>
      </c>
      <c r="AI50" s="57">
        <v>12.5</v>
      </c>
      <c r="AJ50" s="56">
        <v>33</v>
      </c>
      <c r="AK50" s="54">
        <v>10.6</v>
      </c>
      <c r="AL50" s="54">
        <v>0</v>
      </c>
      <c r="AM50" s="54">
        <v>0</v>
      </c>
      <c r="AN50" s="57">
        <v>15.5</v>
      </c>
      <c r="AO50" s="53">
        <v>34</v>
      </c>
      <c r="AP50" s="54">
        <v>10.5</v>
      </c>
      <c r="AQ50" s="54">
        <v>120</v>
      </c>
      <c r="AR50" s="54">
        <v>0</v>
      </c>
      <c r="AS50" s="57">
        <v>15</v>
      </c>
      <c r="AT50" s="56">
        <v>29</v>
      </c>
      <c r="AU50" s="57">
        <v>80</v>
      </c>
      <c r="AV50" s="56">
        <v>95.07</v>
      </c>
      <c r="AW50" s="57">
        <v>237.2</v>
      </c>
      <c r="AX50" s="8"/>
      <c r="AZ50" s="1">
        <v>90</v>
      </c>
      <c r="BB50" s="82">
        <f t="shared" si="1"/>
        <v>33.415199999999999</v>
      </c>
    </row>
    <row r="51" spans="3:54" ht="15" customHeight="1" x14ac:dyDescent="0.25">
      <c r="C51" s="42"/>
      <c r="D51" s="69">
        <f>D40</f>
        <v>45750</v>
      </c>
      <c r="E51" s="70">
        <f t="shared" si="5"/>
        <v>3.1666666666666679</v>
      </c>
      <c r="F51" s="71">
        <f t="shared" si="3"/>
        <v>45751.166666666752</v>
      </c>
      <c r="G51" s="60">
        <v>41</v>
      </c>
      <c r="H51" s="61">
        <v>38</v>
      </c>
      <c r="I51" s="62">
        <v>11</v>
      </c>
      <c r="J51" s="62">
        <v>400</v>
      </c>
      <c r="K51" s="63">
        <v>0</v>
      </c>
      <c r="L51" s="64">
        <v>38</v>
      </c>
      <c r="M51" s="62">
        <v>10.6</v>
      </c>
      <c r="N51" s="62">
        <v>350</v>
      </c>
      <c r="O51" s="65">
        <v>0</v>
      </c>
      <c r="P51" s="61">
        <v>37</v>
      </c>
      <c r="Q51" s="62">
        <v>10.3</v>
      </c>
      <c r="R51" s="63">
        <v>0</v>
      </c>
      <c r="S51" s="63">
        <v>0</v>
      </c>
      <c r="T51" s="65">
        <v>16.3</v>
      </c>
      <c r="U51" s="64">
        <v>37</v>
      </c>
      <c r="V51" s="62">
        <v>10.3</v>
      </c>
      <c r="W51" s="63">
        <v>0</v>
      </c>
      <c r="X51" s="63">
        <v>0</v>
      </c>
      <c r="Y51" s="65">
        <v>10</v>
      </c>
      <c r="Z51" s="61">
        <v>36</v>
      </c>
      <c r="AA51" s="62">
        <v>10.4</v>
      </c>
      <c r="AB51" s="63">
        <v>0</v>
      </c>
      <c r="AC51" s="63">
        <v>0</v>
      </c>
      <c r="AD51" s="65">
        <v>6.3</v>
      </c>
      <c r="AE51" s="64">
        <v>35</v>
      </c>
      <c r="AF51" s="62">
        <v>10.5</v>
      </c>
      <c r="AG51" s="63">
        <v>0</v>
      </c>
      <c r="AH51" s="63">
        <v>0</v>
      </c>
      <c r="AI51" s="65">
        <v>12.5</v>
      </c>
      <c r="AJ51" s="64">
        <v>35</v>
      </c>
      <c r="AK51" s="62">
        <v>10.6</v>
      </c>
      <c r="AL51" s="62">
        <v>0</v>
      </c>
      <c r="AM51" s="62">
        <v>0</v>
      </c>
      <c r="AN51" s="65">
        <v>15.2</v>
      </c>
      <c r="AO51" s="61">
        <v>35</v>
      </c>
      <c r="AP51" s="62">
        <v>10.6</v>
      </c>
      <c r="AQ51" s="62">
        <v>110</v>
      </c>
      <c r="AR51" s="62">
        <v>0</v>
      </c>
      <c r="AS51" s="65">
        <v>15</v>
      </c>
      <c r="AT51" s="64">
        <v>30</v>
      </c>
      <c r="AU51" s="65">
        <v>80</v>
      </c>
      <c r="AV51" s="64">
        <v>94.95</v>
      </c>
      <c r="AW51" s="65">
        <v>233.33</v>
      </c>
      <c r="AX51" s="8"/>
      <c r="AZ51" s="1">
        <v>90</v>
      </c>
      <c r="BB51" s="82">
        <f t="shared" si="1"/>
        <v>33.282599999999995</v>
      </c>
    </row>
    <row r="52" spans="3:54" ht="15" customHeight="1" x14ac:dyDescent="0.25">
      <c r="C52" s="42">
        <f>C40+1</f>
        <v>4</v>
      </c>
      <c r="D52" s="66">
        <f>DATE([4]Dash!$F$3,VLOOKUP([4]Dash!$E$3,[4]Abb!$C$3:$D$14,2,FALSE),C52)</f>
        <v>45751</v>
      </c>
      <c r="E52" s="67">
        <f>E51+2/24</f>
        <v>3.2500000000000013</v>
      </c>
      <c r="F52" s="68">
        <f t="shared" si="3"/>
        <v>45751.250000000087</v>
      </c>
      <c r="G52" s="46">
        <v>43</v>
      </c>
      <c r="H52" s="47">
        <v>40</v>
      </c>
      <c r="I52" s="48">
        <v>11.1</v>
      </c>
      <c r="J52" s="48">
        <v>450</v>
      </c>
      <c r="K52" s="49">
        <v>0</v>
      </c>
      <c r="L52" s="50">
        <v>38</v>
      </c>
      <c r="M52" s="48">
        <v>10.5</v>
      </c>
      <c r="N52" s="48">
        <v>350</v>
      </c>
      <c r="O52" s="51">
        <v>0</v>
      </c>
      <c r="P52" s="47">
        <v>39</v>
      </c>
      <c r="Q52" s="48">
        <v>10.7</v>
      </c>
      <c r="R52" s="49">
        <v>0</v>
      </c>
      <c r="S52" s="49">
        <v>0</v>
      </c>
      <c r="T52" s="51">
        <v>16.3</v>
      </c>
      <c r="U52" s="50">
        <v>38</v>
      </c>
      <c r="V52" s="48">
        <v>10.6</v>
      </c>
      <c r="W52" s="49">
        <v>0</v>
      </c>
      <c r="X52" s="49">
        <v>0</v>
      </c>
      <c r="Y52" s="51">
        <v>10</v>
      </c>
      <c r="Z52" s="47">
        <v>36</v>
      </c>
      <c r="AA52" s="48">
        <v>10.4</v>
      </c>
      <c r="AB52" s="49">
        <v>0</v>
      </c>
      <c r="AC52" s="49">
        <v>0</v>
      </c>
      <c r="AD52" s="51">
        <v>6.3</v>
      </c>
      <c r="AE52" s="50">
        <v>34</v>
      </c>
      <c r="AF52" s="48">
        <v>10.5</v>
      </c>
      <c r="AG52" s="49">
        <v>0</v>
      </c>
      <c r="AH52" s="49">
        <v>0</v>
      </c>
      <c r="AI52" s="51">
        <v>12.5</v>
      </c>
      <c r="AJ52" s="50">
        <v>34</v>
      </c>
      <c r="AK52" s="48">
        <v>10.5</v>
      </c>
      <c r="AL52" s="48">
        <v>0</v>
      </c>
      <c r="AM52" s="48">
        <v>0</v>
      </c>
      <c r="AN52" s="51">
        <v>15.2</v>
      </c>
      <c r="AO52" s="47">
        <v>36</v>
      </c>
      <c r="AP52" s="48">
        <v>10.5</v>
      </c>
      <c r="AQ52" s="48">
        <v>110</v>
      </c>
      <c r="AR52" s="48">
        <v>0</v>
      </c>
      <c r="AS52" s="48">
        <v>15.2</v>
      </c>
      <c r="AT52" s="50">
        <v>31</v>
      </c>
      <c r="AU52" s="51">
        <v>80</v>
      </c>
      <c r="AV52" s="50">
        <v>95.003250122070298</v>
      </c>
      <c r="AW52" s="51">
        <v>228.12403411865236</v>
      </c>
      <c r="AX52" s="8"/>
      <c r="AZ52" s="1">
        <v>90</v>
      </c>
      <c r="BB52" s="82">
        <f t="shared" si="1"/>
        <v>33.371000000000002</v>
      </c>
    </row>
    <row r="53" spans="3:54" ht="15" customHeight="1" x14ac:dyDescent="0.25">
      <c r="C53" s="42"/>
      <c r="D53" s="43">
        <f>D52</f>
        <v>45751</v>
      </c>
      <c r="E53" s="44">
        <f>E52+2/24</f>
        <v>3.3333333333333348</v>
      </c>
      <c r="F53" s="45">
        <f t="shared" si="3"/>
        <v>45751.333333333423</v>
      </c>
      <c r="G53" s="52">
        <v>43</v>
      </c>
      <c r="H53" s="53">
        <v>40</v>
      </c>
      <c r="I53" s="54">
        <v>10.3</v>
      </c>
      <c r="J53" s="54">
        <v>400</v>
      </c>
      <c r="K53" s="55">
        <v>6.2</v>
      </c>
      <c r="L53" s="56">
        <v>32</v>
      </c>
      <c r="M53" s="54">
        <v>10.8</v>
      </c>
      <c r="N53" s="54">
        <v>350</v>
      </c>
      <c r="O53" s="57">
        <v>6.2</v>
      </c>
      <c r="P53" s="53">
        <v>38</v>
      </c>
      <c r="Q53" s="54">
        <v>10.6</v>
      </c>
      <c r="R53" s="55">
        <v>0</v>
      </c>
      <c r="S53" s="55">
        <v>7.2</v>
      </c>
      <c r="T53" s="57">
        <v>13.75</v>
      </c>
      <c r="U53" s="56">
        <v>36</v>
      </c>
      <c r="V53" s="54">
        <v>10.4</v>
      </c>
      <c r="W53" s="55">
        <v>0</v>
      </c>
      <c r="X53" s="55">
        <v>7.4</v>
      </c>
      <c r="Y53" s="57">
        <v>7.5</v>
      </c>
      <c r="Z53" s="53">
        <v>37</v>
      </c>
      <c r="AA53" s="54">
        <v>10.5</v>
      </c>
      <c r="AB53" s="55">
        <v>0</v>
      </c>
      <c r="AC53" s="55">
        <v>7.6</v>
      </c>
      <c r="AD53" s="57">
        <v>6.25</v>
      </c>
      <c r="AE53" s="56">
        <v>35</v>
      </c>
      <c r="AF53" s="54">
        <v>9.5</v>
      </c>
      <c r="AG53" s="55">
        <v>0</v>
      </c>
      <c r="AH53" s="55">
        <v>6.9</v>
      </c>
      <c r="AI53" s="57">
        <v>13</v>
      </c>
      <c r="AJ53" s="56">
        <v>36</v>
      </c>
      <c r="AK53" s="54">
        <v>10.1</v>
      </c>
      <c r="AL53" s="54">
        <v>0</v>
      </c>
      <c r="AM53" s="54">
        <v>7.2</v>
      </c>
      <c r="AN53" s="57">
        <v>16.75</v>
      </c>
      <c r="AO53" s="53">
        <v>35</v>
      </c>
      <c r="AP53" s="54">
        <v>10.4</v>
      </c>
      <c r="AQ53" s="54">
        <v>110</v>
      </c>
      <c r="AR53" s="54">
        <v>7.4</v>
      </c>
      <c r="AS53" s="54">
        <v>15</v>
      </c>
      <c r="AT53" s="56">
        <v>28</v>
      </c>
      <c r="AU53" s="57">
        <v>100</v>
      </c>
      <c r="AV53" s="56">
        <v>95.039871215820298</v>
      </c>
      <c r="AW53" s="57">
        <v>228.92759043375651</v>
      </c>
      <c r="AX53" s="8"/>
      <c r="AZ53" s="1">
        <v>90</v>
      </c>
      <c r="BB53" s="82">
        <f t="shared" si="1"/>
        <v>31.9345</v>
      </c>
    </row>
    <row r="54" spans="3:54" ht="15" customHeight="1" x14ac:dyDescent="0.25">
      <c r="C54" s="42"/>
      <c r="D54" s="43">
        <f>D52</f>
        <v>45751</v>
      </c>
      <c r="E54" s="44">
        <f t="shared" ref="E54:E63" si="6">E53+2/24</f>
        <v>3.4166666666666683</v>
      </c>
      <c r="F54" s="45">
        <f t="shared" si="3"/>
        <v>45751.416666666759</v>
      </c>
      <c r="G54" s="52">
        <v>43</v>
      </c>
      <c r="H54" s="53">
        <v>41</v>
      </c>
      <c r="I54" s="54">
        <v>10.1</v>
      </c>
      <c r="J54" s="54">
        <v>350</v>
      </c>
      <c r="K54" s="55">
        <v>6.3</v>
      </c>
      <c r="L54" s="56">
        <v>40</v>
      </c>
      <c r="M54" s="54">
        <v>10.5</v>
      </c>
      <c r="N54" s="54">
        <v>350</v>
      </c>
      <c r="O54" s="57">
        <v>6.5</v>
      </c>
      <c r="P54" s="53">
        <v>39</v>
      </c>
      <c r="Q54" s="54">
        <v>10.7</v>
      </c>
      <c r="R54" s="55">
        <v>0</v>
      </c>
      <c r="S54" s="55">
        <v>7</v>
      </c>
      <c r="T54" s="57">
        <v>18.75</v>
      </c>
      <c r="U54" s="56">
        <v>38</v>
      </c>
      <c r="V54" s="54">
        <v>10.5</v>
      </c>
      <c r="W54" s="55">
        <v>0</v>
      </c>
      <c r="X54" s="55">
        <v>7.1</v>
      </c>
      <c r="Y54" s="57">
        <v>8.75</v>
      </c>
      <c r="Z54" s="53">
        <v>38</v>
      </c>
      <c r="AA54" s="54">
        <v>10.5</v>
      </c>
      <c r="AB54" s="55">
        <v>0</v>
      </c>
      <c r="AC54" s="55">
        <v>7.4</v>
      </c>
      <c r="AD54" s="57">
        <v>7.5</v>
      </c>
      <c r="AE54" s="56">
        <v>35</v>
      </c>
      <c r="AF54" s="54">
        <v>9.5</v>
      </c>
      <c r="AG54" s="55">
        <v>0</v>
      </c>
      <c r="AH54" s="55">
        <v>6.8</v>
      </c>
      <c r="AI54" s="57">
        <v>8.75</v>
      </c>
      <c r="AJ54" s="56">
        <v>36</v>
      </c>
      <c r="AK54" s="54">
        <v>10.1</v>
      </c>
      <c r="AL54" s="54">
        <v>0</v>
      </c>
      <c r="AM54" s="54">
        <v>7</v>
      </c>
      <c r="AN54" s="57">
        <v>16.75</v>
      </c>
      <c r="AO54" s="53">
        <v>35</v>
      </c>
      <c r="AP54" s="54">
        <v>10.4</v>
      </c>
      <c r="AQ54" s="54">
        <v>110</v>
      </c>
      <c r="AR54" s="54">
        <v>7.5</v>
      </c>
      <c r="AS54" s="54">
        <v>15</v>
      </c>
      <c r="AT54" s="56">
        <v>26</v>
      </c>
      <c r="AU54" s="57">
        <v>100</v>
      </c>
      <c r="AV54" s="56">
        <v>95.01953125</v>
      </c>
      <c r="AW54" s="57">
        <v>229.18450953165691</v>
      </c>
      <c r="AX54" s="8"/>
      <c r="AZ54" s="1">
        <v>90</v>
      </c>
      <c r="BB54" s="82">
        <f t="shared" si="1"/>
        <v>33.371000000000002</v>
      </c>
    </row>
    <row r="55" spans="3:54" ht="15" customHeight="1" x14ac:dyDescent="0.25">
      <c r="C55" s="42"/>
      <c r="D55" s="43">
        <f>D52</f>
        <v>45751</v>
      </c>
      <c r="E55" s="44">
        <f t="shared" si="6"/>
        <v>3.5000000000000018</v>
      </c>
      <c r="F55" s="45">
        <f t="shared" si="3"/>
        <v>45751.500000000095</v>
      </c>
      <c r="G55" s="52">
        <v>41</v>
      </c>
      <c r="H55" s="53">
        <v>41</v>
      </c>
      <c r="I55" s="54">
        <v>10.4</v>
      </c>
      <c r="J55" s="54">
        <v>400</v>
      </c>
      <c r="K55" s="55">
        <v>6.1</v>
      </c>
      <c r="L55" s="56">
        <v>39</v>
      </c>
      <c r="M55" s="54">
        <v>10.4</v>
      </c>
      <c r="N55" s="54">
        <v>350</v>
      </c>
      <c r="O55" s="57">
        <v>6.7</v>
      </c>
      <c r="P55" s="53">
        <v>40</v>
      </c>
      <c r="Q55" s="54">
        <v>10.6</v>
      </c>
      <c r="R55" s="55">
        <v>0</v>
      </c>
      <c r="S55" s="55">
        <v>7.1</v>
      </c>
      <c r="T55" s="57">
        <v>18.5</v>
      </c>
      <c r="U55" s="56">
        <v>39</v>
      </c>
      <c r="V55" s="54">
        <v>10.5</v>
      </c>
      <c r="W55" s="55">
        <v>0</v>
      </c>
      <c r="X55" s="55">
        <v>7.3</v>
      </c>
      <c r="Y55" s="57">
        <v>8.5</v>
      </c>
      <c r="Z55" s="53">
        <v>37</v>
      </c>
      <c r="AA55" s="54">
        <v>10.5</v>
      </c>
      <c r="AB55" s="55">
        <v>0</v>
      </c>
      <c r="AC55" s="55">
        <v>7.7</v>
      </c>
      <c r="AD55" s="57">
        <v>7.5</v>
      </c>
      <c r="AE55" s="56">
        <v>37</v>
      </c>
      <c r="AF55" s="54">
        <v>9.6999999999999993</v>
      </c>
      <c r="AG55" s="55">
        <v>0</v>
      </c>
      <c r="AH55" s="55">
        <v>6.3</v>
      </c>
      <c r="AI55" s="57">
        <v>10</v>
      </c>
      <c r="AJ55" s="56">
        <v>35</v>
      </c>
      <c r="AK55" s="54">
        <v>10</v>
      </c>
      <c r="AL55" s="54">
        <v>0</v>
      </c>
      <c r="AM55" s="54">
        <v>7.1</v>
      </c>
      <c r="AN55" s="57">
        <v>13.5</v>
      </c>
      <c r="AO55" s="53">
        <v>34</v>
      </c>
      <c r="AP55" s="54">
        <v>10.3</v>
      </c>
      <c r="AQ55" s="54">
        <v>120</v>
      </c>
      <c r="AR55" s="54">
        <v>7.7</v>
      </c>
      <c r="AS55" s="54">
        <v>16.25</v>
      </c>
      <c r="AT55" s="56">
        <v>26</v>
      </c>
      <c r="AU55" s="57">
        <v>100</v>
      </c>
      <c r="AV55" s="56">
        <v>95.145668029785199</v>
      </c>
      <c r="AW55" s="57">
        <v>226.18875370025637</v>
      </c>
      <c r="AX55" s="8"/>
      <c r="AZ55" s="1">
        <v>90</v>
      </c>
      <c r="BB55" s="82">
        <f t="shared" si="1"/>
        <v>32.8185</v>
      </c>
    </row>
    <row r="56" spans="3:54" ht="15" customHeight="1" x14ac:dyDescent="0.25">
      <c r="C56" s="42"/>
      <c r="D56" s="43">
        <f>D52</f>
        <v>45751</v>
      </c>
      <c r="E56" s="44">
        <f t="shared" si="6"/>
        <v>3.5833333333333353</v>
      </c>
      <c r="F56" s="45">
        <f t="shared" si="3"/>
        <v>45751.58333333343</v>
      </c>
      <c r="G56" s="52">
        <v>34</v>
      </c>
      <c r="H56" s="53">
        <v>39</v>
      </c>
      <c r="I56" s="54">
        <v>9.9</v>
      </c>
      <c r="J56" s="54">
        <v>300</v>
      </c>
      <c r="K56" s="55">
        <v>6.2</v>
      </c>
      <c r="L56" s="56">
        <v>40</v>
      </c>
      <c r="M56" s="54">
        <v>10.4</v>
      </c>
      <c r="N56" s="54">
        <v>300</v>
      </c>
      <c r="O56" s="57">
        <v>6.5</v>
      </c>
      <c r="P56" s="53">
        <v>39</v>
      </c>
      <c r="Q56" s="54">
        <v>10.5</v>
      </c>
      <c r="R56" s="55">
        <v>0</v>
      </c>
      <c r="S56" s="55">
        <v>7.3</v>
      </c>
      <c r="T56" s="57">
        <v>16.25</v>
      </c>
      <c r="U56" s="56">
        <v>39</v>
      </c>
      <c r="V56" s="54">
        <v>10.5</v>
      </c>
      <c r="W56" s="55">
        <v>0</v>
      </c>
      <c r="X56" s="55">
        <v>7.1</v>
      </c>
      <c r="Y56" s="57">
        <v>7.5</v>
      </c>
      <c r="Z56" s="53">
        <v>38</v>
      </c>
      <c r="AA56" s="54">
        <v>10.4</v>
      </c>
      <c r="AB56" s="55">
        <v>0</v>
      </c>
      <c r="AC56" s="55">
        <v>7.1</v>
      </c>
      <c r="AD56" s="57">
        <v>10</v>
      </c>
      <c r="AE56" s="56">
        <v>37</v>
      </c>
      <c r="AF56" s="54">
        <v>9.9</v>
      </c>
      <c r="AG56" s="55">
        <v>0</v>
      </c>
      <c r="AH56" s="55">
        <v>6.3</v>
      </c>
      <c r="AI56" s="57">
        <v>10</v>
      </c>
      <c r="AJ56" s="56">
        <v>36</v>
      </c>
      <c r="AK56" s="54">
        <v>10.1</v>
      </c>
      <c r="AL56" s="54">
        <v>0</v>
      </c>
      <c r="AM56" s="54">
        <v>7.3</v>
      </c>
      <c r="AN56" s="57">
        <v>13.5</v>
      </c>
      <c r="AO56" s="53">
        <v>36</v>
      </c>
      <c r="AP56" s="54">
        <v>10.4</v>
      </c>
      <c r="AQ56" s="54">
        <v>120</v>
      </c>
      <c r="AR56" s="54">
        <v>7.3</v>
      </c>
      <c r="AS56" s="54">
        <v>16.25</v>
      </c>
      <c r="AT56" s="56">
        <v>30</v>
      </c>
      <c r="AU56" s="57">
        <v>100</v>
      </c>
      <c r="AV56" s="56">
        <v>95.2392578125</v>
      </c>
      <c r="AW56" s="57">
        <v>230.12213090260826</v>
      </c>
      <c r="AX56" s="8"/>
      <c r="AZ56" s="1">
        <v>90</v>
      </c>
      <c r="BB56" s="82">
        <f t="shared" si="1"/>
        <v>32.487000000000002</v>
      </c>
    </row>
    <row r="57" spans="3:54" ht="15" customHeight="1" x14ac:dyDescent="0.25">
      <c r="C57" s="42"/>
      <c r="D57" s="43">
        <f>D52</f>
        <v>45751</v>
      </c>
      <c r="E57" s="44">
        <f t="shared" si="6"/>
        <v>3.6666666666666687</v>
      </c>
      <c r="F57" s="45">
        <f t="shared" si="3"/>
        <v>45751.666666666766</v>
      </c>
      <c r="G57" s="52">
        <v>38</v>
      </c>
      <c r="H57" s="53">
        <v>41</v>
      </c>
      <c r="I57" s="54">
        <v>10.6</v>
      </c>
      <c r="J57" s="54">
        <v>450</v>
      </c>
      <c r="K57" s="55">
        <v>6.3</v>
      </c>
      <c r="L57" s="56">
        <v>40</v>
      </c>
      <c r="M57" s="54">
        <v>10.4</v>
      </c>
      <c r="N57" s="54">
        <v>350</v>
      </c>
      <c r="O57" s="57">
        <v>6.8</v>
      </c>
      <c r="P57" s="53">
        <v>40</v>
      </c>
      <c r="Q57" s="54">
        <v>10.5</v>
      </c>
      <c r="R57" s="55">
        <v>0</v>
      </c>
      <c r="S57" s="55">
        <v>6.7</v>
      </c>
      <c r="T57" s="57">
        <v>17.5</v>
      </c>
      <c r="U57" s="56">
        <v>39</v>
      </c>
      <c r="V57" s="54">
        <v>10.6</v>
      </c>
      <c r="W57" s="55">
        <v>0</v>
      </c>
      <c r="X57" s="55">
        <v>6.9</v>
      </c>
      <c r="Y57" s="57">
        <v>16.25</v>
      </c>
      <c r="Z57" s="53">
        <v>38</v>
      </c>
      <c r="AA57" s="54">
        <v>10.7</v>
      </c>
      <c r="AB57" s="55">
        <v>0</v>
      </c>
      <c r="AC57" s="55">
        <v>6.9</v>
      </c>
      <c r="AD57" s="57">
        <v>7.5</v>
      </c>
      <c r="AE57" s="56">
        <v>36</v>
      </c>
      <c r="AF57" s="54">
        <v>10.5</v>
      </c>
      <c r="AG57" s="55">
        <v>0</v>
      </c>
      <c r="AH57" s="55">
        <v>9.5</v>
      </c>
      <c r="AI57" s="57">
        <v>7.5</v>
      </c>
      <c r="AJ57" s="56">
        <v>37</v>
      </c>
      <c r="AK57" s="54">
        <v>10.5</v>
      </c>
      <c r="AL57" s="54">
        <v>0</v>
      </c>
      <c r="AM57" s="54">
        <v>6.3</v>
      </c>
      <c r="AN57" s="57">
        <v>11.25</v>
      </c>
      <c r="AO57" s="53">
        <v>33</v>
      </c>
      <c r="AP57" s="54">
        <v>10.5</v>
      </c>
      <c r="AQ57" s="54">
        <v>120</v>
      </c>
      <c r="AR57" s="54">
        <v>6.8</v>
      </c>
      <c r="AS57" s="54">
        <v>16.399999999999999</v>
      </c>
      <c r="AT57" s="56">
        <v>31</v>
      </c>
      <c r="AU57" s="57">
        <v>110</v>
      </c>
      <c r="AV57" s="56">
        <v>95.12939453125</v>
      </c>
      <c r="AW57" s="57">
        <v>231.34066257476809</v>
      </c>
      <c r="AX57" s="8"/>
      <c r="AZ57" s="1">
        <v>90</v>
      </c>
      <c r="BB57" s="82">
        <f t="shared" si="1"/>
        <v>33.768800000000006</v>
      </c>
    </row>
    <row r="58" spans="3:54" ht="15" customHeight="1" x14ac:dyDescent="0.25">
      <c r="C58" s="42"/>
      <c r="D58" s="43">
        <f>D52</f>
        <v>45751</v>
      </c>
      <c r="E58" s="44">
        <f t="shared" si="6"/>
        <v>3.7500000000000022</v>
      </c>
      <c r="F58" s="45">
        <f t="shared" si="3"/>
        <v>45751.750000000102</v>
      </c>
      <c r="G58" s="52">
        <v>39</v>
      </c>
      <c r="H58" s="53">
        <v>39</v>
      </c>
      <c r="I58" s="54">
        <v>10.7</v>
      </c>
      <c r="J58" s="54">
        <v>450</v>
      </c>
      <c r="K58" s="55">
        <v>6.5</v>
      </c>
      <c r="L58" s="56">
        <v>38</v>
      </c>
      <c r="M58" s="54">
        <v>10.5</v>
      </c>
      <c r="N58" s="54">
        <v>400</v>
      </c>
      <c r="O58" s="57">
        <v>6.6</v>
      </c>
      <c r="P58" s="53">
        <v>38</v>
      </c>
      <c r="Q58" s="54">
        <v>10.6</v>
      </c>
      <c r="R58" s="55">
        <v>0</v>
      </c>
      <c r="S58" s="55">
        <v>6.3</v>
      </c>
      <c r="T58" s="57">
        <v>17.5</v>
      </c>
      <c r="U58" s="56">
        <v>38</v>
      </c>
      <c r="V58" s="54">
        <v>10.6</v>
      </c>
      <c r="W58" s="55">
        <v>0</v>
      </c>
      <c r="X58" s="55">
        <v>6.3</v>
      </c>
      <c r="Y58" s="57">
        <v>6.25</v>
      </c>
      <c r="Z58" s="53">
        <v>37</v>
      </c>
      <c r="AA58" s="54">
        <v>10.7</v>
      </c>
      <c r="AB58" s="55">
        <v>0</v>
      </c>
      <c r="AC58" s="55">
        <v>6.5</v>
      </c>
      <c r="AD58" s="57">
        <v>10</v>
      </c>
      <c r="AE58" s="56">
        <v>36</v>
      </c>
      <c r="AF58" s="54">
        <v>10.5</v>
      </c>
      <c r="AG58" s="55">
        <v>0</v>
      </c>
      <c r="AH58" s="55">
        <v>7.5</v>
      </c>
      <c r="AI58" s="57">
        <v>6.25</v>
      </c>
      <c r="AJ58" s="56">
        <v>36</v>
      </c>
      <c r="AK58" s="54">
        <v>10.5</v>
      </c>
      <c r="AL58" s="54">
        <v>0</v>
      </c>
      <c r="AM58" s="54">
        <v>6.2</v>
      </c>
      <c r="AN58" s="57">
        <v>15</v>
      </c>
      <c r="AO58" s="53">
        <v>35</v>
      </c>
      <c r="AP58" s="54">
        <v>10.5</v>
      </c>
      <c r="AQ58" s="54">
        <v>130</v>
      </c>
      <c r="AR58" s="54">
        <v>6.4</v>
      </c>
      <c r="AS58" s="54">
        <v>22.5</v>
      </c>
      <c r="AT58" s="56">
        <v>30</v>
      </c>
      <c r="AU58" s="57">
        <v>110</v>
      </c>
      <c r="AV58" s="56">
        <v>95.145668029785199</v>
      </c>
      <c r="AW58" s="57">
        <v>230.0096457163493</v>
      </c>
      <c r="AX58" s="8"/>
      <c r="AZ58" s="1">
        <v>90</v>
      </c>
      <c r="BB58" s="82">
        <f t="shared" si="1"/>
        <v>34.255000000000003</v>
      </c>
    </row>
    <row r="59" spans="3:54" ht="15" customHeight="1" x14ac:dyDescent="0.25">
      <c r="C59" s="42"/>
      <c r="D59" s="43">
        <f>D52</f>
        <v>45751</v>
      </c>
      <c r="E59" s="44">
        <f t="shared" si="6"/>
        <v>3.8333333333333357</v>
      </c>
      <c r="F59" s="45">
        <f t="shared" si="3"/>
        <v>45751.833333333438</v>
      </c>
      <c r="G59" s="52">
        <v>38</v>
      </c>
      <c r="H59" s="53">
        <v>37</v>
      </c>
      <c r="I59" s="54">
        <v>10.5</v>
      </c>
      <c r="J59" s="54">
        <v>350</v>
      </c>
      <c r="K59" s="55">
        <v>8.5</v>
      </c>
      <c r="L59" s="56">
        <v>39</v>
      </c>
      <c r="M59" s="54">
        <v>10.6</v>
      </c>
      <c r="N59" s="54">
        <v>350</v>
      </c>
      <c r="O59" s="57">
        <v>9.9</v>
      </c>
      <c r="P59" s="53">
        <v>39</v>
      </c>
      <c r="Q59" s="54">
        <v>10.4</v>
      </c>
      <c r="R59" s="55">
        <v>0</v>
      </c>
      <c r="S59" s="55">
        <v>8.6999999999999993</v>
      </c>
      <c r="T59" s="57">
        <v>17.5</v>
      </c>
      <c r="U59" s="56">
        <v>38</v>
      </c>
      <c r="V59" s="54">
        <v>10.5</v>
      </c>
      <c r="W59" s="55">
        <v>0</v>
      </c>
      <c r="X59" s="55">
        <v>8.1999999999999993</v>
      </c>
      <c r="Y59" s="57">
        <v>16.25</v>
      </c>
      <c r="Z59" s="53">
        <v>37</v>
      </c>
      <c r="AA59" s="54">
        <v>10.5</v>
      </c>
      <c r="AB59" s="55">
        <v>0</v>
      </c>
      <c r="AC59" s="55">
        <v>7.8</v>
      </c>
      <c r="AD59" s="57">
        <v>11.25</v>
      </c>
      <c r="AE59" s="56">
        <v>38</v>
      </c>
      <c r="AF59" s="54">
        <v>10.5</v>
      </c>
      <c r="AG59" s="55">
        <v>0</v>
      </c>
      <c r="AH59" s="55">
        <v>7.2</v>
      </c>
      <c r="AI59" s="57">
        <v>5</v>
      </c>
      <c r="AJ59" s="56">
        <v>36</v>
      </c>
      <c r="AK59" s="54">
        <v>10.5</v>
      </c>
      <c r="AL59" s="54">
        <v>0</v>
      </c>
      <c r="AM59" s="54">
        <v>12</v>
      </c>
      <c r="AN59" s="57">
        <v>13.75</v>
      </c>
      <c r="AO59" s="53">
        <v>37</v>
      </c>
      <c r="AP59" s="54">
        <v>10.4</v>
      </c>
      <c r="AQ59" s="54">
        <v>130</v>
      </c>
      <c r="AR59" s="54">
        <v>10.199999999999999</v>
      </c>
      <c r="AS59" s="54">
        <v>20</v>
      </c>
      <c r="AT59" s="56">
        <v>29</v>
      </c>
      <c r="AU59" s="57">
        <v>80</v>
      </c>
      <c r="AV59" s="56">
        <v>95.064285278320298</v>
      </c>
      <c r="AW59" s="57">
        <v>236.21527716318766</v>
      </c>
      <c r="AX59" s="8"/>
      <c r="AZ59" s="1">
        <v>90</v>
      </c>
      <c r="BB59" s="82">
        <f t="shared" si="1"/>
        <v>37.017499999999998</v>
      </c>
    </row>
    <row r="60" spans="3:54" ht="15" customHeight="1" x14ac:dyDescent="0.25">
      <c r="C60" s="42"/>
      <c r="D60" s="43">
        <f>D52</f>
        <v>45751</v>
      </c>
      <c r="E60" s="44">
        <f t="shared" si="6"/>
        <v>3.9166666666666692</v>
      </c>
      <c r="F60" s="45">
        <f t="shared" si="3"/>
        <v>45751.916666666773</v>
      </c>
      <c r="G60" s="52">
        <v>40</v>
      </c>
      <c r="H60" s="53">
        <v>38</v>
      </c>
      <c r="I60" s="54">
        <v>10.5</v>
      </c>
      <c r="J60" s="54">
        <v>350</v>
      </c>
      <c r="K60" s="55">
        <v>8.4</v>
      </c>
      <c r="L60" s="56">
        <v>39</v>
      </c>
      <c r="M60" s="54">
        <v>10.5</v>
      </c>
      <c r="N60" s="54">
        <v>350</v>
      </c>
      <c r="O60" s="57">
        <v>9.8000000000000007</v>
      </c>
      <c r="P60" s="53">
        <v>40</v>
      </c>
      <c r="Q60" s="54">
        <v>10.4</v>
      </c>
      <c r="R60" s="55">
        <v>0</v>
      </c>
      <c r="S60" s="55">
        <v>8.8000000000000007</v>
      </c>
      <c r="T60" s="57">
        <v>17</v>
      </c>
      <c r="U60" s="56">
        <v>38</v>
      </c>
      <c r="V60" s="54">
        <v>10.5</v>
      </c>
      <c r="W60" s="55">
        <v>0</v>
      </c>
      <c r="X60" s="55">
        <v>8.4</v>
      </c>
      <c r="Y60" s="57">
        <v>16.5</v>
      </c>
      <c r="Z60" s="53">
        <v>37</v>
      </c>
      <c r="AA60" s="54">
        <v>10.5</v>
      </c>
      <c r="AB60" s="55">
        <v>0</v>
      </c>
      <c r="AC60" s="55">
        <v>7.7</v>
      </c>
      <c r="AD60" s="57">
        <v>11.25</v>
      </c>
      <c r="AE60" s="56">
        <v>37</v>
      </c>
      <c r="AF60" s="54">
        <v>10.5</v>
      </c>
      <c r="AG60" s="55">
        <v>0</v>
      </c>
      <c r="AH60" s="55">
        <v>7</v>
      </c>
      <c r="AI60" s="57">
        <v>8.75</v>
      </c>
      <c r="AJ60" s="56">
        <v>37</v>
      </c>
      <c r="AK60" s="54">
        <v>10.5</v>
      </c>
      <c r="AL60" s="54">
        <v>0</v>
      </c>
      <c r="AM60" s="54">
        <v>11.8</v>
      </c>
      <c r="AN60" s="57">
        <v>10.75</v>
      </c>
      <c r="AO60" s="53">
        <v>36</v>
      </c>
      <c r="AP60" s="54">
        <v>10.5</v>
      </c>
      <c r="AQ60" s="54">
        <v>110</v>
      </c>
      <c r="AR60" s="54">
        <v>10</v>
      </c>
      <c r="AS60" s="54">
        <v>17</v>
      </c>
      <c r="AT60" s="56">
        <v>29</v>
      </c>
      <c r="AU60" s="57">
        <v>70</v>
      </c>
      <c r="AV60" s="56">
        <v>95.00732421875</v>
      </c>
      <c r="AW60" s="57">
        <v>238.24447784423828</v>
      </c>
      <c r="AX60" s="8"/>
      <c r="AZ60" s="1">
        <v>90</v>
      </c>
      <c r="BB60" s="82">
        <f t="shared" si="1"/>
        <v>35.912500000000001</v>
      </c>
    </row>
    <row r="61" spans="3:54" ht="15" customHeight="1" x14ac:dyDescent="0.25">
      <c r="C61" s="42"/>
      <c r="D61" s="43">
        <f>D52</f>
        <v>45751</v>
      </c>
      <c r="E61" s="44">
        <f t="shared" si="6"/>
        <v>4.0000000000000027</v>
      </c>
      <c r="F61" s="45">
        <f t="shared" si="3"/>
        <v>45752.000000000109</v>
      </c>
      <c r="G61" s="52">
        <v>39</v>
      </c>
      <c r="H61" s="53">
        <v>38</v>
      </c>
      <c r="I61" s="54">
        <v>10.7</v>
      </c>
      <c r="J61" s="54">
        <v>400</v>
      </c>
      <c r="K61" s="55">
        <v>8.8000000000000007</v>
      </c>
      <c r="L61" s="56">
        <v>38</v>
      </c>
      <c r="M61" s="54">
        <v>10.5</v>
      </c>
      <c r="N61" s="54">
        <v>400</v>
      </c>
      <c r="O61" s="57">
        <v>9.6999999999999993</v>
      </c>
      <c r="P61" s="53">
        <v>39</v>
      </c>
      <c r="Q61" s="54">
        <v>10.5</v>
      </c>
      <c r="R61" s="55">
        <v>0</v>
      </c>
      <c r="S61" s="55">
        <v>8.8000000000000007</v>
      </c>
      <c r="T61" s="57">
        <v>17.5</v>
      </c>
      <c r="U61" s="56">
        <v>39</v>
      </c>
      <c r="V61" s="54">
        <v>10.5</v>
      </c>
      <c r="W61" s="55">
        <v>0</v>
      </c>
      <c r="X61" s="55">
        <v>8.1999999999999993</v>
      </c>
      <c r="Y61" s="57">
        <v>18.75</v>
      </c>
      <c r="Z61" s="53">
        <v>38</v>
      </c>
      <c r="AA61" s="54">
        <v>10.5</v>
      </c>
      <c r="AB61" s="55">
        <v>0</v>
      </c>
      <c r="AC61" s="55">
        <v>7.5</v>
      </c>
      <c r="AD61" s="57">
        <v>11.25</v>
      </c>
      <c r="AE61" s="56">
        <v>37</v>
      </c>
      <c r="AF61" s="54">
        <v>10.5</v>
      </c>
      <c r="AG61" s="55">
        <v>0</v>
      </c>
      <c r="AH61" s="55">
        <v>7.3</v>
      </c>
      <c r="AI61" s="57">
        <v>8.75</v>
      </c>
      <c r="AJ61" s="56">
        <v>37</v>
      </c>
      <c r="AK61" s="54">
        <v>10.5</v>
      </c>
      <c r="AL61" s="54">
        <v>0</v>
      </c>
      <c r="AM61" s="54">
        <v>12</v>
      </c>
      <c r="AN61" s="57">
        <v>10.75</v>
      </c>
      <c r="AO61" s="53">
        <v>36</v>
      </c>
      <c r="AP61" s="54">
        <v>10.5</v>
      </c>
      <c r="AQ61" s="54">
        <v>120</v>
      </c>
      <c r="AR61" s="54">
        <v>9.8000000000000007</v>
      </c>
      <c r="AS61" s="54">
        <v>16.25</v>
      </c>
      <c r="AT61" s="56">
        <v>30</v>
      </c>
      <c r="AU61" s="57">
        <v>80</v>
      </c>
      <c r="AV61" s="56">
        <v>95.00732421875</v>
      </c>
      <c r="AW61" s="57">
        <v>230.72892494201659</v>
      </c>
      <c r="AX61" s="8"/>
      <c r="AZ61" s="1">
        <v>90</v>
      </c>
      <c r="BB61" s="82">
        <f t="shared" si="1"/>
        <v>36.796500000000002</v>
      </c>
    </row>
    <row r="62" spans="3:54" ht="15" customHeight="1" x14ac:dyDescent="0.25">
      <c r="C62" s="42"/>
      <c r="D62" s="43">
        <f>D52</f>
        <v>45751</v>
      </c>
      <c r="E62" s="44">
        <f t="shared" si="6"/>
        <v>4.0833333333333357</v>
      </c>
      <c r="F62" s="45">
        <f t="shared" si="3"/>
        <v>45752.083333333445</v>
      </c>
      <c r="G62" s="52">
        <v>40</v>
      </c>
      <c r="H62" s="53">
        <v>39</v>
      </c>
      <c r="I62" s="54">
        <v>10.5</v>
      </c>
      <c r="J62" s="54">
        <v>350</v>
      </c>
      <c r="K62" s="55">
        <v>8.9</v>
      </c>
      <c r="L62" s="56">
        <v>39</v>
      </c>
      <c r="M62" s="54">
        <v>10.5</v>
      </c>
      <c r="N62" s="54">
        <v>350</v>
      </c>
      <c r="O62" s="57">
        <v>8.8000000000000007</v>
      </c>
      <c r="P62" s="53">
        <v>39</v>
      </c>
      <c r="Q62" s="54">
        <v>10.5</v>
      </c>
      <c r="R62" s="55">
        <v>0</v>
      </c>
      <c r="S62" s="55">
        <v>7.7</v>
      </c>
      <c r="T62" s="57">
        <v>17.5</v>
      </c>
      <c r="U62" s="56">
        <v>37</v>
      </c>
      <c r="V62" s="54">
        <v>10.5</v>
      </c>
      <c r="W62" s="55">
        <v>0</v>
      </c>
      <c r="X62" s="55">
        <v>7.8</v>
      </c>
      <c r="Y62" s="57">
        <v>16.25</v>
      </c>
      <c r="Z62" s="53">
        <v>38</v>
      </c>
      <c r="AA62" s="54">
        <v>10.5</v>
      </c>
      <c r="AB62" s="55">
        <v>0</v>
      </c>
      <c r="AC62" s="55">
        <v>7.9</v>
      </c>
      <c r="AD62" s="57">
        <v>11.25</v>
      </c>
      <c r="AE62" s="56">
        <v>37</v>
      </c>
      <c r="AF62" s="54">
        <v>10.6</v>
      </c>
      <c r="AG62" s="55">
        <v>0</v>
      </c>
      <c r="AH62" s="55">
        <v>7</v>
      </c>
      <c r="AI62" s="57">
        <v>8.75</v>
      </c>
      <c r="AJ62" s="56">
        <v>36</v>
      </c>
      <c r="AK62" s="54">
        <v>10.5</v>
      </c>
      <c r="AL62" s="54">
        <v>0</v>
      </c>
      <c r="AM62" s="54">
        <v>11.2</v>
      </c>
      <c r="AN62" s="57">
        <v>10</v>
      </c>
      <c r="AO62" s="53">
        <v>36</v>
      </c>
      <c r="AP62" s="54">
        <v>10.6</v>
      </c>
      <c r="AQ62" s="54">
        <v>140</v>
      </c>
      <c r="AR62" s="54">
        <v>9.1999999999999993</v>
      </c>
      <c r="AS62" s="54">
        <v>18.75</v>
      </c>
      <c r="AT62" s="56">
        <v>31</v>
      </c>
      <c r="AU62" s="57">
        <v>100</v>
      </c>
      <c r="AV62" s="56">
        <v>95.064285278320298</v>
      </c>
      <c r="AW62" s="57">
        <v>232.94982039133711</v>
      </c>
      <c r="AX62" s="8"/>
      <c r="AZ62" s="1">
        <v>90</v>
      </c>
      <c r="BB62" s="82">
        <f t="shared" si="1"/>
        <v>36.465000000000003</v>
      </c>
    </row>
    <row r="63" spans="3:54" ht="15" customHeight="1" x14ac:dyDescent="0.25">
      <c r="C63" s="42"/>
      <c r="D63" s="69">
        <f>D52</f>
        <v>45751</v>
      </c>
      <c r="E63" s="70">
        <f t="shared" si="6"/>
        <v>4.1666666666666687</v>
      </c>
      <c r="F63" s="71">
        <f t="shared" si="3"/>
        <v>45752.166666666781</v>
      </c>
      <c r="G63" s="60">
        <v>39</v>
      </c>
      <c r="H63" s="61">
        <v>37</v>
      </c>
      <c r="I63" s="62">
        <v>10.4</v>
      </c>
      <c r="J63" s="62">
        <v>350</v>
      </c>
      <c r="K63" s="63">
        <v>8.6999999999999993</v>
      </c>
      <c r="L63" s="64">
        <v>38</v>
      </c>
      <c r="M63" s="62">
        <v>10.5</v>
      </c>
      <c r="N63" s="62">
        <v>400</v>
      </c>
      <c r="O63" s="65">
        <v>8.9</v>
      </c>
      <c r="P63" s="61">
        <v>38</v>
      </c>
      <c r="Q63" s="62">
        <v>10.6</v>
      </c>
      <c r="R63" s="63">
        <v>0</v>
      </c>
      <c r="S63" s="63">
        <v>7.9</v>
      </c>
      <c r="T63" s="65">
        <v>17.5</v>
      </c>
      <c r="U63" s="64">
        <v>38</v>
      </c>
      <c r="V63" s="62">
        <v>10.5</v>
      </c>
      <c r="W63" s="63">
        <v>0</v>
      </c>
      <c r="X63" s="63">
        <v>7.8</v>
      </c>
      <c r="Y63" s="65">
        <v>16.25</v>
      </c>
      <c r="Z63" s="61">
        <v>37</v>
      </c>
      <c r="AA63" s="62">
        <v>10.5</v>
      </c>
      <c r="AB63" s="63">
        <v>0</v>
      </c>
      <c r="AC63" s="63">
        <v>7.6</v>
      </c>
      <c r="AD63" s="65">
        <v>11.25</v>
      </c>
      <c r="AE63" s="64">
        <v>37</v>
      </c>
      <c r="AF63" s="62">
        <v>10.6</v>
      </c>
      <c r="AG63" s="63">
        <v>0</v>
      </c>
      <c r="AH63" s="63">
        <v>7.5</v>
      </c>
      <c r="AI63" s="65">
        <v>8.75</v>
      </c>
      <c r="AJ63" s="64">
        <v>36</v>
      </c>
      <c r="AK63" s="62">
        <v>10.6</v>
      </c>
      <c r="AL63" s="62">
        <v>0</v>
      </c>
      <c r="AM63" s="62">
        <v>11.8</v>
      </c>
      <c r="AN63" s="65">
        <v>10.75</v>
      </c>
      <c r="AO63" s="61">
        <v>36</v>
      </c>
      <c r="AP63" s="62">
        <v>10.6</v>
      </c>
      <c r="AQ63" s="62">
        <v>130</v>
      </c>
      <c r="AR63" s="62">
        <v>9.8000000000000007</v>
      </c>
      <c r="AS63" s="62">
        <v>18</v>
      </c>
      <c r="AT63" s="64">
        <v>29</v>
      </c>
      <c r="AU63" s="65">
        <v>90</v>
      </c>
      <c r="AV63" s="64">
        <v>94.962562561035199</v>
      </c>
      <c r="AW63" s="65">
        <v>233.24375565846762</v>
      </c>
      <c r="AX63" s="8"/>
      <c r="AZ63" s="1">
        <v>90</v>
      </c>
      <c r="BB63" s="82">
        <f t="shared" si="1"/>
        <v>36.465000000000003</v>
      </c>
    </row>
    <row r="64" spans="3:54" ht="15" customHeight="1" x14ac:dyDescent="0.25">
      <c r="C64" s="42">
        <f>C52+1</f>
        <v>5</v>
      </c>
      <c r="D64" s="66">
        <f>DATE([4]Dash!$F$3,VLOOKUP([4]Dash!$E$3,[4]Abb!$C$3:$D$14,2,FALSE),C64)</f>
        <v>45752</v>
      </c>
      <c r="E64" s="67">
        <f>E63+2/24</f>
        <v>4.2500000000000018</v>
      </c>
      <c r="F64" s="68">
        <f t="shared" si="3"/>
        <v>45752.250000000116</v>
      </c>
      <c r="G64" s="46">
        <v>0</v>
      </c>
      <c r="H64" s="47">
        <v>40</v>
      </c>
      <c r="I64" s="48">
        <v>10.4</v>
      </c>
      <c r="J64" s="48">
        <v>400</v>
      </c>
      <c r="K64" s="49">
        <v>8.8000000000000007</v>
      </c>
      <c r="L64" s="50">
        <v>39</v>
      </c>
      <c r="M64" s="48">
        <v>10.8</v>
      </c>
      <c r="N64" s="48">
        <v>400</v>
      </c>
      <c r="O64" s="51">
        <v>9.4</v>
      </c>
      <c r="P64" s="47">
        <v>38</v>
      </c>
      <c r="Q64" s="48">
        <v>10.6</v>
      </c>
      <c r="R64" s="49">
        <v>0</v>
      </c>
      <c r="S64" s="49">
        <v>7.6</v>
      </c>
      <c r="T64" s="51">
        <v>17.25</v>
      </c>
      <c r="U64" s="50">
        <v>38</v>
      </c>
      <c r="V64" s="48">
        <v>10.4</v>
      </c>
      <c r="W64" s="49">
        <v>0</v>
      </c>
      <c r="X64" s="49">
        <v>7.9</v>
      </c>
      <c r="Y64" s="51">
        <v>16</v>
      </c>
      <c r="Z64" s="47">
        <v>37</v>
      </c>
      <c r="AA64" s="48">
        <v>10.5</v>
      </c>
      <c r="AB64" s="49">
        <v>0</v>
      </c>
      <c r="AC64" s="49">
        <v>7.5</v>
      </c>
      <c r="AD64" s="51">
        <v>11.75</v>
      </c>
      <c r="AE64" s="50">
        <v>35</v>
      </c>
      <c r="AF64" s="48">
        <v>10.5</v>
      </c>
      <c r="AG64" s="49">
        <v>0</v>
      </c>
      <c r="AH64" s="49">
        <v>7.6</v>
      </c>
      <c r="AI64" s="51">
        <v>9.25</v>
      </c>
      <c r="AJ64" s="50">
        <v>35</v>
      </c>
      <c r="AK64" s="48">
        <v>10.4</v>
      </c>
      <c r="AL64" s="48">
        <v>0</v>
      </c>
      <c r="AM64" s="48">
        <v>11.1</v>
      </c>
      <c r="AN64" s="51">
        <v>10.75</v>
      </c>
      <c r="AO64" s="47">
        <v>36</v>
      </c>
      <c r="AP64" s="48">
        <v>10.5</v>
      </c>
      <c r="AQ64" s="48">
        <v>140</v>
      </c>
      <c r="AR64" s="48">
        <v>9.6999999999999993</v>
      </c>
      <c r="AS64" s="48">
        <v>18.75</v>
      </c>
      <c r="AT64" s="50">
        <v>30</v>
      </c>
      <c r="AU64" s="51">
        <v>100</v>
      </c>
      <c r="AV64" s="50">
        <v>95.027664184570298</v>
      </c>
      <c r="AW64" s="51">
        <v>229.45794671376547</v>
      </c>
      <c r="AX64" s="8"/>
      <c r="AZ64" s="1">
        <v>90</v>
      </c>
      <c r="BB64" s="82">
        <f t="shared" si="1"/>
        <v>37.017499999999998</v>
      </c>
    </row>
    <row r="65" spans="3:54" ht="15" customHeight="1" x14ac:dyDescent="0.25">
      <c r="C65" s="42"/>
      <c r="D65" s="43">
        <f>D64</f>
        <v>45752</v>
      </c>
      <c r="E65" s="44">
        <f>E64+2/24</f>
        <v>4.3333333333333348</v>
      </c>
      <c r="F65" s="45">
        <f t="shared" si="3"/>
        <v>45752.333333333452</v>
      </c>
      <c r="G65" s="52">
        <v>44</v>
      </c>
      <c r="H65" s="53">
        <v>39</v>
      </c>
      <c r="I65" s="54">
        <v>10.199999999999999</v>
      </c>
      <c r="J65" s="54">
        <v>200</v>
      </c>
      <c r="K65" s="55">
        <v>6.5</v>
      </c>
      <c r="L65" s="56">
        <v>39</v>
      </c>
      <c r="M65" s="54">
        <v>10.3</v>
      </c>
      <c r="N65" s="54">
        <v>300</v>
      </c>
      <c r="O65" s="57">
        <v>8.6999999999999993</v>
      </c>
      <c r="P65" s="53">
        <v>39</v>
      </c>
      <c r="Q65" s="54">
        <v>10.4</v>
      </c>
      <c r="R65" s="55">
        <v>0</v>
      </c>
      <c r="S65" s="55">
        <v>7.2</v>
      </c>
      <c r="T65" s="57">
        <v>18.75</v>
      </c>
      <c r="U65" s="56">
        <v>39</v>
      </c>
      <c r="V65" s="54">
        <v>10.4</v>
      </c>
      <c r="W65" s="55">
        <v>0</v>
      </c>
      <c r="X65" s="55">
        <v>7.2</v>
      </c>
      <c r="Y65" s="57">
        <v>16.25</v>
      </c>
      <c r="Z65" s="53">
        <v>39</v>
      </c>
      <c r="AA65" s="54">
        <v>10.4</v>
      </c>
      <c r="AB65" s="55">
        <v>0</v>
      </c>
      <c r="AC65" s="55">
        <v>6.5</v>
      </c>
      <c r="AD65" s="57">
        <v>11.25</v>
      </c>
      <c r="AE65" s="56">
        <v>38</v>
      </c>
      <c r="AF65" s="54">
        <v>10.5</v>
      </c>
      <c r="AG65" s="55">
        <v>0</v>
      </c>
      <c r="AH65" s="55">
        <v>6.3</v>
      </c>
      <c r="AI65" s="57">
        <v>8.75</v>
      </c>
      <c r="AJ65" s="56">
        <v>39</v>
      </c>
      <c r="AK65" s="54">
        <v>10.5</v>
      </c>
      <c r="AL65" s="54">
        <v>0</v>
      </c>
      <c r="AM65" s="54">
        <v>7.2</v>
      </c>
      <c r="AN65" s="57">
        <v>11.25</v>
      </c>
      <c r="AO65" s="53">
        <v>39</v>
      </c>
      <c r="AP65" s="54">
        <v>10.5</v>
      </c>
      <c r="AQ65" s="54">
        <v>120</v>
      </c>
      <c r="AR65" s="54">
        <v>8.5</v>
      </c>
      <c r="AS65" s="54">
        <v>20</v>
      </c>
      <c r="AT65" s="56">
        <v>31</v>
      </c>
      <c r="AU65" s="57">
        <v>50</v>
      </c>
      <c r="AV65" s="56">
        <v>95.161941528320298</v>
      </c>
      <c r="AW65" s="57">
        <v>231.55333563486735</v>
      </c>
      <c r="AX65" s="8"/>
      <c r="AZ65" s="1">
        <v>90</v>
      </c>
      <c r="BB65" s="82">
        <f t="shared" si="1"/>
        <v>38.122500000000002</v>
      </c>
    </row>
    <row r="66" spans="3:54" ht="15" customHeight="1" x14ac:dyDescent="0.25">
      <c r="C66" s="42"/>
      <c r="D66" s="43">
        <f>D64</f>
        <v>45752</v>
      </c>
      <c r="E66" s="44">
        <f t="shared" ref="E66:E75" si="7">E65+2/24</f>
        <v>4.4166666666666679</v>
      </c>
      <c r="F66" s="45">
        <f t="shared" si="3"/>
        <v>45752.416666666788</v>
      </c>
      <c r="G66" s="52">
        <v>40</v>
      </c>
      <c r="H66" s="53">
        <v>39</v>
      </c>
      <c r="I66" s="54">
        <v>10.5</v>
      </c>
      <c r="J66" s="54">
        <v>300</v>
      </c>
      <c r="K66" s="55">
        <v>6.8</v>
      </c>
      <c r="L66" s="56">
        <v>40</v>
      </c>
      <c r="M66" s="54">
        <v>10.199999999999999</v>
      </c>
      <c r="N66" s="54">
        <v>400</v>
      </c>
      <c r="O66" s="57">
        <v>8.4</v>
      </c>
      <c r="P66" s="53">
        <v>39</v>
      </c>
      <c r="Q66" s="54">
        <v>10.3</v>
      </c>
      <c r="R66" s="55">
        <v>0</v>
      </c>
      <c r="S66" s="55">
        <v>7</v>
      </c>
      <c r="T66" s="57">
        <v>18</v>
      </c>
      <c r="U66" s="56">
        <v>39</v>
      </c>
      <c r="V66" s="54">
        <v>10.4</v>
      </c>
      <c r="W66" s="55">
        <v>0</v>
      </c>
      <c r="X66" s="55">
        <v>7.1</v>
      </c>
      <c r="Y66" s="57">
        <v>15</v>
      </c>
      <c r="Z66" s="53">
        <v>38</v>
      </c>
      <c r="AA66" s="54">
        <v>10.4</v>
      </c>
      <c r="AB66" s="55">
        <v>0</v>
      </c>
      <c r="AC66" s="55">
        <v>6.2</v>
      </c>
      <c r="AD66" s="57">
        <v>11.25</v>
      </c>
      <c r="AE66" s="56">
        <v>38</v>
      </c>
      <c r="AF66" s="54">
        <v>10.3</v>
      </c>
      <c r="AG66" s="55">
        <v>0</v>
      </c>
      <c r="AH66" s="55">
        <v>6.8</v>
      </c>
      <c r="AI66" s="57">
        <v>10</v>
      </c>
      <c r="AJ66" s="56">
        <v>38</v>
      </c>
      <c r="AK66" s="54">
        <v>10.4</v>
      </c>
      <c r="AL66" s="54">
        <v>0</v>
      </c>
      <c r="AM66" s="54">
        <v>7</v>
      </c>
      <c r="AN66" s="57">
        <v>11.25</v>
      </c>
      <c r="AO66" s="53">
        <v>37</v>
      </c>
      <c r="AP66" s="54">
        <v>10.4</v>
      </c>
      <c r="AQ66" s="54">
        <v>130</v>
      </c>
      <c r="AR66" s="54">
        <v>8.1</v>
      </c>
      <c r="AS66" s="54">
        <v>20</v>
      </c>
      <c r="AT66" s="56">
        <v>30</v>
      </c>
      <c r="AU66" s="57">
        <v>50</v>
      </c>
      <c r="AV66" s="56">
        <v>95.076492309570298</v>
      </c>
      <c r="AW66" s="57">
        <v>228.52490851084394</v>
      </c>
      <c r="AX66" s="8"/>
      <c r="AZ66" s="1">
        <v>90</v>
      </c>
      <c r="BB66" s="82">
        <f t="shared" si="1"/>
        <v>37.790999999999997</v>
      </c>
    </row>
    <row r="67" spans="3:54" ht="15" customHeight="1" x14ac:dyDescent="0.25">
      <c r="C67" s="42"/>
      <c r="D67" s="43">
        <f>D64</f>
        <v>45752</v>
      </c>
      <c r="E67" s="44">
        <f t="shared" si="7"/>
        <v>4.5000000000000009</v>
      </c>
      <c r="F67" s="45">
        <f t="shared" si="3"/>
        <v>45752.500000000124</v>
      </c>
      <c r="G67" s="52">
        <v>41</v>
      </c>
      <c r="H67" s="53">
        <v>39</v>
      </c>
      <c r="I67" s="54">
        <v>10.4</v>
      </c>
      <c r="J67" s="54">
        <v>250</v>
      </c>
      <c r="K67" s="55">
        <v>6.2</v>
      </c>
      <c r="L67" s="56">
        <v>40</v>
      </c>
      <c r="M67" s="54">
        <v>10.5</v>
      </c>
      <c r="N67" s="54">
        <v>350</v>
      </c>
      <c r="O67" s="57">
        <v>8.1</v>
      </c>
      <c r="P67" s="53">
        <v>39</v>
      </c>
      <c r="Q67" s="54">
        <v>10.199999999999999</v>
      </c>
      <c r="R67" s="55">
        <v>0</v>
      </c>
      <c r="S67" s="55">
        <v>6.9</v>
      </c>
      <c r="T67" s="57">
        <v>18.7</v>
      </c>
      <c r="U67" s="56">
        <v>37</v>
      </c>
      <c r="V67" s="54">
        <v>10.3</v>
      </c>
      <c r="W67" s="55">
        <v>0</v>
      </c>
      <c r="X67" s="55">
        <v>7</v>
      </c>
      <c r="Y67" s="57">
        <v>15.7</v>
      </c>
      <c r="Z67" s="53">
        <v>37</v>
      </c>
      <c r="AA67" s="54">
        <v>10.3</v>
      </c>
      <c r="AB67" s="55">
        <v>0</v>
      </c>
      <c r="AC67" s="55">
        <v>6.4</v>
      </c>
      <c r="AD67" s="57">
        <v>12.5</v>
      </c>
      <c r="AE67" s="56">
        <v>38</v>
      </c>
      <c r="AF67" s="54">
        <v>10.3</v>
      </c>
      <c r="AG67" s="55">
        <v>0</v>
      </c>
      <c r="AH67" s="55">
        <v>6.5</v>
      </c>
      <c r="AI67" s="57">
        <v>9.25</v>
      </c>
      <c r="AJ67" s="56">
        <v>38</v>
      </c>
      <c r="AK67" s="54">
        <v>10.199999999999999</v>
      </c>
      <c r="AL67" s="54">
        <v>0</v>
      </c>
      <c r="AM67" s="54">
        <v>6.9</v>
      </c>
      <c r="AN67" s="57">
        <v>11.25</v>
      </c>
      <c r="AO67" s="53">
        <v>38</v>
      </c>
      <c r="AP67" s="54">
        <v>10.3</v>
      </c>
      <c r="AQ67" s="54">
        <v>120</v>
      </c>
      <c r="AR67" s="54">
        <v>8.6999999999999993</v>
      </c>
      <c r="AS67" s="54">
        <v>18.7</v>
      </c>
      <c r="AT67" s="56">
        <v>31</v>
      </c>
      <c r="AU67" s="57">
        <v>90</v>
      </c>
      <c r="AV67" s="56">
        <v>95.113113403320298</v>
      </c>
      <c r="AW67" s="57">
        <v>229.11639111836752</v>
      </c>
      <c r="AX67" s="8"/>
      <c r="AZ67" s="1">
        <v>90</v>
      </c>
      <c r="BB67" s="82">
        <f t="shared" si="1"/>
        <v>38.056199999999997</v>
      </c>
    </row>
    <row r="68" spans="3:54" ht="15" customHeight="1" x14ac:dyDescent="0.25">
      <c r="C68" s="42"/>
      <c r="D68" s="43">
        <f>D64</f>
        <v>45752</v>
      </c>
      <c r="E68" s="44">
        <f t="shared" si="7"/>
        <v>4.5833333333333339</v>
      </c>
      <c r="F68" s="45">
        <f t="shared" si="3"/>
        <v>45752.583333333459</v>
      </c>
      <c r="G68" s="52">
        <v>38</v>
      </c>
      <c r="H68" s="53">
        <v>38</v>
      </c>
      <c r="I68" s="54">
        <v>10.3</v>
      </c>
      <c r="J68" s="54">
        <v>250</v>
      </c>
      <c r="K68" s="55">
        <v>6.8</v>
      </c>
      <c r="L68" s="56">
        <v>42</v>
      </c>
      <c r="M68" s="54">
        <v>10.199999999999999</v>
      </c>
      <c r="N68" s="54">
        <v>450</v>
      </c>
      <c r="O68" s="57">
        <v>8</v>
      </c>
      <c r="P68" s="53">
        <v>39</v>
      </c>
      <c r="Q68" s="54">
        <v>10.3</v>
      </c>
      <c r="R68" s="55">
        <v>0</v>
      </c>
      <c r="S68" s="55">
        <v>7.4</v>
      </c>
      <c r="T68" s="57">
        <v>18</v>
      </c>
      <c r="U68" s="56">
        <v>38</v>
      </c>
      <c r="V68" s="54">
        <v>10.199999999999999</v>
      </c>
      <c r="W68" s="55">
        <v>0</v>
      </c>
      <c r="X68" s="55">
        <v>7.1</v>
      </c>
      <c r="Y68" s="57">
        <v>15</v>
      </c>
      <c r="Z68" s="53">
        <v>39</v>
      </c>
      <c r="AA68" s="54">
        <v>10.3</v>
      </c>
      <c r="AB68" s="55">
        <v>0</v>
      </c>
      <c r="AC68" s="55">
        <v>7</v>
      </c>
      <c r="AD68" s="57">
        <v>12.5</v>
      </c>
      <c r="AE68" s="56">
        <v>37</v>
      </c>
      <c r="AF68" s="54">
        <v>10.3</v>
      </c>
      <c r="AG68" s="55">
        <v>0</v>
      </c>
      <c r="AH68" s="55">
        <v>6.7</v>
      </c>
      <c r="AI68" s="57">
        <v>9.35</v>
      </c>
      <c r="AJ68" s="56">
        <v>37</v>
      </c>
      <c r="AK68" s="54">
        <v>10.199999999999999</v>
      </c>
      <c r="AL68" s="54">
        <v>0</v>
      </c>
      <c r="AM68" s="54">
        <v>7.2</v>
      </c>
      <c r="AN68" s="57">
        <v>9.25</v>
      </c>
      <c r="AO68" s="53">
        <v>37</v>
      </c>
      <c r="AP68" s="54">
        <v>10.5</v>
      </c>
      <c r="AQ68" s="54">
        <v>130</v>
      </c>
      <c r="AR68" s="54">
        <v>8.4</v>
      </c>
      <c r="AS68" s="54">
        <v>18.75</v>
      </c>
      <c r="AT68" s="56">
        <v>30</v>
      </c>
      <c r="AU68" s="57">
        <v>80</v>
      </c>
      <c r="AV68" s="56">
        <v>95.1416015625</v>
      </c>
      <c r="AW68" s="57">
        <v>235.28296248118085</v>
      </c>
      <c r="AX68" s="8"/>
      <c r="AZ68" s="1">
        <v>90</v>
      </c>
      <c r="BB68" s="82">
        <f t="shared" si="1"/>
        <v>36.619699999999995</v>
      </c>
    </row>
    <row r="69" spans="3:54" ht="15" customHeight="1" x14ac:dyDescent="0.25">
      <c r="C69" s="42"/>
      <c r="D69" s="43">
        <f>D64</f>
        <v>45752</v>
      </c>
      <c r="E69" s="44">
        <f t="shared" si="7"/>
        <v>4.666666666666667</v>
      </c>
      <c r="F69" s="45">
        <f t="shared" si="3"/>
        <v>45752.666666666795</v>
      </c>
      <c r="G69" s="52">
        <v>41</v>
      </c>
      <c r="H69" s="53">
        <v>39</v>
      </c>
      <c r="I69" s="54">
        <v>9.8000000000000007</v>
      </c>
      <c r="J69" s="54">
        <v>250</v>
      </c>
      <c r="K69" s="55">
        <v>7.9</v>
      </c>
      <c r="L69" s="56">
        <v>39</v>
      </c>
      <c r="M69" s="54">
        <v>10.4</v>
      </c>
      <c r="N69" s="54">
        <v>550</v>
      </c>
      <c r="O69" s="57">
        <v>8.1999999999999993</v>
      </c>
      <c r="P69" s="53">
        <v>39</v>
      </c>
      <c r="Q69" s="54">
        <v>10.3</v>
      </c>
      <c r="R69" s="55">
        <v>0</v>
      </c>
      <c r="S69" s="55">
        <v>7.9</v>
      </c>
      <c r="T69" s="57">
        <v>18.75</v>
      </c>
      <c r="U69" s="56">
        <v>39</v>
      </c>
      <c r="V69" s="54">
        <v>10.199999999999999</v>
      </c>
      <c r="W69" s="55">
        <v>0</v>
      </c>
      <c r="X69" s="55">
        <v>7.3</v>
      </c>
      <c r="Y69" s="57">
        <v>16.25</v>
      </c>
      <c r="Z69" s="53">
        <v>41</v>
      </c>
      <c r="AA69" s="54">
        <v>10.199999999999999</v>
      </c>
      <c r="AB69" s="55">
        <v>0</v>
      </c>
      <c r="AC69" s="55">
        <v>7.2</v>
      </c>
      <c r="AD69" s="57">
        <v>10</v>
      </c>
      <c r="AE69" s="56">
        <v>37</v>
      </c>
      <c r="AF69" s="54">
        <v>10.199999999999999</v>
      </c>
      <c r="AG69" s="55">
        <v>0</v>
      </c>
      <c r="AH69" s="55">
        <v>6.9</v>
      </c>
      <c r="AI69" s="57">
        <v>10</v>
      </c>
      <c r="AJ69" s="56">
        <v>37</v>
      </c>
      <c r="AK69" s="54">
        <v>10.3</v>
      </c>
      <c r="AL69" s="54">
        <v>0</v>
      </c>
      <c r="AM69" s="54">
        <v>7.5</v>
      </c>
      <c r="AN69" s="57">
        <v>8.75</v>
      </c>
      <c r="AO69" s="53">
        <v>39</v>
      </c>
      <c r="AP69" s="54">
        <v>10.1</v>
      </c>
      <c r="AQ69" s="54">
        <v>180</v>
      </c>
      <c r="AR69" s="54">
        <v>8</v>
      </c>
      <c r="AS69" s="54">
        <v>18.75</v>
      </c>
      <c r="AT69" s="56">
        <v>32</v>
      </c>
      <c r="AU69" s="57">
        <v>130</v>
      </c>
      <c r="AV69" s="56">
        <v>95.1171875</v>
      </c>
      <c r="AW69" s="57">
        <v>237.17833836873376</v>
      </c>
      <c r="AX69" s="8"/>
      <c r="AZ69" s="1">
        <v>90</v>
      </c>
      <c r="BB69" s="82">
        <f t="shared" si="1"/>
        <v>36.465000000000003</v>
      </c>
    </row>
    <row r="70" spans="3:54" ht="15" customHeight="1" x14ac:dyDescent="0.25">
      <c r="C70" s="42"/>
      <c r="D70" s="43">
        <f>D64</f>
        <v>45752</v>
      </c>
      <c r="E70" s="44">
        <f t="shared" si="7"/>
        <v>4.75</v>
      </c>
      <c r="F70" s="45">
        <f t="shared" si="3"/>
        <v>45752.750000000131</v>
      </c>
      <c r="G70" s="52">
        <v>43</v>
      </c>
      <c r="H70" s="53">
        <v>40</v>
      </c>
      <c r="I70" s="54">
        <v>11.2</v>
      </c>
      <c r="J70" s="54">
        <v>300</v>
      </c>
      <c r="K70" s="55">
        <v>7.2</v>
      </c>
      <c r="L70" s="56">
        <v>41</v>
      </c>
      <c r="M70" s="54">
        <v>10.4</v>
      </c>
      <c r="N70" s="54">
        <v>550</v>
      </c>
      <c r="O70" s="57">
        <v>7.9</v>
      </c>
      <c r="P70" s="53">
        <v>39</v>
      </c>
      <c r="Q70" s="54">
        <v>10.3</v>
      </c>
      <c r="R70" s="55">
        <v>0</v>
      </c>
      <c r="S70" s="55">
        <v>7.4</v>
      </c>
      <c r="T70" s="57">
        <v>18</v>
      </c>
      <c r="U70" s="56">
        <v>39</v>
      </c>
      <c r="V70" s="54">
        <v>10.3</v>
      </c>
      <c r="W70" s="55">
        <v>0</v>
      </c>
      <c r="X70" s="55">
        <v>7.1</v>
      </c>
      <c r="Y70" s="57">
        <v>15.7</v>
      </c>
      <c r="Z70" s="53">
        <v>41</v>
      </c>
      <c r="AA70" s="54">
        <v>10.199999999999999</v>
      </c>
      <c r="AB70" s="55">
        <v>0</v>
      </c>
      <c r="AC70" s="55">
        <v>6.8</v>
      </c>
      <c r="AD70" s="57">
        <v>11.25</v>
      </c>
      <c r="AE70" s="56">
        <v>37</v>
      </c>
      <c r="AF70" s="54">
        <v>10.199999999999999</v>
      </c>
      <c r="AG70" s="55">
        <v>0</v>
      </c>
      <c r="AH70" s="55">
        <v>6.4</v>
      </c>
      <c r="AI70" s="57">
        <v>10</v>
      </c>
      <c r="AJ70" s="56">
        <v>37</v>
      </c>
      <c r="AK70" s="54">
        <v>10.3</v>
      </c>
      <c r="AL70" s="54">
        <v>0</v>
      </c>
      <c r="AM70" s="54">
        <v>7.4</v>
      </c>
      <c r="AN70" s="57">
        <v>9.25</v>
      </c>
      <c r="AO70" s="53">
        <v>38</v>
      </c>
      <c r="AP70" s="54">
        <v>10</v>
      </c>
      <c r="AQ70" s="54">
        <v>160</v>
      </c>
      <c r="AR70" s="54">
        <v>8.5</v>
      </c>
      <c r="AS70" s="54">
        <v>18.75</v>
      </c>
      <c r="AT70" s="56">
        <v>30</v>
      </c>
      <c r="AU70" s="57">
        <v>120</v>
      </c>
      <c r="AV70" s="56">
        <v>95.133460998535199</v>
      </c>
      <c r="AW70" s="57">
        <v>235.94786961873376</v>
      </c>
      <c r="AX70" s="8"/>
      <c r="AZ70" s="1">
        <v>90</v>
      </c>
      <c r="BB70" s="82">
        <f t="shared" si="1"/>
        <v>36.663899999999998</v>
      </c>
    </row>
    <row r="71" spans="3:54" ht="15" customHeight="1" x14ac:dyDescent="0.25">
      <c r="C71" s="42"/>
      <c r="D71" s="43">
        <f>D64</f>
        <v>45752</v>
      </c>
      <c r="E71" s="44">
        <f t="shared" si="7"/>
        <v>4.833333333333333</v>
      </c>
      <c r="F71" s="45">
        <f t="shared" si="3"/>
        <v>45752.833333333467</v>
      </c>
      <c r="G71" s="52">
        <v>41</v>
      </c>
      <c r="H71" s="53">
        <v>40</v>
      </c>
      <c r="I71" s="54">
        <v>11.4</v>
      </c>
      <c r="J71" s="54">
        <v>350</v>
      </c>
      <c r="K71" s="55">
        <v>6.4</v>
      </c>
      <c r="L71" s="56">
        <v>38</v>
      </c>
      <c r="M71" s="54">
        <v>11</v>
      </c>
      <c r="N71" s="54">
        <v>450</v>
      </c>
      <c r="O71" s="57">
        <v>6.2</v>
      </c>
      <c r="P71" s="53">
        <v>37</v>
      </c>
      <c r="Q71" s="54">
        <v>10.6</v>
      </c>
      <c r="R71" s="55">
        <v>0</v>
      </c>
      <c r="S71" s="55">
        <v>6</v>
      </c>
      <c r="T71" s="57">
        <v>17.5</v>
      </c>
      <c r="U71" s="56">
        <v>38</v>
      </c>
      <c r="V71" s="54">
        <v>10.5</v>
      </c>
      <c r="W71" s="55">
        <v>0</v>
      </c>
      <c r="X71" s="55">
        <v>5.8</v>
      </c>
      <c r="Y71" s="57">
        <v>17.5</v>
      </c>
      <c r="Z71" s="53">
        <v>37</v>
      </c>
      <c r="AA71" s="54">
        <v>10.4</v>
      </c>
      <c r="AB71" s="55">
        <v>0</v>
      </c>
      <c r="AC71" s="55">
        <v>5.4</v>
      </c>
      <c r="AD71" s="57">
        <v>10.75</v>
      </c>
      <c r="AE71" s="56">
        <v>36</v>
      </c>
      <c r="AF71" s="54">
        <v>10.4</v>
      </c>
      <c r="AG71" s="55">
        <v>0</v>
      </c>
      <c r="AH71" s="55">
        <v>5.6</v>
      </c>
      <c r="AI71" s="57">
        <v>8.5</v>
      </c>
      <c r="AJ71" s="56">
        <v>36</v>
      </c>
      <c r="AK71" s="54">
        <v>10.3</v>
      </c>
      <c r="AL71" s="54">
        <v>0</v>
      </c>
      <c r="AM71" s="54">
        <v>5.2</v>
      </c>
      <c r="AN71" s="57">
        <v>12</v>
      </c>
      <c r="AO71" s="53">
        <v>36</v>
      </c>
      <c r="AP71" s="54">
        <v>10.199999999999999</v>
      </c>
      <c r="AQ71" s="54">
        <v>120</v>
      </c>
      <c r="AR71" s="54">
        <v>6.8</v>
      </c>
      <c r="AS71" s="54">
        <v>22</v>
      </c>
      <c r="AT71" s="56">
        <v>30</v>
      </c>
      <c r="AU71" s="57">
        <v>90</v>
      </c>
      <c r="AV71" s="56">
        <v>95.161941528320298</v>
      </c>
      <c r="AW71" s="57">
        <v>238.14634106953937</v>
      </c>
      <c r="AX71" s="8"/>
      <c r="AZ71" s="1">
        <v>90</v>
      </c>
      <c r="BB71" s="82">
        <f t="shared" si="1"/>
        <v>39.006500000000003</v>
      </c>
    </row>
    <row r="72" spans="3:54" ht="15" customHeight="1" x14ac:dyDescent="0.25">
      <c r="C72" s="42"/>
      <c r="D72" s="43">
        <f>D64</f>
        <v>45752</v>
      </c>
      <c r="E72" s="44">
        <f t="shared" si="7"/>
        <v>4.9166666666666661</v>
      </c>
      <c r="F72" s="45">
        <f t="shared" si="3"/>
        <v>45752.916666666802</v>
      </c>
      <c r="G72" s="52">
        <v>41</v>
      </c>
      <c r="H72" s="53">
        <v>39</v>
      </c>
      <c r="I72" s="54">
        <v>11</v>
      </c>
      <c r="J72" s="54">
        <v>400</v>
      </c>
      <c r="K72" s="55">
        <v>6.6</v>
      </c>
      <c r="L72" s="56">
        <v>37</v>
      </c>
      <c r="M72" s="54">
        <v>11</v>
      </c>
      <c r="N72" s="54">
        <v>450</v>
      </c>
      <c r="O72" s="57">
        <v>6.4</v>
      </c>
      <c r="P72" s="53">
        <v>38</v>
      </c>
      <c r="Q72" s="54">
        <v>10.7</v>
      </c>
      <c r="R72" s="55">
        <v>0</v>
      </c>
      <c r="S72" s="55">
        <v>6.2</v>
      </c>
      <c r="T72" s="57">
        <v>17.5</v>
      </c>
      <c r="U72" s="56">
        <v>37</v>
      </c>
      <c r="V72" s="54">
        <v>10.6</v>
      </c>
      <c r="W72" s="55">
        <v>0</v>
      </c>
      <c r="X72" s="55">
        <v>6</v>
      </c>
      <c r="Y72" s="57">
        <v>17</v>
      </c>
      <c r="Z72" s="53">
        <v>37</v>
      </c>
      <c r="AA72" s="54">
        <v>10.4</v>
      </c>
      <c r="AB72" s="55">
        <v>0</v>
      </c>
      <c r="AC72" s="55">
        <v>5.4</v>
      </c>
      <c r="AD72" s="57">
        <v>11.25</v>
      </c>
      <c r="AE72" s="56">
        <v>36</v>
      </c>
      <c r="AF72" s="54">
        <v>10.3</v>
      </c>
      <c r="AG72" s="55">
        <v>0</v>
      </c>
      <c r="AH72" s="55">
        <v>6.1</v>
      </c>
      <c r="AI72" s="57">
        <v>8</v>
      </c>
      <c r="AJ72" s="56">
        <v>37</v>
      </c>
      <c r="AK72" s="54">
        <v>10.3</v>
      </c>
      <c r="AL72" s="54">
        <v>0</v>
      </c>
      <c r="AM72" s="54">
        <v>5.3</v>
      </c>
      <c r="AN72" s="57">
        <v>12.5</v>
      </c>
      <c r="AO72" s="53">
        <v>37</v>
      </c>
      <c r="AP72" s="54">
        <v>10.4</v>
      </c>
      <c r="AQ72" s="54">
        <v>110</v>
      </c>
      <c r="AR72" s="54">
        <v>6.7</v>
      </c>
      <c r="AS72" s="54">
        <v>22</v>
      </c>
      <c r="AT72" s="56">
        <v>29</v>
      </c>
      <c r="AU72" s="57">
        <v>80</v>
      </c>
      <c r="AV72" s="56">
        <v>94.771316528320298</v>
      </c>
      <c r="AW72" s="57">
        <v>238.3522620519002</v>
      </c>
      <c r="AX72" s="8"/>
      <c r="AZ72" s="1">
        <v>90</v>
      </c>
      <c r="BB72" s="82">
        <f t="shared" si="1"/>
        <v>39.006500000000003</v>
      </c>
    </row>
    <row r="73" spans="3:54" ht="15" customHeight="1" x14ac:dyDescent="0.25">
      <c r="C73" s="42"/>
      <c r="D73" s="43">
        <f>D64</f>
        <v>45752</v>
      </c>
      <c r="E73" s="44">
        <f t="shared" si="7"/>
        <v>4.9999999999999991</v>
      </c>
      <c r="F73" s="45">
        <f t="shared" si="3"/>
        <v>45753.000000000138</v>
      </c>
      <c r="G73" s="52">
        <v>41</v>
      </c>
      <c r="H73" s="53">
        <v>40</v>
      </c>
      <c r="I73" s="54">
        <v>11.1</v>
      </c>
      <c r="J73" s="54">
        <v>400</v>
      </c>
      <c r="K73" s="55">
        <v>7.1</v>
      </c>
      <c r="L73" s="56">
        <v>38</v>
      </c>
      <c r="M73" s="54">
        <v>11.1</v>
      </c>
      <c r="N73" s="54">
        <v>450</v>
      </c>
      <c r="O73" s="57">
        <v>6.9</v>
      </c>
      <c r="P73" s="53">
        <v>38</v>
      </c>
      <c r="Q73" s="54">
        <v>10.7</v>
      </c>
      <c r="R73" s="55">
        <v>0</v>
      </c>
      <c r="S73" s="55">
        <v>6.8</v>
      </c>
      <c r="T73" s="57">
        <v>17</v>
      </c>
      <c r="U73" s="56">
        <v>37</v>
      </c>
      <c r="V73" s="54">
        <v>10.6</v>
      </c>
      <c r="W73" s="55">
        <v>0</v>
      </c>
      <c r="X73" s="55">
        <v>6.6</v>
      </c>
      <c r="Y73" s="57">
        <v>16.25</v>
      </c>
      <c r="Z73" s="53">
        <v>36</v>
      </c>
      <c r="AA73" s="54">
        <v>10.5</v>
      </c>
      <c r="AB73" s="55">
        <v>0</v>
      </c>
      <c r="AC73" s="55">
        <v>6.1</v>
      </c>
      <c r="AD73" s="57" t="s">
        <v>40</v>
      </c>
      <c r="AE73" s="56">
        <v>35</v>
      </c>
      <c r="AF73" s="54">
        <v>10.4</v>
      </c>
      <c r="AG73" s="55">
        <v>0</v>
      </c>
      <c r="AH73" s="55">
        <v>6.3</v>
      </c>
      <c r="AI73" s="57">
        <v>8.75</v>
      </c>
      <c r="AJ73" s="56">
        <v>36</v>
      </c>
      <c r="AK73" s="54">
        <v>10.4</v>
      </c>
      <c r="AL73" s="54">
        <v>0</v>
      </c>
      <c r="AM73" s="54">
        <v>5.8</v>
      </c>
      <c r="AN73" s="57">
        <v>11.75</v>
      </c>
      <c r="AO73" s="53">
        <v>36</v>
      </c>
      <c r="AP73" s="54">
        <v>10.4</v>
      </c>
      <c r="AQ73" s="54">
        <v>110</v>
      </c>
      <c r="AR73" s="54">
        <v>6.3</v>
      </c>
      <c r="AS73" s="54">
        <v>20.25</v>
      </c>
      <c r="AT73" s="56">
        <v>28</v>
      </c>
      <c r="AU73" s="57">
        <v>80</v>
      </c>
      <c r="AV73" s="56">
        <v>95.003250122070298</v>
      </c>
      <c r="AW73" s="57">
        <v>235.32238744099939</v>
      </c>
      <c r="AX73" s="8"/>
      <c r="AZ73" s="1">
        <v>90</v>
      </c>
      <c r="BB73" s="82" t="e">
        <f t="shared" si="1"/>
        <v>#VALUE!</v>
      </c>
    </row>
    <row r="74" spans="3:54" ht="15" customHeight="1" x14ac:dyDescent="0.25">
      <c r="C74" s="42"/>
      <c r="D74" s="43">
        <f>D64</f>
        <v>45752</v>
      </c>
      <c r="E74" s="44">
        <f t="shared" si="7"/>
        <v>5.0833333333333321</v>
      </c>
      <c r="F74" s="45">
        <f t="shared" si="3"/>
        <v>45753.083333333474</v>
      </c>
      <c r="G74" s="52">
        <v>40</v>
      </c>
      <c r="H74" s="53">
        <v>40</v>
      </c>
      <c r="I74" s="54">
        <v>10.7</v>
      </c>
      <c r="J74" s="54">
        <v>350</v>
      </c>
      <c r="K74" s="55">
        <v>7.2</v>
      </c>
      <c r="L74" s="56">
        <v>39</v>
      </c>
      <c r="M74" s="54">
        <v>10.8</v>
      </c>
      <c r="N74" s="54">
        <v>400</v>
      </c>
      <c r="O74" s="57">
        <v>6.3</v>
      </c>
      <c r="P74" s="53">
        <v>37</v>
      </c>
      <c r="Q74" s="54">
        <v>10.6</v>
      </c>
      <c r="R74" s="55">
        <v>0</v>
      </c>
      <c r="S74" s="55">
        <v>6.1</v>
      </c>
      <c r="T74" s="57">
        <v>17</v>
      </c>
      <c r="U74" s="56">
        <v>38</v>
      </c>
      <c r="V74" s="54">
        <v>10.5</v>
      </c>
      <c r="W74" s="55">
        <v>0</v>
      </c>
      <c r="X74" s="55">
        <v>6.3</v>
      </c>
      <c r="Y74" s="57">
        <v>17.5</v>
      </c>
      <c r="Z74" s="53">
        <v>37</v>
      </c>
      <c r="AA74" s="54">
        <v>10.6</v>
      </c>
      <c r="AB74" s="55">
        <v>0</v>
      </c>
      <c r="AC74" s="55">
        <v>6.2</v>
      </c>
      <c r="AD74" s="57">
        <v>10.75</v>
      </c>
      <c r="AE74" s="56">
        <v>36</v>
      </c>
      <c r="AF74" s="54">
        <v>10.4</v>
      </c>
      <c r="AG74" s="55">
        <v>0</v>
      </c>
      <c r="AH74" s="55">
        <v>5.8</v>
      </c>
      <c r="AI74" s="57">
        <v>8.5</v>
      </c>
      <c r="AJ74" s="56">
        <v>37</v>
      </c>
      <c r="AK74" s="54">
        <v>10.3</v>
      </c>
      <c r="AL74" s="54">
        <v>0</v>
      </c>
      <c r="AM74" s="54">
        <v>5.7</v>
      </c>
      <c r="AN74" s="57">
        <v>12</v>
      </c>
      <c r="AO74" s="53">
        <v>37</v>
      </c>
      <c r="AP74" s="54">
        <v>10.3</v>
      </c>
      <c r="AQ74" s="54">
        <v>110</v>
      </c>
      <c r="AR74" s="54">
        <v>6.9</v>
      </c>
      <c r="AS74" s="54">
        <v>22</v>
      </c>
      <c r="AT74" s="56">
        <v>30</v>
      </c>
      <c r="AU74" s="57">
        <v>90</v>
      </c>
      <c r="AV74" s="56">
        <v>95.015457153320298</v>
      </c>
      <c r="AW74" s="57">
        <v>234.31737047831217</v>
      </c>
      <c r="AX74" s="8"/>
      <c r="AZ74" s="1">
        <v>90</v>
      </c>
      <c r="BB74" s="82">
        <f t="shared" si="1"/>
        <v>38.785499999999999</v>
      </c>
    </row>
    <row r="75" spans="3:54" ht="15" customHeight="1" x14ac:dyDescent="0.25">
      <c r="C75" s="42"/>
      <c r="D75" s="69">
        <f>D64</f>
        <v>45752</v>
      </c>
      <c r="E75" s="70">
        <f t="shared" si="7"/>
        <v>5.1666666666666652</v>
      </c>
      <c r="F75" s="71">
        <f t="shared" si="3"/>
        <v>45753.16666666681</v>
      </c>
      <c r="G75" s="60">
        <v>40</v>
      </c>
      <c r="H75" s="61">
        <v>41</v>
      </c>
      <c r="I75" s="62">
        <v>10.4</v>
      </c>
      <c r="J75" s="62">
        <v>300</v>
      </c>
      <c r="K75" s="63">
        <v>7.1</v>
      </c>
      <c r="L75" s="64">
        <v>37</v>
      </c>
      <c r="M75" s="62">
        <v>10.6</v>
      </c>
      <c r="N75" s="62">
        <v>350</v>
      </c>
      <c r="O75" s="65">
        <v>6.5</v>
      </c>
      <c r="P75" s="61">
        <v>38</v>
      </c>
      <c r="Q75" s="62">
        <v>10.6</v>
      </c>
      <c r="R75" s="63">
        <v>0</v>
      </c>
      <c r="S75" s="63">
        <v>6.3</v>
      </c>
      <c r="T75" s="65">
        <v>16.25</v>
      </c>
      <c r="U75" s="64">
        <v>37</v>
      </c>
      <c r="V75" s="62">
        <v>10.8</v>
      </c>
      <c r="W75" s="63">
        <v>0</v>
      </c>
      <c r="X75" s="63">
        <v>6.3</v>
      </c>
      <c r="Y75" s="65">
        <v>17</v>
      </c>
      <c r="Z75" s="61">
        <v>36</v>
      </c>
      <c r="AA75" s="62">
        <v>10.7</v>
      </c>
      <c r="AB75" s="63">
        <v>0</v>
      </c>
      <c r="AC75" s="63">
        <v>6.1</v>
      </c>
      <c r="AD75" s="65">
        <v>12</v>
      </c>
      <c r="AE75" s="64">
        <v>37</v>
      </c>
      <c r="AF75" s="62">
        <v>10.4</v>
      </c>
      <c r="AG75" s="63">
        <v>0</v>
      </c>
      <c r="AH75" s="63">
        <v>5.5</v>
      </c>
      <c r="AI75" s="65">
        <v>8.75</v>
      </c>
      <c r="AJ75" s="64">
        <v>36</v>
      </c>
      <c r="AK75" s="62">
        <v>10.4</v>
      </c>
      <c r="AL75" s="62">
        <v>0</v>
      </c>
      <c r="AM75" s="62">
        <v>5.4</v>
      </c>
      <c r="AN75" s="65">
        <v>9.5</v>
      </c>
      <c r="AO75" s="61">
        <v>37</v>
      </c>
      <c r="AP75" s="62">
        <v>10.4</v>
      </c>
      <c r="AQ75" s="62">
        <v>130</v>
      </c>
      <c r="AR75" s="62">
        <v>6.9</v>
      </c>
      <c r="AS75" s="62">
        <v>18.75</v>
      </c>
      <c r="AT75" s="64">
        <v>30</v>
      </c>
      <c r="AU75" s="65">
        <v>100</v>
      </c>
      <c r="AV75" s="64">
        <v>95.052078247070298</v>
      </c>
      <c r="AW75" s="65">
        <v>235.18554700215657</v>
      </c>
      <c r="AX75" s="8"/>
      <c r="AZ75" s="1">
        <v>90</v>
      </c>
      <c r="BB75" s="82">
        <f t="shared" si="1"/>
        <v>36.354500000000002</v>
      </c>
    </row>
    <row r="76" spans="3:54" ht="15" customHeight="1" x14ac:dyDescent="0.25">
      <c r="C76" s="42">
        <f>C64+1</f>
        <v>6</v>
      </c>
      <c r="D76" s="66">
        <f>DATE([4]Dash!$F$3,VLOOKUP([4]Dash!$E$3,[4]Abb!$C$3:$D$14,2,FALSE),C76)</f>
        <v>45753</v>
      </c>
      <c r="E76" s="67">
        <f>E75+2/24</f>
        <v>5.2499999999999982</v>
      </c>
      <c r="F76" s="68">
        <f t="shared" si="3"/>
        <v>45753.250000000146</v>
      </c>
      <c r="G76" s="46">
        <v>42</v>
      </c>
      <c r="H76" s="47">
        <v>40</v>
      </c>
      <c r="I76" s="48">
        <v>10.9</v>
      </c>
      <c r="J76" s="48">
        <v>350</v>
      </c>
      <c r="K76" s="49">
        <v>7.8</v>
      </c>
      <c r="L76" s="50">
        <v>39</v>
      </c>
      <c r="M76" s="48">
        <v>10.8</v>
      </c>
      <c r="N76" s="48">
        <v>350</v>
      </c>
      <c r="O76" s="51">
        <v>7.2</v>
      </c>
      <c r="P76" s="47">
        <v>39</v>
      </c>
      <c r="Q76" s="48">
        <v>10.7</v>
      </c>
      <c r="R76" s="48">
        <v>0</v>
      </c>
      <c r="S76" s="49">
        <v>6.5</v>
      </c>
      <c r="T76" s="51">
        <v>17</v>
      </c>
      <c r="U76" s="50">
        <v>38</v>
      </c>
      <c r="V76" s="48">
        <v>10.7</v>
      </c>
      <c r="W76" s="49">
        <v>0</v>
      </c>
      <c r="X76" s="49">
        <v>6.7</v>
      </c>
      <c r="Y76" s="51">
        <v>16.25</v>
      </c>
      <c r="Z76" s="47">
        <v>38</v>
      </c>
      <c r="AA76" s="48">
        <v>10.6</v>
      </c>
      <c r="AB76" s="49">
        <v>0</v>
      </c>
      <c r="AC76" s="49">
        <v>7</v>
      </c>
      <c r="AD76" s="51">
        <v>11.25</v>
      </c>
      <c r="AE76" s="50">
        <v>36</v>
      </c>
      <c r="AF76" s="48">
        <v>10.5</v>
      </c>
      <c r="AG76" s="49">
        <v>0</v>
      </c>
      <c r="AH76" s="49">
        <v>5.7</v>
      </c>
      <c r="AI76" s="51">
        <v>8.5</v>
      </c>
      <c r="AJ76" s="50">
        <v>36</v>
      </c>
      <c r="AK76" s="48">
        <v>10.5</v>
      </c>
      <c r="AL76" s="48">
        <v>0</v>
      </c>
      <c r="AM76" s="48">
        <v>6.1</v>
      </c>
      <c r="AN76" s="51">
        <v>10.5</v>
      </c>
      <c r="AO76" s="47">
        <v>36</v>
      </c>
      <c r="AP76" s="48">
        <v>10.5</v>
      </c>
      <c r="AQ76" s="48">
        <v>120</v>
      </c>
      <c r="AR76" s="48">
        <v>6.8</v>
      </c>
      <c r="AS76" s="48">
        <v>19</v>
      </c>
      <c r="AT76" s="50">
        <v>29</v>
      </c>
      <c r="AU76" s="51">
        <v>100</v>
      </c>
      <c r="AV76" s="50">
        <v>95.03173828125</v>
      </c>
      <c r="AW76" s="51">
        <v>233.31765988667806</v>
      </c>
      <c r="AX76" s="8"/>
      <c r="AZ76" s="1">
        <v>90</v>
      </c>
      <c r="BB76" s="82">
        <f t="shared" si="1"/>
        <v>36.465000000000003</v>
      </c>
    </row>
    <row r="77" spans="3:54" ht="15" customHeight="1" x14ac:dyDescent="0.25">
      <c r="C77" s="42"/>
      <c r="D77" s="43">
        <f>D76</f>
        <v>45753</v>
      </c>
      <c r="E77" s="44">
        <f>E76+2/24</f>
        <v>5.3333333333333313</v>
      </c>
      <c r="F77" s="45">
        <f t="shared" si="3"/>
        <v>45753.333333333481</v>
      </c>
      <c r="G77" s="52">
        <v>43</v>
      </c>
      <c r="H77" s="53">
        <v>40</v>
      </c>
      <c r="I77" s="54">
        <v>10.8</v>
      </c>
      <c r="J77" s="54">
        <v>350</v>
      </c>
      <c r="K77" s="55">
        <v>5.0999999999999996</v>
      </c>
      <c r="L77" s="56">
        <v>39</v>
      </c>
      <c r="M77" s="54">
        <v>10.8</v>
      </c>
      <c r="N77" s="54">
        <v>350</v>
      </c>
      <c r="O77" s="57">
        <v>4.9000000000000004</v>
      </c>
      <c r="P77" s="53">
        <v>40</v>
      </c>
      <c r="Q77" s="54">
        <v>10.8</v>
      </c>
      <c r="R77" s="54">
        <v>0</v>
      </c>
      <c r="S77" s="55">
        <v>5</v>
      </c>
      <c r="T77" s="57">
        <v>18</v>
      </c>
      <c r="U77" s="56">
        <v>39</v>
      </c>
      <c r="V77" s="54">
        <v>10.8</v>
      </c>
      <c r="W77" s="55">
        <v>0</v>
      </c>
      <c r="X77" s="55">
        <v>5.2</v>
      </c>
      <c r="Y77" s="57">
        <v>17.5</v>
      </c>
      <c r="Z77" s="53">
        <v>38</v>
      </c>
      <c r="AA77" s="54">
        <v>10.7</v>
      </c>
      <c r="AB77" s="55">
        <v>0</v>
      </c>
      <c r="AC77" s="55">
        <v>5.3</v>
      </c>
      <c r="AD77" s="57">
        <v>10</v>
      </c>
      <c r="AE77" s="56">
        <v>36</v>
      </c>
      <c r="AF77" s="54">
        <v>10.5</v>
      </c>
      <c r="AG77" s="55">
        <v>0</v>
      </c>
      <c r="AH77" s="55">
        <v>5.6</v>
      </c>
      <c r="AI77" s="57">
        <v>8.75</v>
      </c>
      <c r="AJ77" s="56">
        <v>38</v>
      </c>
      <c r="AK77" s="54">
        <v>10.4</v>
      </c>
      <c r="AL77" s="54">
        <v>0</v>
      </c>
      <c r="AM77" s="54">
        <v>5.0999999999999996</v>
      </c>
      <c r="AN77" s="57">
        <v>11.25</v>
      </c>
      <c r="AO77" s="53">
        <v>38</v>
      </c>
      <c r="AP77" s="54">
        <v>10.4</v>
      </c>
      <c r="AQ77" s="54">
        <v>130</v>
      </c>
      <c r="AR77" s="54">
        <v>5.3</v>
      </c>
      <c r="AS77" s="54">
        <v>20</v>
      </c>
      <c r="AT77" s="56">
        <v>31</v>
      </c>
      <c r="AU77" s="57">
        <v>140</v>
      </c>
      <c r="AV77" s="56">
        <v>95.076492309570298</v>
      </c>
      <c r="AW77" s="57">
        <v>220.34748122941201</v>
      </c>
      <c r="AX77" s="8"/>
      <c r="AZ77" s="1">
        <v>90</v>
      </c>
      <c r="BB77" s="82">
        <f t="shared" si="1"/>
        <v>37.790999999999997</v>
      </c>
    </row>
    <row r="78" spans="3:54" ht="15" customHeight="1" x14ac:dyDescent="0.25">
      <c r="C78" s="42"/>
      <c r="D78" s="43">
        <f>D76</f>
        <v>45753</v>
      </c>
      <c r="E78" s="44">
        <f t="shared" ref="E78:E87" si="8">E77+2/24</f>
        <v>5.4166666666666643</v>
      </c>
      <c r="F78" s="45">
        <f t="shared" si="3"/>
        <v>45753.416666666817</v>
      </c>
      <c r="G78" s="52">
        <v>42</v>
      </c>
      <c r="H78" s="53">
        <v>40</v>
      </c>
      <c r="I78" s="54">
        <v>10.6</v>
      </c>
      <c r="J78" s="54">
        <v>400</v>
      </c>
      <c r="K78" s="55">
        <v>5.8</v>
      </c>
      <c r="L78" s="56">
        <v>40</v>
      </c>
      <c r="M78" s="54">
        <v>10.7</v>
      </c>
      <c r="N78" s="54">
        <v>400</v>
      </c>
      <c r="O78" s="57">
        <v>5.8</v>
      </c>
      <c r="P78" s="53">
        <v>38</v>
      </c>
      <c r="Q78" s="54">
        <v>10.8</v>
      </c>
      <c r="R78" s="54">
        <v>0</v>
      </c>
      <c r="S78" s="55">
        <v>6.4</v>
      </c>
      <c r="T78" s="57">
        <v>11.5</v>
      </c>
      <c r="U78" s="56">
        <v>40</v>
      </c>
      <c r="V78" s="54">
        <v>10.8</v>
      </c>
      <c r="W78" s="55">
        <v>0</v>
      </c>
      <c r="X78" s="55">
        <v>6.6</v>
      </c>
      <c r="Y78" s="57">
        <v>17.5</v>
      </c>
      <c r="Z78" s="53">
        <v>39</v>
      </c>
      <c r="AA78" s="54">
        <v>10.8</v>
      </c>
      <c r="AB78" s="55">
        <v>0</v>
      </c>
      <c r="AC78" s="55">
        <v>6.8</v>
      </c>
      <c r="AD78" s="57">
        <v>10.25</v>
      </c>
      <c r="AE78" s="56">
        <v>37</v>
      </c>
      <c r="AF78" s="54">
        <v>10.6</v>
      </c>
      <c r="AG78" s="55">
        <v>0</v>
      </c>
      <c r="AH78" s="55">
        <v>6.2</v>
      </c>
      <c r="AI78" s="57">
        <v>8.5</v>
      </c>
      <c r="AJ78" s="56">
        <v>38</v>
      </c>
      <c r="AK78" s="54">
        <v>10.6</v>
      </c>
      <c r="AL78" s="54">
        <v>0</v>
      </c>
      <c r="AM78" s="54">
        <v>7.7</v>
      </c>
      <c r="AN78" s="57">
        <v>11.75</v>
      </c>
      <c r="AO78" s="53">
        <v>35</v>
      </c>
      <c r="AP78" s="54">
        <v>10.5</v>
      </c>
      <c r="AQ78" s="54">
        <v>180</v>
      </c>
      <c r="AR78" s="54">
        <v>6.7</v>
      </c>
      <c r="AS78" s="54">
        <v>20</v>
      </c>
      <c r="AT78" s="56">
        <v>30</v>
      </c>
      <c r="AU78" s="57">
        <v>140</v>
      </c>
      <c r="AV78" s="56">
        <v>95.00732421875</v>
      </c>
      <c r="AW78" s="57">
        <v>228.9822041052704</v>
      </c>
      <c r="AX78" s="8"/>
      <c r="AZ78" s="1">
        <v>90</v>
      </c>
      <c r="BB78" s="82">
        <f t="shared" si="1"/>
        <v>35.139000000000003</v>
      </c>
    </row>
    <row r="79" spans="3:54" ht="15" customHeight="1" x14ac:dyDescent="0.25">
      <c r="C79" s="42"/>
      <c r="D79" s="43">
        <f>D76</f>
        <v>45753</v>
      </c>
      <c r="E79" s="44">
        <f t="shared" si="8"/>
        <v>5.4999999999999973</v>
      </c>
      <c r="F79" s="45">
        <f t="shared" si="3"/>
        <v>45753.500000000153</v>
      </c>
      <c r="G79" s="52">
        <v>44</v>
      </c>
      <c r="H79" s="53">
        <v>42</v>
      </c>
      <c r="I79" s="54">
        <v>10.199999999999999</v>
      </c>
      <c r="J79" s="54">
        <v>450</v>
      </c>
      <c r="K79" s="55">
        <v>6.4</v>
      </c>
      <c r="L79" s="56">
        <v>40</v>
      </c>
      <c r="M79" s="54">
        <v>10.6</v>
      </c>
      <c r="N79" s="54">
        <v>400</v>
      </c>
      <c r="O79" s="57">
        <v>6.2</v>
      </c>
      <c r="P79" s="53">
        <v>39</v>
      </c>
      <c r="Q79" s="54">
        <v>10.5</v>
      </c>
      <c r="R79" s="54">
        <v>0</v>
      </c>
      <c r="S79" s="55">
        <v>6.7</v>
      </c>
      <c r="T79" s="57">
        <v>10</v>
      </c>
      <c r="U79" s="56">
        <v>41</v>
      </c>
      <c r="V79" s="54">
        <v>10.8</v>
      </c>
      <c r="W79" s="55">
        <v>0</v>
      </c>
      <c r="X79" s="55">
        <v>6.2</v>
      </c>
      <c r="Y79" s="57">
        <v>17.5</v>
      </c>
      <c r="Z79" s="53">
        <v>40</v>
      </c>
      <c r="AA79" s="54">
        <v>10.8</v>
      </c>
      <c r="AB79" s="55">
        <v>0</v>
      </c>
      <c r="AC79" s="55">
        <v>6.9</v>
      </c>
      <c r="AD79" s="57">
        <v>10.25</v>
      </c>
      <c r="AE79" s="56">
        <v>37</v>
      </c>
      <c r="AF79" s="54">
        <v>10.7</v>
      </c>
      <c r="AG79" s="55">
        <v>0</v>
      </c>
      <c r="AH79" s="55">
        <v>6.6</v>
      </c>
      <c r="AI79" s="57">
        <v>8.5</v>
      </c>
      <c r="AJ79" s="56">
        <v>39</v>
      </c>
      <c r="AK79" s="54">
        <v>10.7</v>
      </c>
      <c r="AL79" s="54">
        <v>0</v>
      </c>
      <c r="AM79" s="54">
        <v>7.2</v>
      </c>
      <c r="AN79" s="57">
        <v>11.5</v>
      </c>
      <c r="AO79" s="53">
        <v>37</v>
      </c>
      <c r="AP79" s="54">
        <v>10.6</v>
      </c>
      <c r="AQ79" s="54">
        <v>160</v>
      </c>
      <c r="AR79" s="54">
        <v>6.8</v>
      </c>
      <c r="AS79" s="54">
        <v>19.5</v>
      </c>
      <c r="AT79" s="56">
        <v>20</v>
      </c>
      <c r="AU79" s="57">
        <v>120</v>
      </c>
      <c r="AV79" s="56">
        <v>94.637039184570298</v>
      </c>
      <c r="AW79" s="57">
        <v>261.41701596110306</v>
      </c>
      <c r="AX79" s="8"/>
      <c r="AZ79" s="1">
        <v>90</v>
      </c>
      <c r="BB79" s="82">
        <f t="shared" si="1"/>
        <v>34.144500000000001</v>
      </c>
    </row>
    <row r="80" spans="3:54" ht="15" customHeight="1" x14ac:dyDescent="0.25">
      <c r="C80" s="42"/>
      <c r="D80" s="43">
        <f>D76</f>
        <v>45753</v>
      </c>
      <c r="E80" s="44">
        <f t="shared" si="8"/>
        <v>5.5833333333333304</v>
      </c>
      <c r="F80" s="45">
        <f t="shared" si="3"/>
        <v>45753.583333333489</v>
      </c>
      <c r="G80" s="52">
        <v>43</v>
      </c>
      <c r="H80" s="53">
        <v>42</v>
      </c>
      <c r="I80" s="54">
        <v>10.4</v>
      </c>
      <c r="J80" s="54">
        <v>450</v>
      </c>
      <c r="K80" s="55">
        <v>6.4</v>
      </c>
      <c r="L80" s="56">
        <v>40</v>
      </c>
      <c r="M80" s="54">
        <v>10.6</v>
      </c>
      <c r="N80" s="54">
        <v>400</v>
      </c>
      <c r="O80" s="57">
        <v>6</v>
      </c>
      <c r="P80" s="53">
        <v>39</v>
      </c>
      <c r="Q80" s="54">
        <v>10.3</v>
      </c>
      <c r="R80" s="54">
        <v>0</v>
      </c>
      <c r="S80" s="55">
        <v>6.2</v>
      </c>
      <c r="T80" s="57">
        <v>7.5</v>
      </c>
      <c r="U80" s="56">
        <v>40</v>
      </c>
      <c r="V80" s="54">
        <v>10.6</v>
      </c>
      <c r="W80" s="55">
        <v>0</v>
      </c>
      <c r="X80" s="55">
        <v>6.4</v>
      </c>
      <c r="Y80" s="57">
        <v>17</v>
      </c>
      <c r="Z80" s="53">
        <v>40</v>
      </c>
      <c r="AA80" s="54">
        <v>10.7</v>
      </c>
      <c r="AB80" s="55">
        <v>0</v>
      </c>
      <c r="AC80" s="55">
        <v>6.7</v>
      </c>
      <c r="AD80" s="57">
        <v>8.25</v>
      </c>
      <c r="AE80" s="56">
        <v>38</v>
      </c>
      <c r="AF80" s="54">
        <v>10.6</v>
      </c>
      <c r="AG80" s="55">
        <v>0</v>
      </c>
      <c r="AH80" s="55">
        <v>6.2</v>
      </c>
      <c r="AI80" s="57">
        <v>9.25</v>
      </c>
      <c r="AJ80" s="56">
        <v>37</v>
      </c>
      <c r="AK80" s="54">
        <v>10.7</v>
      </c>
      <c r="AL80" s="54">
        <v>0</v>
      </c>
      <c r="AM80" s="54">
        <v>6.5</v>
      </c>
      <c r="AN80" s="57">
        <v>10.25</v>
      </c>
      <c r="AO80" s="53">
        <v>37</v>
      </c>
      <c r="AP80" s="54">
        <v>10.3</v>
      </c>
      <c r="AQ80" s="54">
        <v>150</v>
      </c>
      <c r="AR80" s="54">
        <v>6.9</v>
      </c>
      <c r="AS80" s="54">
        <v>19</v>
      </c>
      <c r="AT80" s="56">
        <v>30</v>
      </c>
      <c r="AU80" s="57">
        <v>110</v>
      </c>
      <c r="AV80" s="56">
        <v>94.930007934570298</v>
      </c>
      <c r="AW80" s="57">
        <v>245.46855329945052</v>
      </c>
      <c r="AX80" s="8"/>
      <c r="AZ80" s="1">
        <v>90</v>
      </c>
      <c r="BB80" s="82">
        <f t="shared" si="1"/>
        <v>31.4925</v>
      </c>
    </row>
    <row r="81" spans="3:54" ht="15" customHeight="1" x14ac:dyDescent="0.25">
      <c r="C81" s="42"/>
      <c r="D81" s="43">
        <f>D76</f>
        <v>45753</v>
      </c>
      <c r="E81" s="44">
        <f t="shared" si="8"/>
        <v>5.6666666666666634</v>
      </c>
      <c r="F81" s="45">
        <f t="shared" si="3"/>
        <v>45753.666666666824</v>
      </c>
      <c r="G81" s="52">
        <v>43</v>
      </c>
      <c r="H81" s="53">
        <v>43</v>
      </c>
      <c r="I81" s="54">
        <v>10.6</v>
      </c>
      <c r="J81" s="54">
        <v>450</v>
      </c>
      <c r="K81" s="55">
        <v>6.6</v>
      </c>
      <c r="L81" s="56">
        <v>41</v>
      </c>
      <c r="M81" s="54">
        <v>10.5</v>
      </c>
      <c r="N81" s="54">
        <v>400</v>
      </c>
      <c r="O81" s="57">
        <v>5.8</v>
      </c>
      <c r="P81" s="53">
        <v>40</v>
      </c>
      <c r="Q81" s="54">
        <v>10.199999999999999</v>
      </c>
      <c r="R81" s="54">
        <v>0</v>
      </c>
      <c r="S81" s="55">
        <v>6.8</v>
      </c>
      <c r="T81" s="57">
        <v>8.75</v>
      </c>
      <c r="U81" s="56">
        <v>39</v>
      </c>
      <c r="V81" s="54">
        <v>10.5</v>
      </c>
      <c r="W81" s="55">
        <v>0</v>
      </c>
      <c r="X81" s="55">
        <v>6.7</v>
      </c>
      <c r="Y81" s="57">
        <v>13.75</v>
      </c>
      <c r="Z81" s="53">
        <v>40</v>
      </c>
      <c r="AA81" s="54">
        <v>10.6</v>
      </c>
      <c r="AB81" s="55">
        <v>0</v>
      </c>
      <c r="AC81" s="55">
        <v>6.5</v>
      </c>
      <c r="AD81" s="57">
        <v>11.25</v>
      </c>
      <c r="AE81" s="56">
        <v>39</v>
      </c>
      <c r="AF81" s="54">
        <v>10.5</v>
      </c>
      <c r="AG81" s="55">
        <v>0</v>
      </c>
      <c r="AH81" s="55">
        <v>6.4</v>
      </c>
      <c r="AI81" s="57">
        <v>9.25</v>
      </c>
      <c r="AJ81" s="56">
        <v>36</v>
      </c>
      <c r="AK81" s="54">
        <v>10.5</v>
      </c>
      <c r="AL81" s="54">
        <v>0</v>
      </c>
      <c r="AM81" s="54">
        <v>6.7</v>
      </c>
      <c r="AN81" s="57">
        <v>10.5</v>
      </c>
      <c r="AO81" s="53">
        <v>38</v>
      </c>
      <c r="AP81" s="54">
        <v>10.5</v>
      </c>
      <c r="AQ81" s="54">
        <v>130</v>
      </c>
      <c r="AR81" s="54">
        <v>7.2</v>
      </c>
      <c r="AS81" s="54">
        <v>19.5</v>
      </c>
      <c r="AT81" s="56">
        <v>30</v>
      </c>
      <c r="AU81" s="57">
        <v>110</v>
      </c>
      <c r="AV81" s="56">
        <v>95.42236328125</v>
      </c>
      <c r="AW81" s="57">
        <v>245.44210524416224</v>
      </c>
      <c r="AX81" s="8"/>
      <c r="AZ81" s="1">
        <v>90</v>
      </c>
      <c r="BB81" s="82">
        <f t="shared" ref="BB81:BB144" si="9">((T81*442)+(Y81*442)+(AD81*442)+(AI81*442)+(AN81*442)+(AS81*442))/1000</f>
        <v>32.265999999999998</v>
      </c>
    </row>
    <row r="82" spans="3:54" ht="15" customHeight="1" x14ac:dyDescent="0.25">
      <c r="C82" s="42"/>
      <c r="D82" s="43">
        <f>D76</f>
        <v>45753</v>
      </c>
      <c r="E82" s="44">
        <f t="shared" si="8"/>
        <v>5.7499999999999964</v>
      </c>
      <c r="F82" s="45">
        <f t="shared" ref="F82:F145" si="10">F81+(E82-E81)</f>
        <v>45753.75000000016</v>
      </c>
      <c r="G82" s="52">
        <v>42</v>
      </c>
      <c r="H82" s="53">
        <v>43</v>
      </c>
      <c r="I82" s="54">
        <v>10.5</v>
      </c>
      <c r="J82" s="54">
        <v>400</v>
      </c>
      <c r="K82" s="55">
        <v>5.6</v>
      </c>
      <c r="L82" s="56">
        <v>40</v>
      </c>
      <c r="M82" s="54">
        <v>10.4</v>
      </c>
      <c r="N82" s="54">
        <v>400</v>
      </c>
      <c r="O82" s="57">
        <v>6.5</v>
      </c>
      <c r="P82" s="53">
        <v>40</v>
      </c>
      <c r="Q82" s="54">
        <v>10.4</v>
      </c>
      <c r="R82" s="54">
        <v>0</v>
      </c>
      <c r="S82" s="55">
        <v>6.5</v>
      </c>
      <c r="T82" s="57">
        <v>12.5</v>
      </c>
      <c r="U82" s="56">
        <v>40</v>
      </c>
      <c r="V82" s="54">
        <v>10.5</v>
      </c>
      <c r="W82" s="55">
        <v>0</v>
      </c>
      <c r="X82" s="55">
        <v>6.3</v>
      </c>
      <c r="Y82" s="57">
        <v>18.25</v>
      </c>
      <c r="Z82" s="53">
        <v>40</v>
      </c>
      <c r="AA82" s="54">
        <v>10.6</v>
      </c>
      <c r="AB82" s="55">
        <v>0</v>
      </c>
      <c r="AC82" s="55">
        <v>6.7</v>
      </c>
      <c r="AD82" s="57">
        <v>11.25</v>
      </c>
      <c r="AE82" s="56">
        <v>38</v>
      </c>
      <c r="AF82" s="54">
        <v>10.5</v>
      </c>
      <c r="AG82" s="55">
        <v>0</v>
      </c>
      <c r="AH82" s="55">
        <v>6.6</v>
      </c>
      <c r="AI82" s="57">
        <v>8.75</v>
      </c>
      <c r="AJ82" s="56">
        <v>37</v>
      </c>
      <c r="AK82" s="54">
        <v>10.5</v>
      </c>
      <c r="AL82" s="54">
        <v>0</v>
      </c>
      <c r="AM82" s="54">
        <v>6.5</v>
      </c>
      <c r="AN82" s="57">
        <v>10.75</v>
      </c>
      <c r="AO82" s="53">
        <v>37</v>
      </c>
      <c r="AP82" s="54">
        <v>10.5</v>
      </c>
      <c r="AQ82" s="54">
        <v>140</v>
      </c>
      <c r="AR82" s="54">
        <v>7</v>
      </c>
      <c r="AS82" s="54">
        <v>19.25</v>
      </c>
      <c r="AT82" s="56">
        <v>30</v>
      </c>
      <c r="AU82" s="57">
        <v>120</v>
      </c>
      <c r="AV82" s="56">
        <v>94.576004028320298</v>
      </c>
      <c r="AW82" s="57">
        <v>250.63295680868131</v>
      </c>
      <c r="AX82" s="8"/>
      <c r="AZ82" s="1">
        <v>90</v>
      </c>
      <c r="BB82" s="82">
        <f t="shared" si="9"/>
        <v>35.691499999999998</v>
      </c>
    </row>
    <row r="83" spans="3:54" ht="15" customHeight="1" x14ac:dyDescent="0.25">
      <c r="C83" s="42"/>
      <c r="D83" s="43">
        <f>D76</f>
        <v>45753</v>
      </c>
      <c r="E83" s="44">
        <f t="shared" si="8"/>
        <v>5.8333333333333295</v>
      </c>
      <c r="F83" s="45">
        <f t="shared" si="10"/>
        <v>45753.833333333496</v>
      </c>
      <c r="G83" s="52">
        <v>41</v>
      </c>
      <c r="H83" s="53">
        <v>42</v>
      </c>
      <c r="I83" s="54">
        <v>10.8</v>
      </c>
      <c r="J83" s="54">
        <v>400</v>
      </c>
      <c r="K83" s="55">
        <v>6.4</v>
      </c>
      <c r="L83" s="56">
        <v>40</v>
      </c>
      <c r="M83" s="54">
        <v>10.7</v>
      </c>
      <c r="N83" s="54">
        <v>400</v>
      </c>
      <c r="O83" s="57">
        <v>6.4</v>
      </c>
      <c r="P83" s="53">
        <v>40</v>
      </c>
      <c r="Q83" s="54">
        <v>10.4</v>
      </c>
      <c r="R83" s="54">
        <v>0</v>
      </c>
      <c r="S83" s="55">
        <v>6.2</v>
      </c>
      <c r="T83" s="57">
        <v>18</v>
      </c>
      <c r="U83" s="56">
        <v>38</v>
      </c>
      <c r="V83" s="54">
        <v>10.4</v>
      </c>
      <c r="W83" s="55">
        <v>0</v>
      </c>
      <c r="X83" s="55">
        <v>5.8</v>
      </c>
      <c r="Y83" s="57">
        <v>6.25</v>
      </c>
      <c r="Z83" s="53">
        <v>37</v>
      </c>
      <c r="AA83" s="54">
        <v>10.6</v>
      </c>
      <c r="AB83" s="55">
        <v>0</v>
      </c>
      <c r="AC83" s="55">
        <v>5.7</v>
      </c>
      <c r="AD83" s="57">
        <v>11.25</v>
      </c>
      <c r="AE83" s="56">
        <v>37</v>
      </c>
      <c r="AF83" s="54">
        <v>10.5</v>
      </c>
      <c r="AG83" s="55">
        <v>0</v>
      </c>
      <c r="AH83" s="55">
        <v>5.7</v>
      </c>
      <c r="AI83" s="57">
        <v>8.75</v>
      </c>
      <c r="AJ83" s="56">
        <v>36</v>
      </c>
      <c r="AK83" s="54">
        <v>10.5</v>
      </c>
      <c r="AL83" s="54">
        <v>0</v>
      </c>
      <c r="AM83" s="54">
        <v>6.7</v>
      </c>
      <c r="AN83" s="57">
        <v>10.75</v>
      </c>
      <c r="AO83" s="53">
        <v>36</v>
      </c>
      <c r="AP83" s="54">
        <v>10.6</v>
      </c>
      <c r="AQ83" s="54">
        <v>160</v>
      </c>
      <c r="AR83" s="54">
        <v>6.9</v>
      </c>
      <c r="AS83" s="54">
        <v>20</v>
      </c>
      <c r="AT83" s="56">
        <v>29</v>
      </c>
      <c r="AU83" s="57">
        <v>130</v>
      </c>
      <c r="AV83" s="56">
        <v>94.962562561035199</v>
      </c>
      <c r="AW83" s="57">
        <v>251.38744310233744</v>
      </c>
      <c r="AX83" s="8"/>
      <c r="AZ83" s="1">
        <v>90</v>
      </c>
      <c r="BB83" s="82">
        <f t="shared" si="9"/>
        <v>33.15</v>
      </c>
    </row>
    <row r="84" spans="3:54" ht="15" customHeight="1" x14ac:dyDescent="0.25">
      <c r="C84" s="42"/>
      <c r="D84" s="43">
        <f>D76</f>
        <v>45753</v>
      </c>
      <c r="E84" s="44">
        <f t="shared" si="8"/>
        <v>5.9166666666666625</v>
      </c>
      <c r="F84" s="45">
        <f t="shared" si="10"/>
        <v>45753.916666666832</v>
      </c>
      <c r="G84" s="52">
        <v>40</v>
      </c>
      <c r="H84" s="53">
        <v>41</v>
      </c>
      <c r="I84" s="54">
        <v>10.5</v>
      </c>
      <c r="J84" s="54">
        <v>350</v>
      </c>
      <c r="K84" s="55">
        <v>6.5</v>
      </c>
      <c r="L84" s="56">
        <v>41</v>
      </c>
      <c r="M84" s="54">
        <v>10.7</v>
      </c>
      <c r="N84" s="54">
        <v>450</v>
      </c>
      <c r="O84" s="57">
        <v>7</v>
      </c>
      <c r="P84" s="53">
        <v>39</v>
      </c>
      <c r="Q84" s="54">
        <v>10.5</v>
      </c>
      <c r="R84" s="54">
        <v>0</v>
      </c>
      <c r="S84" s="55">
        <v>6.1</v>
      </c>
      <c r="T84" s="57">
        <v>18.25</v>
      </c>
      <c r="U84" s="56">
        <v>37</v>
      </c>
      <c r="V84" s="54">
        <v>10.6</v>
      </c>
      <c r="W84" s="55">
        <v>0</v>
      </c>
      <c r="X84" s="55">
        <v>5.9</v>
      </c>
      <c r="Y84" s="57">
        <v>8.75</v>
      </c>
      <c r="Z84" s="53">
        <v>38</v>
      </c>
      <c r="AA84" s="54">
        <v>10.5</v>
      </c>
      <c r="AB84" s="55">
        <v>0</v>
      </c>
      <c r="AC84" s="55">
        <v>5.7</v>
      </c>
      <c r="AD84" s="57">
        <v>8.5</v>
      </c>
      <c r="AE84" s="56">
        <v>36</v>
      </c>
      <c r="AF84" s="54">
        <v>10.5</v>
      </c>
      <c r="AG84" s="55">
        <v>0</v>
      </c>
      <c r="AH84" s="55">
        <v>5.5</v>
      </c>
      <c r="AI84" s="57">
        <v>8.75</v>
      </c>
      <c r="AJ84" s="56">
        <v>36</v>
      </c>
      <c r="AK84" s="54">
        <v>10.5</v>
      </c>
      <c r="AL84" s="54">
        <v>0</v>
      </c>
      <c r="AM84" s="54">
        <v>6.5</v>
      </c>
      <c r="AN84" s="57">
        <v>11.25</v>
      </c>
      <c r="AO84" s="53">
        <v>37</v>
      </c>
      <c r="AP84" s="54">
        <v>10.4</v>
      </c>
      <c r="AQ84" s="54">
        <v>150</v>
      </c>
      <c r="AR84" s="54">
        <v>6.7</v>
      </c>
      <c r="AS84" s="54">
        <v>20.5</v>
      </c>
      <c r="AT84" s="56">
        <v>28</v>
      </c>
      <c r="AU84" s="57">
        <v>120</v>
      </c>
      <c r="AV84" s="56">
        <v>95.003250122070298</v>
      </c>
      <c r="AW84" s="57">
        <v>249.43564320967226</v>
      </c>
      <c r="AX84" s="8"/>
      <c r="AZ84" s="1">
        <v>90</v>
      </c>
      <c r="BB84" s="82">
        <f t="shared" si="9"/>
        <v>33.591999999999999</v>
      </c>
    </row>
    <row r="85" spans="3:54" ht="15" customHeight="1" x14ac:dyDescent="0.25">
      <c r="C85" s="42"/>
      <c r="D85" s="43">
        <f>D76</f>
        <v>45753</v>
      </c>
      <c r="E85" s="44">
        <f t="shared" si="8"/>
        <v>5.9999999999999956</v>
      </c>
      <c r="F85" s="45">
        <f t="shared" si="10"/>
        <v>45754.000000000167</v>
      </c>
      <c r="G85" s="52">
        <v>40</v>
      </c>
      <c r="H85" s="53">
        <v>39</v>
      </c>
      <c r="I85" s="54">
        <v>10.9</v>
      </c>
      <c r="J85" s="54">
        <v>400</v>
      </c>
      <c r="K85" s="55">
        <v>7.3</v>
      </c>
      <c r="L85" s="56">
        <v>39</v>
      </c>
      <c r="M85" s="54">
        <v>10.7</v>
      </c>
      <c r="N85" s="54">
        <v>400</v>
      </c>
      <c r="O85" s="57">
        <v>7.1</v>
      </c>
      <c r="P85" s="53">
        <v>37</v>
      </c>
      <c r="Q85" s="54">
        <v>10.4</v>
      </c>
      <c r="R85" s="54">
        <v>0</v>
      </c>
      <c r="S85" s="55">
        <v>6</v>
      </c>
      <c r="T85" s="57">
        <v>18</v>
      </c>
      <c r="U85" s="56">
        <v>39</v>
      </c>
      <c r="V85" s="54">
        <v>10.6</v>
      </c>
      <c r="W85" s="55">
        <v>0</v>
      </c>
      <c r="X85" s="55">
        <v>5.7</v>
      </c>
      <c r="Y85" s="57">
        <v>8.75</v>
      </c>
      <c r="Z85" s="53">
        <v>38</v>
      </c>
      <c r="AA85" s="54">
        <v>10.5</v>
      </c>
      <c r="AB85" s="55">
        <v>0</v>
      </c>
      <c r="AC85" s="55">
        <v>5.5</v>
      </c>
      <c r="AD85" s="57">
        <v>10</v>
      </c>
      <c r="AE85" s="56">
        <v>37</v>
      </c>
      <c r="AF85" s="54">
        <v>10.4</v>
      </c>
      <c r="AG85" s="55">
        <v>0</v>
      </c>
      <c r="AH85" s="55">
        <v>5.7</v>
      </c>
      <c r="AI85" s="57">
        <v>10.75</v>
      </c>
      <c r="AJ85" s="56">
        <v>37</v>
      </c>
      <c r="AK85" s="54">
        <v>10.6</v>
      </c>
      <c r="AL85" s="54">
        <v>0</v>
      </c>
      <c r="AM85" s="54">
        <v>6.5</v>
      </c>
      <c r="AN85" s="57">
        <v>12.5</v>
      </c>
      <c r="AO85" s="53">
        <v>36</v>
      </c>
      <c r="AP85" s="54">
        <v>10.6</v>
      </c>
      <c r="AQ85" s="54">
        <v>160</v>
      </c>
      <c r="AR85" s="54">
        <v>6.9</v>
      </c>
      <c r="AS85" s="54">
        <v>15</v>
      </c>
      <c r="AT85" s="56">
        <v>30</v>
      </c>
      <c r="AU85" s="57">
        <v>120</v>
      </c>
      <c r="AV85" s="56">
        <v>95.039871215820298</v>
      </c>
      <c r="AW85" s="57">
        <v>233.17792701721194</v>
      </c>
      <c r="AX85" s="8"/>
      <c r="AZ85" s="1">
        <v>90</v>
      </c>
      <c r="BB85" s="82">
        <f t="shared" si="9"/>
        <v>33.15</v>
      </c>
    </row>
    <row r="86" spans="3:54" ht="15" customHeight="1" x14ac:dyDescent="0.25">
      <c r="C86" s="42"/>
      <c r="D86" s="43">
        <f>D76</f>
        <v>45753</v>
      </c>
      <c r="E86" s="44">
        <f t="shared" si="8"/>
        <v>6.0833333333333286</v>
      </c>
      <c r="F86" s="45">
        <f t="shared" si="10"/>
        <v>45754.083333333503</v>
      </c>
      <c r="G86" s="52">
        <v>42</v>
      </c>
      <c r="H86" s="53">
        <v>40</v>
      </c>
      <c r="I86" s="54">
        <v>10.6</v>
      </c>
      <c r="J86" s="54">
        <v>400</v>
      </c>
      <c r="K86" s="55">
        <v>6.9</v>
      </c>
      <c r="L86" s="56">
        <v>40</v>
      </c>
      <c r="M86" s="54">
        <v>10.5</v>
      </c>
      <c r="N86" s="54">
        <v>350</v>
      </c>
      <c r="O86" s="57">
        <v>7.3</v>
      </c>
      <c r="P86" s="53">
        <v>38</v>
      </c>
      <c r="Q86" s="54">
        <v>10.3</v>
      </c>
      <c r="R86" s="54">
        <v>0</v>
      </c>
      <c r="S86" s="55">
        <v>6.1</v>
      </c>
      <c r="T86" s="57">
        <v>18.75</v>
      </c>
      <c r="U86" s="56">
        <v>37</v>
      </c>
      <c r="V86" s="54">
        <v>10.5</v>
      </c>
      <c r="W86" s="55">
        <v>0</v>
      </c>
      <c r="X86" s="55">
        <v>5.7</v>
      </c>
      <c r="Y86" s="57">
        <v>8.5</v>
      </c>
      <c r="Z86" s="53">
        <v>38</v>
      </c>
      <c r="AA86" s="54">
        <v>10.4</v>
      </c>
      <c r="AB86" s="55">
        <v>0</v>
      </c>
      <c r="AC86" s="55">
        <v>5.7</v>
      </c>
      <c r="AD86" s="57">
        <v>10.25</v>
      </c>
      <c r="AE86" s="56">
        <v>36</v>
      </c>
      <c r="AF86" s="54">
        <v>10.5</v>
      </c>
      <c r="AG86" s="55">
        <v>0</v>
      </c>
      <c r="AH86" s="55">
        <v>5.6</v>
      </c>
      <c r="AI86" s="57">
        <v>10.5</v>
      </c>
      <c r="AJ86" s="56">
        <v>37</v>
      </c>
      <c r="AK86" s="54">
        <v>10.6</v>
      </c>
      <c r="AL86" s="54">
        <v>0</v>
      </c>
      <c r="AM86" s="54">
        <v>6.9</v>
      </c>
      <c r="AN86" s="57">
        <v>13</v>
      </c>
      <c r="AO86" s="53">
        <v>36</v>
      </c>
      <c r="AP86" s="54">
        <v>10.5</v>
      </c>
      <c r="AQ86" s="54">
        <v>160</v>
      </c>
      <c r="AR86" s="54">
        <v>6.9</v>
      </c>
      <c r="AS86" s="54">
        <v>15</v>
      </c>
      <c r="AT86" s="56">
        <v>30</v>
      </c>
      <c r="AU86" s="57">
        <v>130</v>
      </c>
      <c r="AV86" s="56">
        <v>95.096839904785199</v>
      </c>
      <c r="AW86" s="57">
        <v>230.55278313954673</v>
      </c>
      <c r="AX86" s="8"/>
      <c r="AZ86" s="1">
        <v>90</v>
      </c>
      <c r="BB86" s="82">
        <f t="shared" si="9"/>
        <v>33.591999999999999</v>
      </c>
    </row>
    <row r="87" spans="3:54" ht="15" customHeight="1" x14ac:dyDescent="0.25">
      <c r="C87" s="42"/>
      <c r="D87" s="69">
        <f>D76</f>
        <v>45753</v>
      </c>
      <c r="E87" s="70">
        <f t="shared" si="8"/>
        <v>6.1666666666666616</v>
      </c>
      <c r="F87" s="71">
        <f t="shared" si="10"/>
        <v>45754.166666666839</v>
      </c>
      <c r="G87" s="60">
        <v>43</v>
      </c>
      <c r="H87" s="61">
        <v>41</v>
      </c>
      <c r="I87" s="62">
        <v>10.7</v>
      </c>
      <c r="J87" s="62">
        <v>350</v>
      </c>
      <c r="K87" s="63">
        <v>7</v>
      </c>
      <c r="L87" s="64">
        <v>40</v>
      </c>
      <c r="M87" s="62">
        <v>10.6</v>
      </c>
      <c r="N87" s="62">
        <v>400</v>
      </c>
      <c r="O87" s="65">
        <v>6.9</v>
      </c>
      <c r="P87" s="61">
        <v>40</v>
      </c>
      <c r="Q87" s="54">
        <v>10.7</v>
      </c>
      <c r="R87" s="62">
        <v>0</v>
      </c>
      <c r="S87" s="63">
        <v>6.2</v>
      </c>
      <c r="T87" s="57">
        <v>17</v>
      </c>
      <c r="U87" s="64">
        <v>39</v>
      </c>
      <c r="V87" s="54">
        <v>10.6</v>
      </c>
      <c r="W87" s="63">
        <v>0</v>
      </c>
      <c r="X87" s="63">
        <v>5.9</v>
      </c>
      <c r="Y87" s="65">
        <v>7.75</v>
      </c>
      <c r="Z87" s="61">
        <v>38</v>
      </c>
      <c r="AA87" s="62">
        <v>10.5</v>
      </c>
      <c r="AB87" s="63">
        <v>0</v>
      </c>
      <c r="AC87" s="63">
        <v>5.7</v>
      </c>
      <c r="AD87" s="65">
        <v>10.25</v>
      </c>
      <c r="AE87" s="64">
        <v>38</v>
      </c>
      <c r="AF87" s="62">
        <v>10.6</v>
      </c>
      <c r="AG87" s="63">
        <v>0</v>
      </c>
      <c r="AH87" s="63">
        <v>5.7</v>
      </c>
      <c r="AI87" s="65">
        <v>10.5</v>
      </c>
      <c r="AJ87" s="64">
        <v>37</v>
      </c>
      <c r="AK87" s="62">
        <v>10.5</v>
      </c>
      <c r="AL87" s="62">
        <v>0</v>
      </c>
      <c r="AM87" s="62">
        <v>6.8</v>
      </c>
      <c r="AN87" s="65">
        <v>13</v>
      </c>
      <c r="AO87" s="61">
        <v>36</v>
      </c>
      <c r="AP87" s="62">
        <v>10.5</v>
      </c>
      <c r="AQ87" s="62">
        <v>150</v>
      </c>
      <c r="AR87" s="62">
        <v>6.9</v>
      </c>
      <c r="AS87" s="62">
        <v>15</v>
      </c>
      <c r="AT87" s="64">
        <v>29</v>
      </c>
      <c r="AU87" s="65">
        <v>120</v>
      </c>
      <c r="AV87" s="64">
        <v>94.9951171875</v>
      </c>
      <c r="AW87" s="65">
        <v>235.42148952484135</v>
      </c>
      <c r="AX87" s="8"/>
      <c r="AZ87" s="1">
        <v>90</v>
      </c>
      <c r="BB87" s="82">
        <f t="shared" si="9"/>
        <v>32.487000000000002</v>
      </c>
    </row>
    <row r="88" spans="3:54" ht="15" customHeight="1" x14ac:dyDescent="0.25">
      <c r="C88" s="42">
        <f>C76+1</f>
        <v>7</v>
      </c>
      <c r="D88" s="66">
        <f>DATE([4]Dash!$F$3,VLOOKUP([4]Dash!$E$3,[4]Abb!$C$3:$D$14,2,FALSE),C88)</f>
        <v>45754</v>
      </c>
      <c r="E88" s="67">
        <f>E87+2/24</f>
        <v>6.2499999999999947</v>
      </c>
      <c r="F88" s="68">
        <f t="shared" si="10"/>
        <v>45754.250000000175</v>
      </c>
      <c r="G88" s="46">
        <v>40</v>
      </c>
      <c r="H88" s="47">
        <v>41</v>
      </c>
      <c r="I88" s="48">
        <v>10.5</v>
      </c>
      <c r="J88" s="48">
        <v>400</v>
      </c>
      <c r="K88" s="49">
        <v>7.1</v>
      </c>
      <c r="L88" s="50">
        <v>40</v>
      </c>
      <c r="M88" s="48">
        <v>10.5</v>
      </c>
      <c r="N88" s="48">
        <v>450</v>
      </c>
      <c r="O88" s="51">
        <v>7</v>
      </c>
      <c r="P88" s="47">
        <v>39</v>
      </c>
      <c r="Q88" s="48">
        <v>10.6</v>
      </c>
      <c r="R88" s="49">
        <v>0</v>
      </c>
      <c r="S88" s="49">
        <v>6.4</v>
      </c>
      <c r="T88" s="51">
        <v>17</v>
      </c>
      <c r="U88" s="50">
        <v>38</v>
      </c>
      <c r="V88" s="48">
        <v>10.7</v>
      </c>
      <c r="W88" s="49">
        <v>0</v>
      </c>
      <c r="X88" s="49">
        <v>5.7</v>
      </c>
      <c r="Y88" s="51">
        <v>7.75</v>
      </c>
      <c r="Z88" s="47">
        <v>37</v>
      </c>
      <c r="AA88" s="48">
        <v>10.6</v>
      </c>
      <c r="AB88" s="49">
        <v>0</v>
      </c>
      <c r="AC88" s="49">
        <v>5.5</v>
      </c>
      <c r="AD88" s="51">
        <v>10</v>
      </c>
      <c r="AE88" s="50">
        <v>37</v>
      </c>
      <c r="AF88" s="48">
        <v>10.6</v>
      </c>
      <c r="AG88" s="49">
        <v>0</v>
      </c>
      <c r="AH88" s="49">
        <v>5.6</v>
      </c>
      <c r="AI88" s="51">
        <v>10.5</v>
      </c>
      <c r="AJ88" s="50">
        <v>38</v>
      </c>
      <c r="AK88" s="48">
        <v>10.6</v>
      </c>
      <c r="AL88" s="48">
        <v>0</v>
      </c>
      <c r="AM88" s="48">
        <v>6.7</v>
      </c>
      <c r="AN88" s="51">
        <v>13</v>
      </c>
      <c r="AO88" s="47">
        <v>37</v>
      </c>
      <c r="AP88" s="48">
        <v>10.4</v>
      </c>
      <c r="AQ88" s="48">
        <v>160</v>
      </c>
      <c r="AR88" s="48">
        <v>7</v>
      </c>
      <c r="AS88" s="48">
        <v>15</v>
      </c>
      <c r="AT88" s="50">
        <v>30</v>
      </c>
      <c r="AU88" s="51">
        <v>120</v>
      </c>
      <c r="AV88" s="50">
        <v>94.966629028320298</v>
      </c>
      <c r="AW88" s="51">
        <v>229.38946863810227</v>
      </c>
      <c r="AX88" s="8"/>
      <c r="AZ88" s="1">
        <v>90</v>
      </c>
      <c r="BB88" s="82">
        <f t="shared" si="9"/>
        <v>32.3765</v>
      </c>
    </row>
    <row r="89" spans="3:54" ht="15" customHeight="1" x14ac:dyDescent="0.25">
      <c r="C89" s="42"/>
      <c r="D89" s="43">
        <f>D88</f>
        <v>45754</v>
      </c>
      <c r="E89" s="44">
        <f>E88+2/24</f>
        <v>6.3333333333333277</v>
      </c>
      <c r="F89" s="45">
        <f t="shared" si="10"/>
        <v>45754.33333333351</v>
      </c>
      <c r="G89" s="52">
        <v>38</v>
      </c>
      <c r="H89" s="53">
        <v>40</v>
      </c>
      <c r="I89" s="54">
        <v>10.5</v>
      </c>
      <c r="J89" s="54">
        <v>300</v>
      </c>
      <c r="K89" s="55">
        <v>6.1</v>
      </c>
      <c r="L89" s="56">
        <v>40</v>
      </c>
      <c r="M89" s="54">
        <v>10.4</v>
      </c>
      <c r="N89" s="54">
        <v>400</v>
      </c>
      <c r="O89" s="57">
        <v>6.2</v>
      </c>
      <c r="P89" s="53">
        <v>41</v>
      </c>
      <c r="Q89" s="54">
        <v>10.4</v>
      </c>
      <c r="R89" s="55">
        <v>0</v>
      </c>
      <c r="S89" s="55">
        <v>6.7</v>
      </c>
      <c r="T89" s="57">
        <v>17.5</v>
      </c>
      <c r="U89" s="56">
        <v>42</v>
      </c>
      <c r="V89" s="54">
        <v>10.5</v>
      </c>
      <c r="W89" s="55">
        <v>0</v>
      </c>
      <c r="X89" s="55">
        <v>6.4</v>
      </c>
      <c r="Y89" s="57">
        <v>8.75</v>
      </c>
      <c r="Z89" s="53">
        <v>41</v>
      </c>
      <c r="AA89" s="54">
        <v>10.5</v>
      </c>
      <c r="AB89" s="55">
        <v>0</v>
      </c>
      <c r="AC89" s="55">
        <v>6.3</v>
      </c>
      <c r="AD89" s="57">
        <v>10</v>
      </c>
      <c r="AE89" s="56">
        <v>39</v>
      </c>
      <c r="AF89" s="54">
        <v>10.7</v>
      </c>
      <c r="AG89" s="55">
        <v>0</v>
      </c>
      <c r="AH89" s="55">
        <v>6</v>
      </c>
      <c r="AI89" s="57">
        <v>10</v>
      </c>
      <c r="AJ89" s="56">
        <v>39</v>
      </c>
      <c r="AK89" s="54">
        <v>10.4</v>
      </c>
      <c r="AL89" s="54">
        <v>0</v>
      </c>
      <c r="AM89" s="54">
        <v>6.9</v>
      </c>
      <c r="AN89" s="57">
        <v>12.5</v>
      </c>
      <c r="AO89" s="53">
        <v>39</v>
      </c>
      <c r="AP89" s="54">
        <v>10.5</v>
      </c>
      <c r="AQ89" s="54">
        <v>180</v>
      </c>
      <c r="AR89" s="54">
        <v>7.4</v>
      </c>
      <c r="AS89" s="54">
        <v>15.5</v>
      </c>
      <c r="AT89" s="56">
        <v>32</v>
      </c>
      <c r="AU89" s="57">
        <v>140</v>
      </c>
      <c r="AV89" s="56">
        <v>95.1416015625</v>
      </c>
      <c r="AW89" s="57">
        <v>229.65277786254885</v>
      </c>
      <c r="AX89" s="8"/>
      <c r="AZ89" s="1">
        <v>90</v>
      </c>
      <c r="BB89" s="82">
        <f t="shared" si="9"/>
        <v>32.8185</v>
      </c>
    </row>
    <row r="90" spans="3:54" ht="15" customHeight="1" x14ac:dyDescent="0.25">
      <c r="C90" s="42"/>
      <c r="D90" s="43">
        <f>D88</f>
        <v>45754</v>
      </c>
      <c r="E90" s="44">
        <f t="shared" ref="E90:E99" si="11">E89+2/24</f>
        <v>6.4166666666666607</v>
      </c>
      <c r="F90" s="45">
        <f t="shared" si="10"/>
        <v>45754.416666666846</v>
      </c>
      <c r="G90" s="52">
        <v>40</v>
      </c>
      <c r="H90" s="53">
        <v>40</v>
      </c>
      <c r="I90" s="54">
        <v>10.199999999999999</v>
      </c>
      <c r="J90" s="54">
        <v>300</v>
      </c>
      <c r="K90" s="55">
        <v>6.1</v>
      </c>
      <c r="L90" s="56">
        <v>40</v>
      </c>
      <c r="M90" s="54">
        <v>10.4</v>
      </c>
      <c r="N90" s="54">
        <v>300</v>
      </c>
      <c r="O90" s="57">
        <v>6.3</v>
      </c>
      <c r="P90" s="53">
        <v>41</v>
      </c>
      <c r="Q90" s="54">
        <v>10.4</v>
      </c>
      <c r="R90" s="55">
        <v>0</v>
      </c>
      <c r="S90" s="55">
        <v>6.5</v>
      </c>
      <c r="T90" s="57">
        <v>17.25</v>
      </c>
      <c r="U90" s="56">
        <v>41</v>
      </c>
      <c r="V90" s="54">
        <v>10.4</v>
      </c>
      <c r="W90" s="55">
        <v>0</v>
      </c>
      <c r="X90" s="55">
        <v>6.7</v>
      </c>
      <c r="Y90" s="57">
        <v>8.75</v>
      </c>
      <c r="Z90" s="53">
        <v>42</v>
      </c>
      <c r="AA90" s="54">
        <v>10.5</v>
      </c>
      <c r="AB90" s="55">
        <v>0</v>
      </c>
      <c r="AC90" s="55">
        <v>6.2</v>
      </c>
      <c r="AD90" s="57">
        <v>10.25</v>
      </c>
      <c r="AE90" s="56">
        <v>40</v>
      </c>
      <c r="AF90" s="54">
        <v>10.4</v>
      </c>
      <c r="AG90" s="55">
        <v>0</v>
      </c>
      <c r="AH90" s="55">
        <v>6.5</v>
      </c>
      <c r="AI90" s="57">
        <v>10</v>
      </c>
      <c r="AJ90" s="56">
        <v>39</v>
      </c>
      <c r="AK90" s="54">
        <v>10.4</v>
      </c>
      <c r="AL90" s="54">
        <v>0</v>
      </c>
      <c r="AM90" s="54">
        <v>7.2</v>
      </c>
      <c r="AN90" s="57">
        <v>12.75</v>
      </c>
      <c r="AO90" s="53">
        <v>38</v>
      </c>
      <c r="AP90" s="54">
        <v>10.3</v>
      </c>
      <c r="AQ90" s="54">
        <v>160</v>
      </c>
      <c r="AR90" s="54">
        <v>7.1</v>
      </c>
      <c r="AS90" s="54">
        <v>15</v>
      </c>
      <c r="AT90" s="56">
        <v>31</v>
      </c>
      <c r="AU90" s="57">
        <v>130</v>
      </c>
      <c r="AV90" s="56">
        <v>95.12939453125</v>
      </c>
      <c r="AW90" s="57">
        <v>228.82137413024901</v>
      </c>
      <c r="AX90" s="8"/>
      <c r="AZ90" s="1">
        <v>90</v>
      </c>
      <c r="BB90" s="82">
        <f t="shared" si="9"/>
        <v>32.707999999999998</v>
      </c>
    </row>
    <row r="91" spans="3:54" ht="15" customHeight="1" x14ac:dyDescent="0.25">
      <c r="C91" s="42"/>
      <c r="D91" s="43">
        <f>D88</f>
        <v>45754</v>
      </c>
      <c r="E91" s="44">
        <f t="shared" si="11"/>
        <v>6.4999999999999938</v>
      </c>
      <c r="F91" s="45">
        <f t="shared" si="10"/>
        <v>45754.500000000182</v>
      </c>
      <c r="G91" s="52">
        <v>43</v>
      </c>
      <c r="H91" s="53">
        <v>42</v>
      </c>
      <c r="I91" s="54">
        <v>10</v>
      </c>
      <c r="J91" s="54">
        <v>300</v>
      </c>
      <c r="K91" s="55">
        <v>6.4</v>
      </c>
      <c r="L91" s="56">
        <v>42</v>
      </c>
      <c r="M91" s="54">
        <v>10.3</v>
      </c>
      <c r="N91" s="54">
        <v>300</v>
      </c>
      <c r="O91" s="57">
        <v>6.1</v>
      </c>
      <c r="P91" s="53">
        <v>43</v>
      </c>
      <c r="Q91" s="54">
        <v>10.3</v>
      </c>
      <c r="R91" s="55">
        <v>0</v>
      </c>
      <c r="S91" s="55">
        <v>7.1</v>
      </c>
      <c r="T91" s="57">
        <v>17</v>
      </c>
      <c r="U91" s="56">
        <v>40</v>
      </c>
      <c r="V91" s="54">
        <v>10.4</v>
      </c>
      <c r="W91" s="55">
        <v>0</v>
      </c>
      <c r="X91" s="55">
        <v>6.1</v>
      </c>
      <c r="Y91" s="57">
        <v>9</v>
      </c>
      <c r="Z91" s="53">
        <v>41</v>
      </c>
      <c r="AA91" s="54">
        <v>10.5</v>
      </c>
      <c r="AB91" s="55">
        <v>0</v>
      </c>
      <c r="AC91" s="55">
        <v>6.5</v>
      </c>
      <c r="AD91" s="57">
        <v>10</v>
      </c>
      <c r="AE91" s="56">
        <v>41</v>
      </c>
      <c r="AF91" s="54">
        <v>10.5</v>
      </c>
      <c r="AG91" s="55">
        <v>0</v>
      </c>
      <c r="AH91" s="55">
        <v>6.9</v>
      </c>
      <c r="AI91" s="57">
        <v>10.25</v>
      </c>
      <c r="AJ91" s="56">
        <v>39</v>
      </c>
      <c r="AK91" s="54">
        <v>10.3</v>
      </c>
      <c r="AL91" s="54">
        <v>0</v>
      </c>
      <c r="AM91" s="54">
        <v>6.8</v>
      </c>
      <c r="AN91" s="57">
        <v>12.5</v>
      </c>
      <c r="AO91" s="53">
        <v>39</v>
      </c>
      <c r="AP91" s="54">
        <v>10.4</v>
      </c>
      <c r="AQ91" s="54">
        <v>160</v>
      </c>
      <c r="AR91" s="54">
        <v>7</v>
      </c>
      <c r="AS91" s="54">
        <v>15.75</v>
      </c>
      <c r="AT91" s="56">
        <v>31</v>
      </c>
      <c r="AU91" s="57">
        <v>130</v>
      </c>
      <c r="AV91" s="56">
        <v>95.125320434570298</v>
      </c>
      <c r="AW91" s="57">
        <v>228.81365718841556</v>
      </c>
      <c r="AX91" s="8"/>
      <c r="AZ91" s="1">
        <v>90</v>
      </c>
      <c r="BB91" s="82">
        <f t="shared" si="9"/>
        <v>32.929000000000002</v>
      </c>
    </row>
    <row r="92" spans="3:54" ht="15" customHeight="1" x14ac:dyDescent="0.25">
      <c r="C92" s="42"/>
      <c r="D92" s="43">
        <f>D88</f>
        <v>45754</v>
      </c>
      <c r="E92" s="44">
        <f t="shared" si="11"/>
        <v>6.5833333333333268</v>
      </c>
      <c r="F92" s="45">
        <f t="shared" si="10"/>
        <v>45754.583333333518</v>
      </c>
      <c r="G92" s="52">
        <v>41</v>
      </c>
      <c r="H92" s="53">
        <v>41</v>
      </c>
      <c r="I92" s="54">
        <v>10.4</v>
      </c>
      <c r="J92" s="54">
        <v>300</v>
      </c>
      <c r="K92" s="55">
        <v>6.3</v>
      </c>
      <c r="L92" s="56">
        <v>42</v>
      </c>
      <c r="M92" s="54">
        <v>10.4</v>
      </c>
      <c r="N92" s="54">
        <v>300</v>
      </c>
      <c r="O92" s="57">
        <v>6.6</v>
      </c>
      <c r="P92" s="53">
        <v>42</v>
      </c>
      <c r="Q92" s="54">
        <v>10.3</v>
      </c>
      <c r="R92" s="55">
        <v>0</v>
      </c>
      <c r="S92" s="55">
        <v>6.9</v>
      </c>
      <c r="T92" s="57">
        <v>17.75</v>
      </c>
      <c r="U92" s="56">
        <v>41</v>
      </c>
      <c r="V92" s="54">
        <v>10.4</v>
      </c>
      <c r="W92" s="55">
        <v>0</v>
      </c>
      <c r="X92" s="55">
        <v>6.5</v>
      </c>
      <c r="Y92" s="57">
        <v>12.5</v>
      </c>
      <c r="Z92" s="53">
        <v>41</v>
      </c>
      <c r="AA92" s="54">
        <v>10.6</v>
      </c>
      <c r="AB92" s="55">
        <v>0</v>
      </c>
      <c r="AC92" s="55">
        <v>5.9</v>
      </c>
      <c r="AD92" s="57">
        <v>7.5</v>
      </c>
      <c r="AE92" s="56">
        <v>40</v>
      </c>
      <c r="AF92" s="54">
        <v>10.5</v>
      </c>
      <c r="AG92" s="55">
        <v>0</v>
      </c>
      <c r="AH92" s="55">
        <v>6.8</v>
      </c>
      <c r="AI92" s="57">
        <v>7.5</v>
      </c>
      <c r="AJ92" s="56">
        <v>38</v>
      </c>
      <c r="AK92" s="54">
        <v>10.3</v>
      </c>
      <c r="AL92" s="54">
        <v>0</v>
      </c>
      <c r="AM92" s="54">
        <v>7.4</v>
      </c>
      <c r="AN92" s="57">
        <v>12.25</v>
      </c>
      <c r="AO92" s="53">
        <v>39</v>
      </c>
      <c r="AP92" s="54">
        <v>10.3</v>
      </c>
      <c r="AQ92" s="54">
        <v>150</v>
      </c>
      <c r="AR92" s="54">
        <v>7.1</v>
      </c>
      <c r="AS92" s="54">
        <v>15.5</v>
      </c>
      <c r="AT92" s="56">
        <v>31</v>
      </c>
      <c r="AU92" s="57">
        <v>120</v>
      </c>
      <c r="AV92" s="56">
        <v>95.267738342285199</v>
      </c>
      <c r="AW92" s="57">
        <v>228.070507367452</v>
      </c>
      <c r="AX92" s="8"/>
      <c r="AZ92" s="1">
        <v>90</v>
      </c>
      <c r="BB92" s="82">
        <f t="shared" si="9"/>
        <v>32.265999999999998</v>
      </c>
    </row>
    <row r="93" spans="3:54" ht="15" customHeight="1" x14ac:dyDescent="0.25">
      <c r="C93" s="42"/>
      <c r="D93" s="43">
        <f>D88</f>
        <v>45754</v>
      </c>
      <c r="E93" s="44">
        <f t="shared" si="11"/>
        <v>6.6666666666666599</v>
      </c>
      <c r="F93" s="45">
        <f t="shared" si="10"/>
        <v>45754.666666666853</v>
      </c>
      <c r="G93" s="52">
        <v>44</v>
      </c>
      <c r="H93" s="53">
        <v>41</v>
      </c>
      <c r="I93" s="54">
        <v>10.4</v>
      </c>
      <c r="J93" s="54">
        <v>300</v>
      </c>
      <c r="K93" s="55">
        <v>6.5</v>
      </c>
      <c r="L93" s="56">
        <v>41</v>
      </c>
      <c r="M93" s="54">
        <v>10.3</v>
      </c>
      <c r="N93" s="54">
        <v>300</v>
      </c>
      <c r="O93" s="57">
        <v>6.5</v>
      </c>
      <c r="P93" s="53">
        <v>41</v>
      </c>
      <c r="Q93" s="54">
        <v>10.1</v>
      </c>
      <c r="R93" s="55">
        <v>0</v>
      </c>
      <c r="S93" s="55">
        <v>6.7</v>
      </c>
      <c r="T93" s="57">
        <v>17.75</v>
      </c>
      <c r="U93" s="56">
        <v>41</v>
      </c>
      <c r="V93" s="54">
        <v>10.3</v>
      </c>
      <c r="W93" s="55">
        <v>0</v>
      </c>
      <c r="X93" s="55">
        <v>6.3</v>
      </c>
      <c r="Y93" s="57">
        <v>13.75</v>
      </c>
      <c r="Z93" s="53">
        <v>42</v>
      </c>
      <c r="AA93" s="54">
        <v>10.199999999999999</v>
      </c>
      <c r="AB93" s="55">
        <v>0</v>
      </c>
      <c r="AC93" s="55">
        <v>6.5</v>
      </c>
      <c r="AD93" s="57">
        <v>8.75</v>
      </c>
      <c r="AE93" s="56">
        <v>40</v>
      </c>
      <c r="AF93" s="54">
        <v>10.5</v>
      </c>
      <c r="AG93" s="55">
        <v>0</v>
      </c>
      <c r="AH93" s="55">
        <v>6.5</v>
      </c>
      <c r="AI93" s="57">
        <v>7.5</v>
      </c>
      <c r="AJ93" s="56">
        <v>40</v>
      </c>
      <c r="AK93" s="54">
        <v>10.3</v>
      </c>
      <c r="AL93" s="54">
        <v>0</v>
      </c>
      <c r="AM93" s="54">
        <v>6.2</v>
      </c>
      <c r="AN93" s="57">
        <v>11.25</v>
      </c>
      <c r="AO93" s="53">
        <v>37</v>
      </c>
      <c r="AP93" s="54">
        <v>10.6</v>
      </c>
      <c r="AQ93" s="54">
        <v>140</v>
      </c>
      <c r="AR93" s="54">
        <v>6.6</v>
      </c>
      <c r="AS93" s="54">
        <v>30</v>
      </c>
      <c r="AT93" s="56">
        <v>32</v>
      </c>
      <c r="AU93" s="57">
        <v>110</v>
      </c>
      <c r="AV93" s="56">
        <v>95.17822265625</v>
      </c>
      <c r="AW93" s="57">
        <v>231.52548809051515</v>
      </c>
      <c r="AX93" s="8"/>
      <c r="AZ93" s="1">
        <v>90</v>
      </c>
      <c r="BB93" s="82">
        <f t="shared" si="9"/>
        <v>39.338000000000001</v>
      </c>
    </row>
    <row r="94" spans="3:54" ht="15" customHeight="1" x14ac:dyDescent="0.25">
      <c r="C94" s="42"/>
      <c r="D94" s="43">
        <f>D88</f>
        <v>45754</v>
      </c>
      <c r="E94" s="44">
        <f t="shared" si="11"/>
        <v>6.7499999999999929</v>
      </c>
      <c r="F94" s="45">
        <f t="shared" si="10"/>
        <v>45754.750000000189</v>
      </c>
      <c r="G94" s="52">
        <v>42</v>
      </c>
      <c r="H94" s="53">
        <v>41</v>
      </c>
      <c r="I94" s="54">
        <v>10.6</v>
      </c>
      <c r="J94" s="54">
        <v>350</v>
      </c>
      <c r="K94" s="55">
        <v>6.7</v>
      </c>
      <c r="L94" s="56">
        <v>41</v>
      </c>
      <c r="M94" s="54">
        <v>10.4</v>
      </c>
      <c r="N94" s="54">
        <v>300</v>
      </c>
      <c r="O94" s="57">
        <v>6.4</v>
      </c>
      <c r="P94" s="53">
        <v>41</v>
      </c>
      <c r="Q94" s="54">
        <v>10.199999999999999</v>
      </c>
      <c r="R94" s="55">
        <v>0</v>
      </c>
      <c r="S94" s="55">
        <v>6.9</v>
      </c>
      <c r="T94" s="57">
        <v>17.75</v>
      </c>
      <c r="U94" s="56">
        <v>41</v>
      </c>
      <c r="V94" s="54">
        <v>10.3</v>
      </c>
      <c r="W94" s="55">
        <v>0</v>
      </c>
      <c r="X94" s="55">
        <v>6.7</v>
      </c>
      <c r="Y94" s="57">
        <v>13.25</v>
      </c>
      <c r="Z94" s="53">
        <v>42</v>
      </c>
      <c r="AA94" s="54">
        <v>10.3</v>
      </c>
      <c r="AB94" s="55">
        <v>0</v>
      </c>
      <c r="AC94" s="55">
        <v>6.4</v>
      </c>
      <c r="AD94" s="57">
        <v>8.75</v>
      </c>
      <c r="AE94" s="56">
        <v>40</v>
      </c>
      <c r="AF94" s="54">
        <v>10.3</v>
      </c>
      <c r="AG94" s="55">
        <v>0</v>
      </c>
      <c r="AH94" s="55">
        <v>6.5</v>
      </c>
      <c r="AI94" s="57">
        <v>10</v>
      </c>
      <c r="AJ94" s="56">
        <v>39</v>
      </c>
      <c r="AK94" s="54">
        <v>10.3</v>
      </c>
      <c r="AL94" s="54">
        <v>0</v>
      </c>
      <c r="AM94" s="54">
        <v>6.6</v>
      </c>
      <c r="AN94" s="57">
        <v>12.5</v>
      </c>
      <c r="AO94" s="53">
        <v>38</v>
      </c>
      <c r="AP94" s="54">
        <v>10.5</v>
      </c>
      <c r="AQ94" s="54">
        <v>140</v>
      </c>
      <c r="AR94" s="54">
        <v>6.8</v>
      </c>
      <c r="AS94" s="54">
        <v>25</v>
      </c>
      <c r="AT94" s="56">
        <v>32</v>
      </c>
      <c r="AU94" s="57">
        <v>110</v>
      </c>
      <c r="AV94" s="56">
        <v>95.064285278320298</v>
      </c>
      <c r="AW94" s="57">
        <v>230.61909287770592</v>
      </c>
      <c r="AX94" s="8"/>
      <c r="AZ94" s="1">
        <v>90</v>
      </c>
      <c r="BB94" s="82">
        <f t="shared" si="9"/>
        <v>38.564500000000002</v>
      </c>
    </row>
    <row r="95" spans="3:54" ht="15" customHeight="1" x14ac:dyDescent="0.25">
      <c r="C95" s="42"/>
      <c r="D95" s="43">
        <f>D88</f>
        <v>45754</v>
      </c>
      <c r="E95" s="44">
        <f t="shared" si="11"/>
        <v>6.8333333333333259</v>
      </c>
      <c r="F95" s="45">
        <f t="shared" si="10"/>
        <v>45754.833333333525</v>
      </c>
      <c r="G95" s="52">
        <v>39</v>
      </c>
      <c r="H95" s="53">
        <v>40</v>
      </c>
      <c r="I95" s="54">
        <v>10</v>
      </c>
      <c r="J95" s="54">
        <v>350</v>
      </c>
      <c r="K95" s="55">
        <v>6.1</v>
      </c>
      <c r="L95" s="56">
        <v>40</v>
      </c>
      <c r="M95" s="54">
        <v>10.199999999999999</v>
      </c>
      <c r="N95" s="54">
        <v>350</v>
      </c>
      <c r="O95" s="57">
        <v>6.1</v>
      </c>
      <c r="P95" s="53">
        <v>40</v>
      </c>
      <c r="Q95" s="54">
        <v>10.199999999999999</v>
      </c>
      <c r="R95" s="55">
        <v>0</v>
      </c>
      <c r="S95" s="55">
        <v>5.7</v>
      </c>
      <c r="T95" s="57">
        <v>17.5</v>
      </c>
      <c r="U95" s="56">
        <v>40</v>
      </c>
      <c r="V95" s="54">
        <v>10.3</v>
      </c>
      <c r="W95" s="55">
        <v>0</v>
      </c>
      <c r="X95" s="55">
        <v>5.3</v>
      </c>
      <c r="Y95" s="57">
        <v>15</v>
      </c>
      <c r="Z95" s="53">
        <v>38</v>
      </c>
      <c r="AA95" s="54">
        <v>10.4</v>
      </c>
      <c r="AB95" s="55">
        <v>0</v>
      </c>
      <c r="AC95" s="55">
        <v>5.0999999999999996</v>
      </c>
      <c r="AD95" s="57">
        <v>7.5</v>
      </c>
      <c r="AE95" s="56">
        <v>39</v>
      </c>
      <c r="AF95" s="54">
        <v>10.4</v>
      </c>
      <c r="AG95" s="55">
        <v>0</v>
      </c>
      <c r="AH95" s="55">
        <v>5.2</v>
      </c>
      <c r="AI95" s="57">
        <v>10</v>
      </c>
      <c r="AJ95" s="56">
        <v>38</v>
      </c>
      <c r="AK95" s="54">
        <v>10.5</v>
      </c>
      <c r="AL95" s="54">
        <v>0</v>
      </c>
      <c r="AM95" s="54">
        <v>6.1</v>
      </c>
      <c r="AN95" s="57">
        <v>12.5</v>
      </c>
      <c r="AO95" s="53">
        <v>38</v>
      </c>
      <c r="AP95" s="54">
        <v>10.5</v>
      </c>
      <c r="AQ95" s="54">
        <v>160</v>
      </c>
      <c r="AR95" s="54">
        <v>6.4</v>
      </c>
      <c r="AS95" s="54">
        <v>20.5</v>
      </c>
      <c r="AT95" s="56">
        <v>31</v>
      </c>
      <c r="AU95" s="57">
        <v>120</v>
      </c>
      <c r="AV95" s="56">
        <v>95.1416015625</v>
      </c>
      <c r="AW95" s="57">
        <v>234.28469734191899</v>
      </c>
      <c r="AX95" s="8"/>
      <c r="AZ95" s="1">
        <v>90</v>
      </c>
      <c r="BB95" s="82">
        <f t="shared" si="9"/>
        <v>36.686</v>
      </c>
    </row>
    <row r="96" spans="3:54" ht="15" customHeight="1" x14ac:dyDescent="0.25">
      <c r="C96" s="42"/>
      <c r="D96" s="43">
        <f>D88</f>
        <v>45754</v>
      </c>
      <c r="E96" s="44">
        <f t="shared" si="11"/>
        <v>6.916666666666659</v>
      </c>
      <c r="F96" s="45">
        <f t="shared" si="10"/>
        <v>45754.916666666861</v>
      </c>
      <c r="G96" s="52">
        <v>39</v>
      </c>
      <c r="H96" s="53">
        <v>40</v>
      </c>
      <c r="I96" s="54">
        <v>11</v>
      </c>
      <c r="J96" s="54">
        <v>400</v>
      </c>
      <c r="K96" s="55">
        <v>6.3</v>
      </c>
      <c r="L96" s="56">
        <v>39</v>
      </c>
      <c r="M96" s="54">
        <v>10.4</v>
      </c>
      <c r="N96" s="54">
        <v>350</v>
      </c>
      <c r="O96" s="57">
        <v>6.5</v>
      </c>
      <c r="P96" s="53">
        <v>40</v>
      </c>
      <c r="Q96" s="54">
        <v>10.4</v>
      </c>
      <c r="R96" s="55">
        <v>0</v>
      </c>
      <c r="S96" s="55">
        <v>5.5</v>
      </c>
      <c r="T96" s="57">
        <v>17</v>
      </c>
      <c r="U96" s="56">
        <v>39</v>
      </c>
      <c r="V96" s="54">
        <v>10.4</v>
      </c>
      <c r="W96" s="55">
        <v>0</v>
      </c>
      <c r="X96" s="55">
        <v>5.4</v>
      </c>
      <c r="Y96" s="57">
        <v>15</v>
      </c>
      <c r="Z96" s="53">
        <v>37</v>
      </c>
      <c r="AA96" s="54">
        <v>10.3</v>
      </c>
      <c r="AB96" s="55">
        <v>0</v>
      </c>
      <c r="AC96" s="55">
        <v>5.3</v>
      </c>
      <c r="AD96" s="57">
        <v>8.75</v>
      </c>
      <c r="AE96" s="56">
        <v>38</v>
      </c>
      <c r="AF96" s="54">
        <v>10.3</v>
      </c>
      <c r="AG96" s="55">
        <v>0</v>
      </c>
      <c r="AH96" s="55">
        <v>5.0999999999999996</v>
      </c>
      <c r="AI96" s="57">
        <v>8.75</v>
      </c>
      <c r="AJ96" s="56">
        <v>36</v>
      </c>
      <c r="AK96" s="54">
        <v>10.5</v>
      </c>
      <c r="AL96" s="54">
        <v>0</v>
      </c>
      <c r="AM96" s="54">
        <v>6.3</v>
      </c>
      <c r="AN96" s="57">
        <v>12.5</v>
      </c>
      <c r="AO96" s="53">
        <v>36</v>
      </c>
      <c r="AP96" s="54">
        <v>10.4</v>
      </c>
      <c r="AQ96" s="54">
        <v>150</v>
      </c>
      <c r="AR96" s="54">
        <v>6.3</v>
      </c>
      <c r="AS96" s="54">
        <v>20.5</v>
      </c>
      <c r="AT96" s="56">
        <v>30</v>
      </c>
      <c r="AU96" s="57">
        <v>130</v>
      </c>
      <c r="AV96" s="56">
        <v>94.999183654785199</v>
      </c>
      <c r="AW96" s="57">
        <v>237.35930175781249</v>
      </c>
      <c r="AX96" s="8"/>
      <c r="AZ96" s="1">
        <v>90</v>
      </c>
      <c r="BB96" s="82">
        <f t="shared" si="9"/>
        <v>36.465000000000003</v>
      </c>
    </row>
    <row r="97" spans="3:54" ht="15" customHeight="1" x14ac:dyDescent="0.25">
      <c r="C97" s="42"/>
      <c r="D97" s="43">
        <f>D88</f>
        <v>45754</v>
      </c>
      <c r="E97" s="44">
        <f t="shared" si="11"/>
        <v>6.999999999999992</v>
      </c>
      <c r="F97" s="45">
        <f t="shared" si="10"/>
        <v>45755.000000000196</v>
      </c>
      <c r="G97" s="52">
        <v>41</v>
      </c>
      <c r="H97" s="53">
        <v>38</v>
      </c>
      <c r="I97" s="54">
        <v>11</v>
      </c>
      <c r="J97" s="54">
        <v>400</v>
      </c>
      <c r="K97" s="55">
        <v>6.5</v>
      </c>
      <c r="L97" s="56">
        <v>38</v>
      </c>
      <c r="M97" s="54">
        <v>10.3</v>
      </c>
      <c r="N97" s="54">
        <v>350</v>
      </c>
      <c r="O97" s="57">
        <v>6.7</v>
      </c>
      <c r="P97" s="53">
        <v>40</v>
      </c>
      <c r="Q97" s="54">
        <v>10.3</v>
      </c>
      <c r="R97" s="55">
        <v>0</v>
      </c>
      <c r="S97" s="55">
        <v>5.7</v>
      </c>
      <c r="T97" s="57">
        <v>17.5</v>
      </c>
      <c r="U97" s="56">
        <v>40</v>
      </c>
      <c r="V97" s="54">
        <v>10.3</v>
      </c>
      <c r="W97" s="55">
        <v>0</v>
      </c>
      <c r="X97" s="55">
        <v>5.2</v>
      </c>
      <c r="Y97" s="57">
        <v>14.75</v>
      </c>
      <c r="Z97" s="53">
        <v>38</v>
      </c>
      <c r="AA97" s="54">
        <v>10.4</v>
      </c>
      <c r="AB97" s="55">
        <v>0</v>
      </c>
      <c r="AC97" s="55">
        <v>5</v>
      </c>
      <c r="AD97" s="57">
        <v>12.5</v>
      </c>
      <c r="AE97" s="56">
        <v>39</v>
      </c>
      <c r="AF97" s="54">
        <v>10.4</v>
      </c>
      <c r="AG97" s="55">
        <v>0</v>
      </c>
      <c r="AH97" s="55">
        <v>5.4</v>
      </c>
      <c r="AI97" s="57">
        <v>8.75</v>
      </c>
      <c r="AJ97" s="56">
        <v>38</v>
      </c>
      <c r="AK97" s="54">
        <v>10.3</v>
      </c>
      <c r="AL97" s="54">
        <v>0</v>
      </c>
      <c r="AM97" s="54">
        <v>6.5</v>
      </c>
      <c r="AN97" s="57">
        <v>10</v>
      </c>
      <c r="AO97" s="53">
        <v>37</v>
      </c>
      <c r="AP97" s="54">
        <v>10.3</v>
      </c>
      <c r="AQ97" s="54">
        <v>140</v>
      </c>
      <c r="AR97" s="54">
        <v>6.7</v>
      </c>
      <c r="AS97" s="54">
        <v>20</v>
      </c>
      <c r="AT97" s="56">
        <v>30</v>
      </c>
      <c r="AU97" s="57">
        <v>120</v>
      </c>
      <c r="AV97" s="56">
        <v>95.084632873535199</v>
      </c>
      <c r="AW97" s="57">
        <v>235.78812077840169</v>
      </c>
      <c r="AX97" s="8"/>
      <c r="AZ97" s="1">
        <v>90</v>
      </c>
      <c r="BB97" s="82">
        <f t="shared" si="9"/>
        <v>36.906999999999996</v>
      </c>
    </row>
    <row r="98" spans="3:54" ht="15" customHeight="1" x14ac:dyDescent="0.25">
      <c r="C98" s="42"/>
      <c r="D98" s="43">
        <f>D88</f>
        <v>45754</v>
      </c>
      <c r="E98" s="44">
        <f t="shared" si="11"/>
        <v>7.083333333333325</v>
      </c>
      <c r="F98" s="45">
        <f t="shared" si="10"/>
        <v>45755.083333333532</v>
      </c>
      <c r="G98" s="52">
        <v>42</v>
      </c>
      <c r="H98" s="53">
        <v>40</v>
      </c>
      <c r="I98" s="54">
        <v>10.9</v>
      </c>
      <c r="J98" s="54">
        <v>400</v>
      </c>
      <c r="K98" s="55">
        <v>6.7</v>
      </c>
      <c r="L98" s="56">
        <v>39</v>
      </c>
      <c r="M98" s="54">
        <v>10.5</v>
      </c>
      <c r="N98" s="54">
        <v>350</v>
      </c>
      <c r="O98" s="57">
        <v>6.8</v>
      </c>
      <c r="P98" s="53">
        <v>38</v>
      </c>
      <c r="Q98" s="54">
        <v>10.5</v>
      </c>
      <c r="R98" s="55">
        <v>0</v>
      </c>
      <c r="S98" s="55">
        <v>6.1</v>
      </c>
      <c r="T98" s="57">
        <v>17.25</v>
      </c>
      <c r="U98" s="56">
        <v>38</v>
      </c>
      <c r="V98" s="54">
        <v>10.3</v>
      </c>
      <c r="W98" s="55">
        <v>0</v>
      </c>
      <c r="X98" s="55">
        <v>5.6</v>
      </c>
      <c r="Y98" s="57">
        <v>14.5</v>
      </c>
      <c r="Z98" s="53">
        <v>37</v>
      </c>
      <c r="AA98" s="54">
        <v>10.4</v>
      </c>
      <c r="AB98" s="55">
        <v>0</v>
      </c>
      <c r="AC98" s="55">
        <v>5.4</v>
      </c>
      <c r="AD98" s="57">
        <v>12.25</v>
      </c>
      <c r="AE98" s="56">
        <v>37</v>
      </c>
      <c r="AF98" s="54">
        <v>10.4</v>
      </c>
      <c r="AG98" s="55">
        <v>0</v>
      </c>
      <c r="AH98" s="55">
        <v>6</v>
      </c>
      <c r="AI98" s="57">
        <v>9.75</v>
      </c>
      <c r="AJ98" s="56">
        <v>36</v>
      </c>
      <c r="AK98" s="54">
        <v>10.4</v>
      </c>
      <c r="AL98" s="54">
        <v>0</v>
      </c>
      <c r="AM98" s="54">
        <v>6.7</v>
      </c>
      <c r="AN98" s="57">
        <v>7.5</v>
      </c>
      <c r="AO98" s="53">
        <v>37</v>
      </c>
      <c r="AP98" s="54">
        <v>10.3</v>
      </c>
      <c r="AQ98" s="54">
        <v>140</v>
      </c>
      <c r="AR98" s="54">
        <v>6.1</v>
      </c>
      <c r="AS98" s="54">
        <v>21.25</v>
      </c>
      <c r="AT98" s="56">
        <v>31</v>
      </c>
      <c r="AU98" s="57">
        <v>120</v>
      </c>
      <c r="AV98" s="56">
        <v>95.100906372070298</v>
      </c>
      <c r="AW98" s="57">
        <v>233.12319075266521</v>
      </c>
      <c r="AX98" s="8"/>
      <c r="AZ98" s="1">
        <v>90</v>
      </c>
      <c r="BB98" s="82">
        <f t="shared" si="9"/>
        <v>36.465000000000003</v>
      </c>
    </row>
    <row r="99" spans="3:54" ht="15" customHeight="1" x14ac:dyDescent="0.25">
      <c r="C99" s="42"/>
      <c r="D99" s="69">
        <f>D88</f>
        <v>45754</v>
      </c>
      <c r="E99" s="70">
        <f t="shared" si="11"/>
        <v>7.1666666666666581</v>
      </c>
      <c r="F99" s="71">
        <f t="shared" si="10"/>
        <v>45755.166666666868</v>
      </c>
      <c r="G99" s="60">
        <v>41</v>
      </c>
      <c r="H99" s="61">
        <v>38</v>
      </c>
      <c r="I99" s="62">
        <v>10.5</v>
      </c>
      <c r="J99" s="62">
        <v>350</v>
      </c>
      <c r="K99" s="63">
        <v>6.5</v>
      </c>
      <c r="L99" s="64">
        <v>39</v>
      </c>
      <c r="M99" s="62">
        <v>10.5</v>
      </c>
      <c r="N99" s="62">
        <v>350</v>
      </c>
      <c r="O99" s="65">
        <v>6.4</v>
      </c>
      <c r="P99" s="61">
        <v>38</v>
      </c>
      <c r="Q99" s="62">
        <v>10.5</v>
      </c>
      <c r="R99" s="63">
        <v>0</v>
      </c>
      <c r="S99" s="63">
        <v>6.2</v>
      </c>
      <c r="T99" s="65">
        <v>17.5</v>
      </c>
      <c r="U99" s="64">
        <v>38</v>
      </c>
      <c r="V99" s="62">
        <v>10.4</v>
      </c>
      <c r="W99" s="63">
        <v>0</v>
      </c>
      <c r="X99" s="63">
        <v>5.4</v>
      </c>
      <c r="Y99" s="65">
        <v>15</v>
      </c>
      <c r="Z99" s="61">
        <v>37</v>
      </c>
      <c r="AA99" s="62">
        <v>10.4</v>
      </c>
      <c r="AB99" s="63">
        <v>0</v>
      </c>
      <c r="AC99" s="63">
        <v>5.3</v>
      </c>
      <c r="AD99" s="65">
        <v>12.5</v>
      </c>
      <c r="AE99" s="64">
        <v>38</v>
      </c>
      <c r="AF99" s="62">
        <v>10.3</v>
      </c>
      <c r="AG99" s="63">
        <v>0</v>
      </c>
      <c r="AH99" s="63">
        <v>6</v>
      </c>
      <c r="AI99" s="65">
        <v>10</v>
      </c>
      <c r="AJ99" s="64">
        <v>38</v>
      </c>
      <c r="AK99" s="62">
        <v>10.3</v>
      </c>
      <c r="AL99" s="62">
        <v>0</v>
      </c>
      <c r="AM99" s="62">
        <v>6.5</v>
      </c>
      <c r="AN99" s="65">
        <v>11.25</v>
      </c>
      <c r="AO99" s="61">
        <v>38</v>
      </c>
      <c r="AP99" s="62">
        <v>10.4</v>
      </c>
      <c r="AQ99" s="62">
        <v>130</v>
      </c>
      <c r="AR99" s="62">
        <v>6.7</v>
      </c>
      <c r="AS99" s="62">
        <v>17.5</v>
      </c>
      <c r="AT99" s="64">
        <v>30</v>
      </c>
      <c r="AU99" s="65">
        <v>100</v>
      </c>
      <c r="AV99" s="64">
        <v>95.096839904785199</v>
      </c>
      <c r="AW99" s="65">
        <v>233.69152634938558</v>
      </c>
      <c r="AX99" s="8"/>
      <c r="AZ99" s="1">
        <v>90</v>
      </c>
      <c r="BB99" s="82">
        <f t="shared" si="9"/>
        <v>37.017499999999998</v>
      </c>
    </row>
    <row r="100" spans="3:54" ht="15" customHeight="1" x14ac:dyDescent="0.25">
      <c r="C100" s="42">
        <f>C88+1</f>
        <v>8</v>
      </c>
      <c r="D100" s="66">
        <f>DATE([4]Dash!$F$3,VLOOKUP([4]Dash!$E$3,[4]Abb!$C$3:$D$14,2,FALSE),C100)</f>
        <v>45755</v>
      </c>
      <c r="E100" s="67">
        <f>E99+2/24</f>
        <v>7.2499999999999911</v>
      </c>
      <c r="F100" s="68">
        <f t="shared" si="10"/>
        <v>45755.250000000204</v>
      </c>
      <c r="G100" s="46">
        <v>40</v>
      </c>
      <c r="H100" s="47">
        <v>39</v>
      </c>
      <c r="I100" s="48">
        <v>10.4</v>
      </c>
      <c r="J100" s="48">
        <v>350</v>
      </c>
      <c r="K100" s="49">
        <v>6.7</v>
      </c>
      <c r="L100" s="50">
        <v>39</v>
      </c>
      <c r="M100" s="48">
        <v>10.6</v>
      </c>
      <c r="N100" s="48">
        <v>450</v>
      </c>
      <c r="O100" s="51">
        <v>6.3</v>
      </c>
      <c r="P100" s="47">
        <v>39</v>
      </c>
      <c r="Q100" s="48">
        <v>10.4</v>
      </c>
      <c r="R100" s="49">
        <v>0</v>
      </c>
      <c r="S100" s="49">
        <v>6</v>
      </c>
      <c r="T100" s="51">
        <v>17</v>
      </c>
      <c r="U100" s="50">
        <v>37</v>
      </c>
      <c r="V100" s="48">
        <v>10.4</v>
      </c>
      <c r="W100" s="49">
        <v>0</v>
      </c>
      <c r="X100" s="49">
        <v>5.0999999999999996</v>
      </c>
      <c r="Y100" s="51">
        <v>14.5</v>
      </c>
      <c r="Z100" s="47">
        <v>38</v>
      </c>
      <c r="AA100" s="48">
        <v>10.3</v>
      </c>
      <c r="AB100" s="49">
        <v>0</v>
      </c>
      <c r="AC100" s="49">
        <v>5.4</v>
      </c>
      <c r="AD100" s="51">
        <v>12.5</v>
      </c>
      <c r="AE100" s="50">
        <v>38</v>
      </c>
      <c r="AF100" s="48">
        <v>10.3</v>
      </c>
      <c r="AG100" s="49">
        <v>0</v>
      </c>
      <c r="AH100" s="49">
        <v>5.3</v>
      </c>
      <c r="AI100" s="51">
        <v>10</v>
      </c>
      <c r="AJ100" s="50">
        <v>37</v>
      </c>
      <c r="AK100" s="48">
        <v>10.3</v>
      </c>
      <c r="AL100" s="48">
        <v>0</v>
      </c>
      <c r="AM100" s="48">
        <v>6.1</v>
      </c>
      <c r="AN100" s="51">
        <v>11.25</v>
      </c>
      <c r="AO100" s="47">
        <v>37</v>
      </c>
      <c r="AP100" s="48">
        <v>10.4</v>
      </c>
      <c r="AQ100" s="48">
        <v>140</v>
      </c>
      <c r="AR100" s="48">
        <v>6.5</v>
      </c>
      <c r="AS100" s="48">
        <v>17.5</v>
      </c>
      <c r="AT100" s="50">
        <v>29</v>
      </c>
      <c r="AU100" s="51">
        <v>100</v>
      </c>
      <c r="AV100" s="50">
        <v>95.011390686035199</v>
      </c>
      <c r="AW100" s="51">
        <v>233.03361193339032</v>
      </c>
      <c r="AX100" s="8"/>
      <c r="AZ100" s="1">
        <v>90</v>
      </c>
      <c r="BB100" s="82">
        <f t="shared" si="9"/>
        <v>36.575499999999998</v>
      </c>
    </row>
    <row r="101" spans="3:54" ht="15" customHeight="1" x14ac:dyDescent="0.25">
      <c r="C101" s="42"/>
      <c r="D101" s="43">
        <f>D100</f>
        <v>45755</v>
      </c>
      <c r="E101" s="44">
        <f>E100+2/24</f>
        <v>7.3333333333333242</v>
      </c>
      <c r="F101" s="45">
        <f t="shared" si="10"/>
        <v>45755.333333333539</v>
      </c>
      <c r="G101" s="52">
        <v>41</v>
      </c>
      <c r="H101" s="53">
        <v>42</v>
      </c>
      <c r="I101" s="54">
        <v>9.8000000000000007</v>
      </c>
      <c r="J101" s="54">
        <v>250</v>
      </c>
      <c r="K101" s="55">
        <v>6.4</v>
      </c>
      <c r="L101" s="56">
        <v>40</v>
      </c>
      <c r="M101" s="54">
        <v>10.3</v>
      </c>
      <c r="N101" s="54">
        <v>300</v>
      </c>
      <c r="O101" s="57">
        <v>6.7</v>
      </c>
      <c r="P101" s="53">
        <v>40</v>
      </c>
      <c r="Q101" s="54">
        <v>10.3</v>
      </c>
      <c r="R101" s="55">
        <v>0</v>
      </c>
      <c r="S101" s="55">
        <v>6.1</v>
      </c>
      <c r="T101" s="57">
        <v>17.5</v>
      </c>
      <c r="U101" s="56">
        <v>39</v>
      </c>
      <c r="V101" s="54">
        <v>10.4</v>
      </c>
      <c r="W101" s="55">
        <v>0</v>
      </c>
      <c r="X101" s="55">
        <v>6.4</v>
      </c>
      <c r="Y101" s="57">
        <v>15</v>
      </c>
      <c r="Z101" s="53">
        <v>40</v>
      </c>
      <c r="AA101" s="54">
        <v>10.3</v>
      </c>
      <c r="AB101" s="55">
        <v>0</v>
      </c>
      <c r="AC101" s="55">
        <v>5.9</v>
      </c>
      <c r="AD101" s="57">
        <v>12.5</v>
      </c>
      <c r="AE101" s="56">
        <v>37</v>
      </c>
      <c r="AF101" s="54">
        <v>10.199999999999999</v>
      </c>
      <c r="AG101" s="55">
        <v>0</v>
      </c>
      <c r="AH101" s="55">
        <v>6</v>
      </c>
      <c r="AI101" s="57">
        <v>8.75</v>
      </c>
      <c r="AJ101" s="56">
        <v>39</v>
      </c>
      <c r="AK101" s="54">
        <v>10.199999999999999</v>
      </c>
      <c r="AL101" s="54">
        <v>0</v>
      </c>
      <c r="AM101" s="54">
        <v>5.9</v>
      </c>
      <c r="AN101" s="57">
        <v>12.5</v>
      </c>
      <c r="AO101" s="53">
        <v>39</v>
      </c>
      <c r="AP101" s="54">
        <v>10.199999999999999</v>
      </c>
      <c r="AQ101" s="54">
        <v>100</v>
      </c>
      <c r="AR101" s="54">
        <v>6</v>
      </c>
      <c r="AS101" s="54">
        <v>17.5</v>
      </c>
      <c r="AT101" s="56">
        <v>31</v>
      </c>
      <c r="AU101" s="57">
        <v>80</v>
      </c>
      <c r="AV101" s="56">
        <v>95.149734497070298</v>
      </c>
      <c r="AW101" s="57">
        <v>231.98640047709148</v>
      </c>
      <c r="AX101" s="8"/>
      <c r="AZ101" s="1">
        <v>90</v>
      </c>
      <c r="BB101" s="82">
        <f t="shared" si="9"/>
        <v>37.017499999999998</v>
      </c>
    </row>
    <row r="102" spans="3:54" ht="15" customHeight="1" x14ac:dyDescent="0.25">
      <c r="C102" s="42"/>
      <c r="D102" s="43">
        <f>D100</f>
        <v>45755</v>
      </c>
      <c r="E102" s="44">
        <f t="shared" ref="E102:E111" si="12">E101+2/24</f>
        <v>7.4166666666666572</v>
      </c>
      <c r="F102" s="45">
        <f t="shared" si="10"/>
        <v>45755.416666666875</v>
      </c>
      <c r="G102" s="52">
        <v>42</v>
      </c>
      <c r="H102" s="53">
        <v>42</v>
      </c>
      <c r="I102" s="54">
        <v>9.9</v>
      </c>
      <c r="J102" s="54">
        <v>300</v>
      </c>
      <c r="K102" s="55">
        <v>6.1</v>
      </c>
      <c r="L102" s="56">
        <v>42</v>
      </c>
      <c r="M102" s="54">
        <v>10.199999999999999</v>
      </c>
      <c r="N102" s="54">
        <v>250</v>
      </c>
      <c r="O102" s="57">
        <v>6.2</v>
      </c>
      <c r="P102" s="53">
        <v>41</v>
      </c>
      <c r="Q102" s="54">
        <v>10.3</v>
      </c>
      <c r="R102" s="55">
        <v>0</v>
      </c>
      <c r="S102" s="55">
        <v>6.4</v>
      </c>
      <c r="T102" s="57">
        <v>17</v>
      </c>
      <c r="U102" s="56">
        <v>40</v>
      </c>
      <c r="V102" s="54">
        <v>10.4</v>
      </c>
      <c r="W102" s="55">
        <v>0</v>
      </c>
      <c r="X102" s="55">
        <v>6.2</v>
      </c>
      <c r="Y102" s="57">
        <v>14.5</v>
      </c>
      <c r="Z102" s="53">
        <v>40</v>
      </c>
      <c r="AA102" s="54">
        <v>10.3</v>
      </c>
      <c r="AB102" s="55">
        <v>0</v>
      </c>
      <c r="AC102" s="55">
        <v>5.6</v>
      </c>
      <c r="AD102" s="57">
        <v>12.25</v>
      </c>
      <c r="AE102" s="56">
        <v>37</v>
      </c>
      <c r="AF102" s="54">
        <v>10.199999999999999</v>
      </c>
      <c r="AG102" s="55">
        <v>0</v>
      </c>
      <c r="AH102" s="55">
        <v>6.1</v>
      </c>
      <c r="AI102" s="57">
        <v>9.75</v>
      </c>
      <c r="AJ102" s="56">
        <v>40</v>
      </c>
      <c r="AK102" s="54">
        <v>10.199999999999999</v>
      </c>
      <c r="AL102" s="54">
        <v>0</v>
      </c>
      <c r="AM102" s="54">
        <v>5.7</v>
      </c>
      <c r="AN102" s="57">
        <v>11.75</v>
      </c>
      <c r="AO102" s="53">
        <v>41</v>
      </c>
      <c r="AP102" s="54">
        <v>10.1</v>
      </c>
      <c r="AQ102" s="54">
        <v>100</v>
      </c>
      <c r="AR102" s="54">
        <v>5.9</v>
      </c>
      <c r="AS102" s="54">
        <v>17</v>
      </c>
      <c r="AT102" s="56">
        <v>32</v>
      </c>
      <c r="AU102" s="57">
        <v>90</v>
      </c>
      <c r="AV102" s="56">
        <v>95.145668029785199</v>
      </c>
      <c r="AW102" s="57">
        <v>239.82192757924398</v>
      </c>
      <c r="AX102" s="8"/>
      <c r="AZ102" s="1">
        <v>90</v>
      </c>
      <c r="BB102" s="82">
        <f t="shared" si="9"/>
        <v>36.354500000000002</v>
      </c>
    </row>
    <row r="103" spans="3:54" ht="15" customHeight="1" x14ac:dyDescent="0.25">
      <c r="C103" s="42"/>
      <c r="D103" s="43">
        <f>D100</f>
        <v>45755</v>
      </c>
      <c r="E103" s="44">
        <f t="shared" si="12"/>
        <v>7.4999999999999902</v>
      </c>
      <c r="F103" s="45">
        <f t="shared" si="10"/>
        <v>45755.500000000211</v>
      </c>
      <c r="G103" s="52">
        <v>47</v>
      </c>
      <c r="H103" s="53">
        <v>41</v>
      </c>
      <c r="I103" s="54">
        <v>10.7</v>
      </c>
      <c r="J103" s="54">
        <v>350</v>
      </c>
      <c r="K103" s="55">
        <v>6.7</v>
      </c>
      <c r="L103" s="56">
        <v>40</v>
      </c>
      <c r="M103" s="54">
        <v>10.3</v>
      </c>
      <c r="N103" s="54">
        <v>250</v>
      </c>
      <c r="O103" s="57">
        <v>6.9</v>
      </c>
      <c r="P103" s="53">
        <v>42</v>
      </c>
      <c r="Q103" s="54">
        <v>10.4</v>
      </c>
      <c r="R103" s="55">
        <v>0</v>
      </c>
      <c r="S103" s="55">
        <v>6.3</v>
      </c>
      <c r="T103" s="57">
        <v>17.25</v>
      </c>
      <c r="U103" s="56">
        <v>41</v>
      </c>
      <c r="V103" s="54">
        <v>10.4</v>
      </c>
      <c r="W103" s="55">
        <v>0</v>
      </c>
      <c r="X103" s="55">
        <v>6.6</v>
      </c>
      <c r="Y103" s="57">
        <v>13.75</v>
      </c>
      <c r="Z103" s="53">
        <v>40</v>
      </c>
      <c r="AA103" s="54">
        <v>10.3</v>
      </c>
      <c r="AB103" s="55">
        <v>0</v>
      </c>
      <c r="AC103" s="55">
        <v>6.2</v>
      </c>
      <c r="AD103" s="57">
        <v>12.5</v>
      </c>
      <c r="AE103" s="56">
        <v>38</v>
      </c>
      <c r="AF103" s="54">
        <v>10.3</v>
      </c>
      <c r="AG103" s="55">
        <v>0</v>
      </c>
      <c r="AH103" s="55">
        <v>5.8</v>
      </c>
      <c r="AI103" s="57">
        <v>8.75</v>
      </c>
      <c r="AJ103" s="56">
        <v>41</v>
      </c>
      <c r="AK103" s="54">
        <v>10.199999999999999</v>
      </c>
      <c r="AL103" s="54">
        <v>0</v>
      </c>
      <c r="AM103" s="54">
        <v>6.2</v>
      </c>
      <c r="AN103" s="57">
        <v>12</v>
      </c>
      <c r="AO103" s="53">
        <v>41</v>
      </c>
      <c r="AP103" s="54">
        <v>10.3</v>
      </c>
      <c r="AQ103" s="54">
        <v>100</v>
      </c>
      <c r="AR103" s="54">
        <v>6.3</v>
      </c>
      <c r="AS103" s="54">
        <v>17.75</v>
      </c>
      <c r="AT103" s="56">
        <v>33</v>
      </c>
      <c r="AU103" s="57">
        <v>80</v>
      </c>
      <c r="AV103" s="56">
        <v>94.999183654785199</v>
      </c>
      <c r="AW103" s="57">
        <v>249.5383629646773</v>
      </c>
      <c r="AX103" s="8"/>
      <c r="AZ103" s="1">
        <v>90</v>
      </c>
      <c r="BB103" s="82">
        <f t="shared" si="9"/>
        <v>36.244</v>
      </c>
    </row>
    <row r="104" spans="3:54" ht="15" customHeight="1" x14ac:dyDescent="0.25">
      <c r="C104" s="42"/>
      <c r="D104" s="43">
        <f>D100</f>
        <v>45755</v>
      </c>
      <c r="E104" s="44">
        <f t="shared" si="12"/>
        <v>7.5833333333333233</v>
      </c>
      <c r="F104" s="45">
        <f t="shared" si="10"/>
        <v>45755.583333333547</v>
      </c>
      <c r="G104" s="52">
        <v>44</v>
      </c>
      <c r="H104" s="53">
        <v>42</v>
      </c>
      <c r="I104" s="54">
        <v>10.8</v>
      </c>
      <c r="J104" s="54">
        <v>400</v>
      </c>
      <c r="K104" s="55">
        <v>6.3</v>
      </c>
      <c r="L104" s="56">
        <v>41</v>
      </c>
      <c r="M104" s="54">
        <v>10.5</v>
      </c>
      <c r="N104" s="54">
        <v>350</v>
      </c>
      <c r="O104" s="57">
        <v>6.7</v>
      </c>
      <c r="P104" s="53">
        <v>41</v>
      </c>
      <c r="Q104" s="54">
        <v>10.4</v>
      </c>
      <c r="R104" s="55">
        <v>0</v>
      </c>
      <c r="S104" s="55">
        <v>6.1</v>
      </c>
      <c r="T104" s="57">
        <v>17.5</v>
      </c>
      <c r="U104" s="56">
        <v>40</v>
      </c>
      <c r="V104" s="54">
        <v>10.4</v>
      </c>
      <c r="W104" s="55">
        <v>0</v>
      </c>
      <c r="X104" s="55">
        <v>6.3</v>
      </c>
      <c r="Y104" s="57">
        <v>14.75</v>
      </c>
      <c r="Z104" s="53">
        <v>40</v>
      </c>
      <c r="AA104" s="54">
        <v>10.3</v>
      </c>
      <c r="AB104" s="55">
        <v>0</v>
      </c>
      <c r="AC104" s="55">
        <v>6.1</v>
      </c>
      <c r="AD104" s="57">
        <v>12.25</v>
      </c>
      <c r="AE104" s="56">
        <v>39</v>
      </c>
      <c r="AF104" s="54">
        <v>10.4</v>
      </c>
      <c r="AG104" s="55">
        <v>0</v>
      </c>
      <c r="AH104" s="55">
        <v>6.5</v>
      </c>
      <c r="AI104" s="57">
        <v>9.5</v>
      </c>
      <c r="AJ104" s="56">
        <v>40</v>
      </c>
      <c r="AK104" s="54">
        <v>10.199999999999999</v>
      </c>
      <c r="AL104" s="54">
        <v>0</v>
      </c>
      <c r="AM104" s="54">
        <v>6.3</v>
      </c>
      <c r="AN104" s="57">
        <v>11.75</v>
      </c>
      <c r="AO104" s="53">
        <v>39</v>
      </c>
      <c r="AP104" s="54">
        <v>10.3</v>
      </c>
      <c r="AQ104" s="54">
        <v>110</v>
      </c>
      <c r="AR104" s="54">
        <v>6.1</v>
      </c>
      <c r="AS104" s="54">
        <v>17.25</v>
      </c>
      <c r="AT104" s="56">
        <v>32</v>
      </c>
      <c r="AU104" s="57">
        <v>90</v>
      </c>
      <c r="AV104" s="56">
        <v>95.088699340820298</v>
      </c>
      <c r="AW104" s="57">
        <v>246.5381458906767</v>
      </c>
      <c r="AX104" s="8"/>
      <c r="AZ104" s="1">
        <v>90</v>
      </c>
      <c r="BB104" s="82">
        <f t="shared" si="9"/>
        <v>36.686</v>
      </c>
    </row>
    <row r="105" spans="3:54" ht="15" customHeight="1" x14ac:dyDescent="0.25">
      <c r="C105" s="42"/>
      <c r="D105" s="43">
        <f>D100</f>
        <v>45755</v>
      </c>
      <c r="E105" s="44">
        <f t="shared" si="12"/>
        <v>7.6666666666666563</v>
      </c>
      <c r="F105" s="45">
        <f t="shared" si="10"/>
        <v>45755.666666666883</v>
      </c>
      <c r="G105" s="52">
        <v>38</v>
      </c>
      <c r="H105" s="53">
        <v>42</v>
      </c>
      <c r="I105" s="54">
        <v>10.9</v>
      </c>
      <c r="J105" s="54">
        <v>650</v>
      </c>
      <c r="K105" s="55">
        <v>6</v>
      </c>
      <c r="L105" s="56">
        <v>42</v>
      </c>
      <c r="M105" s="54">
        <v>10.7</v>
      </c>
      <c r="N105" s="54">
        <v>700</v>
      </c>
      <c r="O105" s="57">
        <v>6.4</v>
      </c>
      <c r="P105" s="53">
        <v>39</v>
      </c>
      <c r="Q105" s="54">
        <v>10.4</v>
      </c>
      <c r="R105" s="55">
        <v>0</v>
      </c>
      <c r="S105" s="55">
        <v>6.1</v>
      </c>
      <c r="T105" s="57">
        <v>17.75</v>
      </c>
      <c r="U105" s="56">
        <v>40</v>
      </c>
      <c r="V105" s="54">
        <v>10.3</v>
      </c>
      <c r="W105" s="55">
        <v>0</v>
      </c>
      <c r="X105" s="55">
        <v>6.4</v>
      </c>
      <c r="Y105" s="57">
        <v>14.25</v>
      </c>
      <c r="Z105" s="53">
        <v>41</v>
      </c>
      <c r="AA105" s="54">
        <v>10.3</v>
      </c>
      <c r="AB105" s="55">
        <v>0</v>
      </c>
      <c r="AC105" s="55">
        <v>6.3</v>
      </c>
      <c r="AD105" s="57">
        <v>12.5</v>
      </c>
      <c r="AE105" s="56">
        <v>39</v>
      </c>
      <c r="AF105" s="54">
        <v>10.3</v>
      </c>
      <c r="AG105" s="55">
        <v>0</v>
      </c>
      <c r="AH105" s="55">
        <v>6.3</v>
      </c>
      <c r="AI105" s="57">
        <v>10</v>
      </c>
      <c r="AJ105" s="56">
        <v>40</v>
      </c>
      <c r="AK105" s="54">
        <v>10.199999999999999</v>
      </c>
      <c r="AL105" s="54">
        <v>0</v>
      </c>
      <c r="AM105" s="54">
        <v>6.3</v>
      </c>
      <c r="AN105" s="57">
        <v>11.25</v>
      </c>
      <c r="AO105" s="53">
        <v>39</v>
      </c>
      <c r="AP105" s="54">
        <v>10.3</v>
      </c>
      <c r="AQ105" s="54">
        <v>130</v>
      </c>
      <c r="AR105" s="54">
        <v>6.1</v>
      </c>
      <c r="AS105" s="54">
        <v>18</v>
      </c>
      <c r="AT105" s="56">
        <v>32</v>
      </c>
      <c r="AU105" s="57">
        <v>100</v>
      </c>
      <c r="AV105" s="56">
        <v>95.113113403320298</v>
      </c>
      <c r="AW105" s="57">
        <v>248.34671624678501</v>
      </c>
      <c r="AX105" s="8"/>
      <c r="AZ105" s="1">
        <v>90</v>
      </c>
      <c r="BB105" s="82">
        <f t="shared" si="9"/>
        <v>37.017499999999998</v>
      </c>
    </row>
    <row r="106" spans="3:54" ht="15" customHeight="1" x14ac:dyDescent="0.25">
      <c r="C106" s="42"/>
      <c r="D106" s="43">
        <f>D100</f>
        <v>45755</v>
      </c>
      <c r="E106" s="44">
        <f t="shared" si="12"/>
        <v>7.7499999999999893</v>
      </c>
      <c r="F106" s="45">
        <f t="shared" si="10"/>
        <v>45755.750000000218</v>
      </c>
      <c r="G106" s="52">
        <v>41</v>
      </c>
      <c r="H106" s="53">
        <v>42</v>
      </c>
      <c r="I106" s="54">
        <v>10.9</v>
      </c>
      <c r="J106" s="54">
        <v>600</v>
      </c>
      <c r="K106" s="55">
        <v>6.3</v>
      </c>
      <c r="L106" s="56">
        <v>41</v>
      </c>
      <c r="M106" s="54">
        <v>10.8</v>
      </c>
      <c r="N106" s="54">
        <v>650</v>
      </c>
      <c r="O106" s="57">
        <v>6.4</v>
      </c>
      <c r="P106" s="53">
        <v>40</v>
      </c>
      <c r="Q106" s="54">
        <v>10.5</v>
      </c>
      <c r="R106" s="55">
        <v>0</v>
      </c>
      <c r="S106" s="55">
        <v>6.3</v>
      </c>
      <c r="T106" s="57">
        <v>17.75</v>
      </c>
      <c r="U106" s="56">
        <v>40</v>
      </c>
      <c r="V106" s="54">
        <v>10.3</v>
      </c>
      <c r="W106" s="55">
        <v>0</v>
      </c>
      <c r="X106" s="55">
        <v>6.2</v>
      </c>
      <c r="Y106" s="57">
        <v>15</v>
      </c>
      <c r="Z106" s="53">
        <v>40</v>
      </c>
      <c r="AA106" s="54">
        <v>10.3</v>
      </c>
      <c r="AB106" s="55">
        <v>0</v>
      </c>
      <c r="AC106" s="55">
        <v>6.6</v>
      </c>
      <c r="AD106" s="57">
        <v>12.5</v>
      </c>
      <c r="AE106" s="56">
        <v>39</v>
      </c>
      <c r="AF106" s="54">
        <v>10.3</v>
      </c>
      <c r="AG106" s="55">
        <v>0</v>
      </c>
      <c r="AH106" s="55">
        <v>6.3</v>
      </c>
      <c r="AI106" s="57">
        <v>9.5</v>
      </c>
      <c r="AJ106" s="56">
        <v>40</v>
      </c>
      <c r="AK106" s="54">
        <v>10.3</v>
      </c>
      <c r="AL106" s="54">
        <v>0</v>
      </c>
      <c r="AM106" s="54">
        <v>6.7</v>
      </c>
      <c r="AN106" s="57">
        <v>11.75</v>
      </c>
      <c r="AO106" s="53">
        <v>39</v>
      </c>
      <c r="AP106" s="54">
        <v>10.3</v>
      </c>
      <c r="AQ106" s="54">
        <v>130</v>
      </c>
      <c r="AR106" s="54">
        <v>6.1</v>
      </c>
      <c r="AS106" s="54">
        <v>17.25</v>
      </c>
      <c r="AT106" s="56">
        <v>31</v>
      </c>
      <c r="AU106" s="57">
        <v>90</v>
      </c>
      <c r="AV106" s="56">
        <v>94.986976623535199</v>
      </c>
      <c r="AW106" s="57">
        <v>249.80239727630592</v>
      </c>
      <c r="AX106" s="8"/>
      <c r="AZ106" s="1">
        <v>90</v>
      </c>
      <c r="BB106" s="82">
        <f t="shared" si="9"/>
        <v>37.017499999999998</v>
      </c>
    </row>
    <row r="107" spans="3:54" ht="15" customHeight="1" x14ac:dyDescent="0.25">
      <c r="C107" s="42"/>
      <c r="D107" s="43">
        <f>D100</f>
        <v>45755</v>
      </c>
      <c r="E107" s="44">
        <f t="shared" si="12"/>
        <v>7.8333333333333224</v>
      </c>
      <c r="F107" s="45">
        <f t="shared" si="10"/>
        <v>45755.833333333554</v>
      </c>
      <c r="G107" s="52">
        <v>40</v>
      </c>
      <c r="H107" s="53">
        <v>40</v>
      </c>
      <c r="I107" s="54">
        <v>10.4</v>
      </c>
      <c r="J107" s="54">
        <v>550</v>
      </c>
      <c r="K107" s="55">
        <v>6.4</v>
      </c>
      <c r="L107" s="56">
        <v>40</v>
      </c>
      <c r="M107" s="54">
        <v>10.7</v>
      </c>
      <c r="N107" s="54">
        <v>650</v>
      </c>
      <c r="O107" s="57">
        <v>6.8</v>
      </c>
      <c r="P107" s="53">
        <v>40</v>
      </c>
      <c r="Q107" s="54">
        <v>10.5</v>
      </c>
      <c r="R107" s="55">
        <v>0</v>
      </c>
      <c r="S107" s="55">
        <v>5</v>
      </c>
      <c r="T107" s="57">
        <v>17.5</v>
      </c>
      <c r="U107" s="56">
        <v>39</v>
      </c>
      <c r="V107" s="54">
        <v>10.5</v>
      </c>
      <c r="W107" s="55">
        <v>0</v>
      </c>
      <c r="X107" s="55">
        <v>4.8</v>
      </c>
      <c r="Y107" s="57">
        <v>14.25</v>
      </c>
      <c r="Z107" s="53">
        <v>38</v>
      </c>
      <c r="AA107" s="54">
        <v>10.5</v>
      </c>
      <c r="AB107" s="55">
        <v>0</v>
      </c>
      <c r="AC107" s="55">
        <v>5.2</v>
      </c>
      <c r="AD107" s="57">
        <v>12.5</v>
      </c>
      <c r="AE107" s="56">
        <v>36</v>
      </c>
      <c r="AF107" s="54">
        <v>10.4</v>
      </c>
      <c r="AG107" s="55">
        <v>0</v>
      </c>
      <c r="AH107" s="55">
        <v>5.4</v>
      </c>
      <c r="AI107" s="57">
        <v>10</v>
      </c>
      <c r="AJ107" s="56">
        <v>37</v>
      </c>
      <c r="AK107" s="54">
        <v>10.3</v>
      </c>
      <c r="AL107" s="54">
        <v>0</v>
      </c>
      <c r="AM107" s="54">
        <v>5.8</v>
      </c>
      <c r="AN107" s="57">
        <v>12.5</v>
      </c>
      <c r="AO107" s="53">
        <v>37</v>
      </c>
      <c r="AP107" s="54">
        <v>10.3</v>
      </c>
      <c r="AQ107" s="54">
        <v>120</v>
      </c>
      <c r="AR107" s="54">
        <v>6.4</v>
      </c>
      <c r="AS107" s="54">
        <v>14.25</v>
      </c>
      <c r="AT107" s="56">
        <v>31</v>
      </c>
      <c r="AU107" s="57">
        <v>90</v>
      </c>
      <c r="AV107" s="56">
        <v>94.73876953125</v>
      </c>
      <c r="AW107" s="57">
        <v>252.05982297792409</v>
      </c>
      <c r="AX107" s="8"/>
      <c r="AZ107" s="1">
        <v>90</v>
      </c>
      <c r="BB107" s="82">
        <f t="shared" si="9"/>
        <v>35.802</v>
      </c>
    </row>
    <row r="108" spans="3:54" ht="15" customHeight="1" x14ac:dyDescent="0.25">
      <c r="C108" s="42"/>
      <c r="D108" s="43">
        <f>D100</f>
        <v>45755</v>
      </c>
      <c r="E108" s="44">
        <f t="shared" si="12"/>
        <v>7.9166666666666554</v>
      </c>
      <c r="F108" s="45">
        <f t="shared" si="10"/>
        <v>45755.91666666689</v>
      </c>
      <c r="G108" s="52">
        <v>41</v>
      </c>
      <c r="H108" s="53">
        <v>40</v>
      </c>
      <c r="I108" s="54">
        <v>10.1</v>
      </c>
      <c r="J108" s="54">
        <v>450</v>
      </c>
      <c r="K108" s="55">
        <v>6.3</v>
      </c>
      <c r="L108" s="56">
        <v>39</v>
      </c>
      <c r="M108" s="54">
        <v>10.3</v>
      </c>
      <c r="N108" s="54">
        <v>600</v>
      </c>
      <c r="O108" s="57">
        <v>6.5</v>
      </c>
      <c r="P108" s="53">
        <v>40</v>
      </c>
      <c r="Q108" s="54">
        <v>10.6</v>
      </c>
      <c r="R108" s="55">
        <v>0</v>
      </c>
      <c r="S108" s="55">
        <v>5.0999999999999996</v>
      </c>
      <c r="T108" s="57">
        <v>17</v>
      </c>
      <c r="U108" s="56">
        <v>38</v>
      </c>
      <c r="V108" s="54">
        <v>10.6</v>
      </c>
      <c r="W108" s="55">
        <v>0</v>
      </c>
      <c r="X108" s="55">
        <v>4.5</v>
      </c>
      <c r="Y108" s="57">
        <v>14.25</v>
      </c>
      <c r="Z108" s="53">
        <v>37</v>
      </c>
      <c r="AA108" s="54">
        <v>10.7</v>
      </c>
      <c r="AB108" s="55">
        <v>0</v>
      </c>
      <c r="AC108" s="55">
        <v>5.0999999999999996</v>
      </c>
      <c r="AD108" s="57">
        <v>12.5</v>
      </c>
      <c r="AE108" s="56">
        <v>37</v>
      </c>
      <c r="AF108" s="54">
        <v>10.6</v>
      </c>
      <c r="AG108" s="55">
        <v>0</v>
      </c>
      <c r="AH108" s="55">
        <v>5.6</v>
      </c>
      <c r="AI108" s="57">
        <v>10</v>
      </c>
      <c r="AJ108" s="56">
        <v>38</v>
      </c>
      <c r="AK108" s="54">
        <v>10.4</v>
      </c>
      <c r="AL108" s="54">
        <v>0</v>
      </c>
      <c r="AM108" s="54">
        <v>5.7</v>
      </c>
      <c r="AN108" s="57">
        <v>12.5</v>
      </c>
      <c r="AO108" s="53">
        <v>39</v>
      </c>
      <c r="AP108" s="54">
        <v>10.5</v>
      </c>
      <c r="AQ108" s="54">
        <v>130</v>
      </c>
      <c r="AR108" s="54">
        <v>6.7</v>
      </c>
      <c r="AS108" s="54">
        <v>15</v>
      </c>
      <c r="AT108" s="56">
        <v>30</v>
      </c>
      <c r="AU108" s="57">
        <v>100</v>
      </c>
      <c r="AV108" s="56">
        <v>95.068359375</v>
      </c>
      <c r="AW108" s="57">
        <v>235.63585007985432</v>
      </c>
      <c r="AX108" s="8"/>
      <c r="AZ108" s="1">
        <v>90</v>
      </c>
      <c r="BB108" s="82">
        <f t="shared" si="9"/>
        <v>35.912500000000001</v>
      </c>
    </row>
    <row r="109" spans="3:54" ht="15" customHeight="1" x14ac:dyDescent="0.25">
      <c r="C109" s="42"/>
      <c r="D109" s="43">
        <f>D100</f>
        <v>45755</v>
      </c>
      <c r="E109" s="44">
        <f t="shared" si="12"/>
        <v>7.9999999999999885</v>
      </c>
      <c r="F109" s="45">
        <f t="shared" si="10"/>
        <v>45756.000000000226</v>
      </c>
      <c r="G109" s="52">
        <v>41</v>
      </c>
      <c r="H109" s="53">
        <v>38</v>
      </c>
      <c r="I109" s="54">
        <v>10.3</v>
      </c>
      <c r="J109" s="54">
        <v>450</v>
      </c>
      <c r="K109" s="55">
        <v>6.1</v>
      </c>
      <c r="L109" s="56">
        <v>43</v>
      </c>
      <c r="M109" s="54">
        <v>10.199999999999999</v>
      </c>
      <c r="N109" s="54">
        <v>550</v>
      </c>
      <c r="O109" s="57">
        <v>6.3</v>
      </c>
      <c r="P109" s="53">
        <v>40</v>
      </c>
      <c r="Q109" s="54">
        <v>10.5</v>
      </c>
      <c r="R109" s="55">
        <v>0</v>
      </c>
      <c r="S109" s="55">
        <v>5.4</v>
      </c>
      <c r="T109" s="57">
        <v>17</v>
      </c>
      <c r="U109" s="56">
        <v>39</v>
      </c>
      <c r="V109" s="54">
        <v>10.5</v>
      </c>
      <c r="W109" s="55">
        <v>0</v>
      </c>
      <c r="X109" s="55">
        <v>5.0999999999999996</v>
      </c>
      <c r="Y109" s="57">
        <v>14.25</v>
      </c>
      <c r="Z109" s="53">
        <v>37</v>
      </c>
      <c r="AA109" s="54">
        <v>10.5</v>
      </c>
      <c r="AB109" s="55">
        <v>0</v>
      </c>
      <c r="AC109" s="55">
        <v>5</v>
      </c>
      <c r="AD109" s="57">
        <v>12.5</v>
      </c>
      <c r="AE109" s="56">
        <v>36</v>
      </c>
      <c r="AF109" s="54">
        <v>10.6</v>
      </c>
      <c r="AG109" s="55">
        <v>0</v>
      </c>
      <c r="AH109" s="55">
        <v>5.0999999999999996</v>
      </c>
      <c r="AI109" s="57">
        <v>10</v>
      </c>
      <c r="AJ109" s="56">
        <v>37</v>
      </c>
      <c r="AK109" s="54">
        <v>10.3</v>
      </c>
      <c r="AL109" s="54">
        <v>0</v>
      </c>
      <c r="AM109" s="54">
        <v>5.4</v>
      </c>
      <c r="AN109" s="57">
        <v>12.5</v>
      </c>
      <c r="AO109" s="53">
        <v>36</v>
      </c>
      <c r="AP109" s="54">
        <v>10.3</v>
      </c>
      <c r="AQ109" s="54">
        <v>130</v>
      </c>
      <c r="AR109" s="54">
        <v>6.7</v>
      </c>
      <c r="AS109" s="54">
        <v>15</v>
      </c>
      <c r="AT109" s="56">
        <v>31</v>
      </c>
      <c r="AU109" s="57">
        <v>100</v>
      </c>
      <c r="AV109" s="56">
        <v>95.145668029785199</v>
      </c>
      <c r="AW109" s="57">
        <v>233.57566452026367</v>
      </c>
      <c r="AX109" s="8"/>
      <c r="AZ109" s="1">
        <v>90</v>
      </c>
      <c r="BB109" s="82">
        <f t="shared" si="9"/>
        <v>35.912500000000001</v>
      </c>
    </row>
    <row r="110" spans="3:54" ht="15" customHeight="1" x14ac:dyDescent="0.25">
      <c r="C110" s="42"/>
      <c r="D110" s="43">
        <f>D100</f>
        <v>45755</v>
      </c>
      <c r="E110" s="44">
        <f t="shared" si="12"/>
        <v>8.0833333333333215</v>
      </c>
      <c r="F110" s="45">
        <f t="shared" si="10"/>
        <v>45756.083333333561</v>
      </c>
      <c r="G110" s="52">
        <v>43</v>
      </c>
      <c r="H110" s="53">
        <v>41</v>
      </c>
      <c r="I110" s="54">
        <v>10.7</v>
      </c>
      <c r="J110" s="54">
        <v>400</v>
      </c>
      <c r="K110" s="55">
        <v>6.3</v>
      </c>
      <c r="L110" s="56">
        <v>40</v>
      </c>
      <c r="M110" s="54">
        <v>10.4</v>
      </c>
      <c r="N110" s="54">
        <v>550</v>
      </c>
      <c r="O110" s="57">
        <v>6.5</v>
      </c>
      <c r="P110" s="53">
        <v>40</v>
      </c>
      <c r="Q110" s="54">
        <v>10.4</v>
      </c>
      <c r="R110" s="55">
        <v>0</v>
      </c>
      <c r="S110" s="55">
        <v>5.0999999999999996</v>
      </c>
      <c r="T110" s="57">
        <v>17.5</v>
      </c>
      <c r="U110" s="56">
        <v>39</v>
      </c>
      <c r="V110" s="54">
        <v>10.5</v>
      </c>
      <c r="W110" s="55">
        <v>0</v>
      </c>
      <c r="X110" s="55">
        <v>4.9000000000000004</v>
      </c>
      <c r="Y110" s="57">
        <v>15</v>
      </c>
      <c r="Z110" s="53">
        <v>38</v>
      </c>
      <c r="AA110" s="54">
        <v>10.5</v>
      </c>
      <c r="AB110" s="55">
        <v>0</v>
      </c>
      <c r="AC110" s="55">
        <v>5.3</v>
      </c>
      <c r="AD110" s="57">
        <v>12.5</v>
      </c>
      <c r="AE110" s="56">
        <v>38</v>
      </c>
      <c r="AF110" s="54">
        <v>10.4</v>
      </c>
      <c r="AG110" s="55">
        <v>0</v>
      </c>
      <c r="AH110" s="55">
        <v>5.6</v>
      </c>
      <c r="AI110" s="57">
        <v>10.25</v>
      </c>
      <c r="AJ110" s="56">
        <v>38</v>
      </c>
      <c r="AK110" s="54">
        <v>10.3</v>
      </c>
      <c r="AL110" s="54">
        <v>0</v>
      </c>
      <c r="AM110" s="54">
        <v>5.9</v>
      </c>
      <c r="AN110" s="57">
        <v>12.25</v>
      </c>
      <c r="AO110" s="53">
        <v>38</v>
      </c>
      <c r="AP110" s="54">
        <v>10.199999999999999</v>
      </c>
      <c r="AQ110" s="54">
        <v>130</v>
      </c>
      <c r="AR110" s="54">
        <v>6.9</v>
      </c>
      <c r="AS110" s="54">
        <v>15.25</v>
      </c>
      <c r="AT110" s="56">
        <v>31</v>
      </c>
      <c r="AU110" s="57">
        <v>100</v>
      </c>
      <c r="AV110" s="56">
        <v>94.86083984375</v>
      </c>
      <c r="AW110" s="57">
        <v>235.50937932332357</v>
      </c>
      <c r="AX110" s="8"/>
      <c r="AZ110" s="1">
        <v>90</v>
      </c>
      <c r="BB110" s="82">
        <f t="shared" si="9"/>
        <v>36.575499999999998</v>
      </c>
    </row>
    <row r="111" spans="3:54" ht="15" customHeight="1" x14ac:dyDescent="0.25">
      <c r="C111" s="42"/>
      <c r="D111" s="69">
        <f>D100</f>
        <v>45755</v>
      </c>
      <c r="E111" s="70">
        <f t="shared" si="12"/>
        <v>8.1666666666666554</v>
      </c>
      <c r="F111" s="71">
        <f t="shared" si="10"/>
        <v>45756.166666666897</v>
      </c>
      <c r="G111" s="60">
        <v>40</v>
      </c>
      <c r="H111" s="61">
        <v>40</v>
      </c>
      <c r="I111" s="62">
        <v>10.8</v>
      </c>
      <c r="J111" s="62">
        <v>450</v>
      </c>
      <c r="K111" s="63">
        <v>6.4</v>
      </c>
      <c r="L111" s="64">
        <v>41</v>
      </c>
      <c r="M111" s="62">
        <v>10.5</v>
      </c>
      <c r="N111" s="62">
        <v>550</v>
      </c>
      <c r="O111" s="65">
        <v>6.7</v>
      </c>
      <c r="P111" s="61">
        <v>39</v>
      </c>
      <c r="Q111" s="62">
        <v>10.5</v>
      </c>
      <c r="R111" s="63">
        <v>0</v>
      </c>
      <c r="S111" s="63">
        <v>5.3</v>
      </c>
      <c r="T111" s="65">
        <v>17.25</v>
      </c>
      <c r="U111" s="64">
        <v>38</v>
      </c>
      <c r="V111" s="62">
        <v>10.6</v>
      </c>
      <c r="W111" s="63">
        <v>0</v>
      </c>
      <c r="X111" s="63">
        <v>5.7</v>
      </c>
      <c r="Y111" s="65">
        <v>14.75</v>
      </c>
      <c r="Z111" s="61">
        <v>37</v>
      </c>
      <c r="AA111" s="62">
        <v>10.5</v>
      </c>
      <c r="AB111" s="63">
        <v>0</v>
      </c>
      <c r="AC111" s="63">
        <v>5.0999999999999996</v>
      </c>
      <c r="AD111" s="65">
        <v>12.75</v>
      </c>
      <c r="AE111" s="64">
        <v>38</v>
      </c>
      <c r="AF111" s="62">
        <v>10.3</v>
      </c>
      <c r="AG111" s="63">
        <v>0</v>
      </c>
      <c r="AH111" s="63">
        <v>5.3</v>
      </c>
      <c r="AI111" s="65">
        <v>10</v>
      </c>
      <c r="AJ111" s="64">
        <v>37</v>
      </c>
      <c r="AK111" s="62">
        <v>10.3</v>
      </c>
      <c r="AL111" s="62">
        <v>0</v>
      </c>
      <c r="AM111" s="62">
        <v>5.8</v>
      </c>
      <c r="AN111" s="65">
        <v>12.25</v>
      </c>
      <c r="AO111" s="61">
        <v>37</v>
      </c>
      <c r="AP111" s="62">
        <v>10.3</v>
      </c>
      <c r="AQ111" s="62">
        <v>130</v>
      </c>
      <c r="AR111" s="62">
        <v>6.4</v>
      </c>
      <c r="AS111" s="62">
        <v>15</v>
      </c>
      <c r="AT111" s="64">
        <v>30</v>
      </c>
      <c r="AU111" s="65">
        <v>90</v>
      </c>
      <c r="AV111" s="64">
        <v>94.991043090820298</v>
      </c>
      <c r="AW111" s="65">
        <v>232.2369302113851</v>
      </c>
      <c r="AX111" s="8"/>
      <c r="AZ111" s="1">
        <v>90</v>
      </c>
      <c r="BB111" s="82">
        <f t="shared" si="9"/>
        <v>36.244</v>
      </c>
    </row>
    <row r="112" spans="3:54" ht="15" customHeight="1" x14ac:dyDescent="0.25">
      <c r="C112" s="42">
        <f>C100+1</f>
        <v>9</v>
      </c>
      <c r="D112" s="66">
        <f>DATE([4]Dash!$F$3,VLOOKUP([4]Dash!$E$3,[4]Abb!$C$3:$D$14,2,FALSE),C112)</f>
        <v>45756</v>
      </c>
      <c r="E112" s="67">
        <f>E111+2/24</f>
        <v>8.2499999999999893</v>
      </c>
      <c r="F112" s="68">
        <f t="shared" si="10"/>
        <v>45756.250000000233</v>
      </c>
      <c r="G112" s="46">
        <v>42</v>
      </c>
      <c r="H112" s="47">
        <v>41</v>
      </c>
      <c r="I112" s="48">
        <v>10.9</v>
      </c>
      <c r="J112" s="48">
        <v>500</v>
      </c>
      <c r="K112" s="49">
        <v>6.7</v>
      </c>
      <c r="L112" s="50">
        <v>40</v>
      </c>
      <c r="M112" s="48">
        <v>10.6</v>
      </c>
      <c r="N112" s="48">
        <v>550</v>
      </c>
      <c r="O112" s="51">
        <v>6.5</v>
      </c>
      <c r="P112" s="47">
        <v>39</v>
      </c>
      <c r="Q112" s="48">
        <v>10.5</v>
      </c>
      <c r="R112" s="49">
        <v>0</v>
      </c>
      <c r="S112" s="49">
        <v>5.8</v>
      </c>
      <c r="T112" s="51">
        <v>17</v>
      </c>
      <c r="U112" s="50">
        <v>39</v>
      </c>
      <c r="V112" s="48">
        <v>10.5</v>
      </c>
      <c r="W112" s="49">
        <v>0</v>
      </c>
      <c r="X112" s="49">
        <v>5.8</v>
      </c>
      <c r="Y112" s="51">
        <v>15</v>
      </c>
      <c r="Z112" s="47">
        <v>38</v>
      </c>
      <c r="AA112" s="48">
        <v>10.5</v>
      </c>
      <c r="AB112" s="49">
        <v>0</v>
      </c>
      <c r="AC112" s="49">
        <v>6</v>
      </c>
      <c r="AD112" s="51">
        <v>12.75</v>
      </c>
      <c r="AE112" s="50">
        <v>37</v>
      </c>
      <c r="AF112" s="48">
        <v>10.4</v>
      </c>
      <c r="AG112" s="49">
        <v>0</v>
      </c>
      <c r="AH112" s="49">
        <v>5.5</v>
      </c>
      <c r="AI112" s="51">
        <v>10.25</v>
      </c>
      <c r="AJ112" s="50">
        <v>36</v>
      </c>
      <c r="AK112" s="48">
        <v>10.3</v>
      </c>
      <c r="AL112" s="48">
        <v>0</v>
      </c>
      <c r="AM112" s="48">
        <v>6.1</v>
      </c>
      <c r="AN112" s="51">
        <v>12.5</v>
      </c>
      <c r="AO112" s="47">
        <v>37</v>
      </c>
      <c r="AP112" s="48">
        <v>10.3</v>
      </c>
      <c r="AQ112" s="48">
        <v>120</v>
      </c>
      <c r="AR112" s="48">
        <v>6.8</v>
      </c>
      <c r="AS112" s="51">
        <v>15.25</v>
      </c>
      <c r="AT112" s="50">
        <v>29</v>
      </c>
      <c r="AU112" s="51">
        <v>90</v>
      </c>
      <c r="AV112" s="50">
        <v>95.076492309570298</v>
      </c>
      <c r="AW112" s="51">
        <v>236.45158081054689</v>
      </c>
      <c r="AX112" s="8"/>
      <c r="AZ112" s="1">
        <v>90</v>
      </c>
      <c r="BB112" s="82">
        <f t="shared" si="9"/>
        <v>36.575499999999998</v>
      </c>
    </row>
    <row r="113" spans="3:54" ht="15" customHeight="1" x14ac:dyDescent="0.25">
      <c r="C113" s="42"/>
      <c r="D113" s="43">
        <f>D112</f>
        <v>45756</v>
      </c>
      <c r="E113" s="44">
        <f>E112+2/24</f>
        <v>8.3333333333333233</v>
      </c>
      <c r="F113" s="45">
        <f t="shared" si="10"/>
        <v>45756.333333333569</v>
      </c>
      <c r="G113" s="52">
        <v>0</v>
      </c>
      <c r="H113" s="53">
        <v>41</v>
      </c>
      <c r="I113" s="54">
        <v>10.9</v>
      </c>
      <c r="J113" s="54">
        <v>450</v>
      </c>
      <c r="K113" s="55">
        <v>6.4</v>
      </c>
      <c r="L113" s="56">
        <v>39</v>
      </c>
      <c r="M113" s="54">
        <v>10.5</v>
      </c>
      <c r="N113" s="54">
        <v>350</v>
      </c>
      <c r="O113" s="57">
        <v>6.3</v>
      </c>
      <c r="P113" s="53">
        <v>39</v>
      </c>
      <c r="Q113" s="54">
        <v>10.5</v>
      </c>
      <c r="R113" s="55">
        <v>0</v>
      </c>
      <c r="S113" s="55">
        <v>6.2</v>
      </c>
      <c r="T113" s="57">
        <v>16.25</v>
      </c>
      <c r="U113" s="56">
        <v>39</v>
      </c>
      <c r="V113" s="54">
        <v>10.4</v>
      </c>
      <c r="W113" s="55">
        <v>0</v>
      </c>
      <c r="X113" s="55">
        <v>6.6</v>
      </c>
      <c r="Y113" s="57">
        <v>13</v>
      </c>
      <c r="Z113" s="53">
        <v>39</v>
      </c>
      <c r="AA113" s="54">
        <v>10.4</v>
      </c>
      <c r="AB113" s="55">
        <v>0</v>
      </c>
      <c r="AC113" s="55">
        <v>6.4</v>
      </c>
      <c r="AD113" s="57">
        <v>11.25</v>
      </c>
      <c r="AE113" s="56">
        <v>40</v>
      </c>
      <c r="AF113" s="54">
        <v>10.4</v>
      </c>
      <c r="AG113" s="55">
        <v>0</v>
      </c>
      <c r="AH113" s="55">
        <v>6.4</v>
      </c>
      <c r="AI113" s="57">
        <v>8.75</v>
      </c>
      <c r="AJ113" s="56">
        <v>38</v>
      </c>
      <c r="AK113" s="54">
        <v>10.4</v>
      </c>
      <c r="AL113" s="54">
        <v>0</v>
      </c>
      <c r="AM113" s="54">
        <v>6.5</v>
      </c>
      <c r="AN113" s="57">
        <v>11.25</v>
      </c>
      <c r="AO113" s="53">
        <v>39</v>
      </c>
      <c r="AP113" s="54">
        <v>10.4</v>
      </c>
      <c r="AQ113" s="54">
        <v>100</v>
      </c>
      <c r="AR113" s="54">
        <v>6.6</v>
      </c>
      <c r="AS113" s="57">
        <v>16.75</v>
      </c>
      <c r="AT113" s="56">
        <v>0</v>
      </c>
      <c r="AU113" s="57">
        <v>0</v>
      </c>
      <c r="AV113" s="56">
        <v>94.600418090000005</v>
      </c>
      <c r="AW113" s="57">
        <v>235.53686979988899</v>
      </c>
      <c r="AX113" s="8"/>
      <c r="AZ113" s="1">
        <v>90</v>
      </c>
      <c r="BB113" s="82">
        <f t="shared" si="9"/>
        <v>34.144500000000001</v>
      </c>
    </row>
    <row r="114" spans="3:54" ht="15" customHeight="1" x14ac:dyDescent="0.25">
      <c r="C114" s="42"/>
      <c r="D114" s="43">
        <f>D112</f>
        <v>45756</v>
      </c>
      <c r="E114" s="44">
        <f t="shared" ref="E114:E123" si="13">E113+2/24</f>
        <v>8.4166666666666572</v>
      </c>
      <c r="F114" s="45">
        <f t="shared" si="10"/>
        <v>45756.416666666904</v>
      </c>
      <c r="G114" s="52">
        <v>0</v>
      </c>
      <c r="H114" s="53">
        <v>40</v>
      </c>
      <c r="I114" s="54">
        <v>10.8</v>
      </c>
      <c r="J114" s="54">
        <v>450</v>
      </c>
      <c r="K114" s="55">
        <v>6.6</v>
      </c>
      <c r="L114" s="56">
        <v>40</v>
      </c>
      <c r="M114" s="54">
        <v>10.5</v>
      </c>
      <c r="N114" s="54">
        <v>350</v>
      </c>
      <c r="O114" s="57">
        <v>6.5</v>
      </c>
      <c r="P114" s="53">
        <v>39</v>
      </c>
      <c r="Q114" s="54">
        <v>10.5</v>
      </c>
      <c r="R114" s="55">
        <v>0</v>
      </c>
      <c r="S114" s="55">
        <v>6.4</v>
      </c>
      <c r="T114" s="57">
        <v>17</v>
      </c>
      <c r="U114" s="56">
        <v>39</v>
      </c>
      <c r="V114" s="54">
        <v>10.4</v>
      </c>
      <c r="W114" s="55">
        <v>0</v>
      </c>
      <c r="X114" s="55">
        <v>6.4</v>
      </c>
      <c r="Y114" s="57">
        <v>14</v>
      </c>
      <c r="Z114" s="53">
        <v>39</v>
      </c>
      <c r="AA114" s="54">
        <v>10.4</v>
      </c>
      <c r="AB114" s="55">
        <v>0</v>
      </c>
      <c r="AC114" s="55">
        <v>6.5</v>
      </c>
      <c r="AD114" s="57">
        <v>11.25</v>
      </c>
      <c r="AE114" s="56">
        <v>39</v>
      </c>
      <c r="AF114" s="54">
        <v>10.4</v>
      </c>
      <c r="AG114" s="55">
        <v>0</v>
      </c>
      <c r="AH114" s="55">
        <v>6.7</v>
      </c>
      <c r="AI114" s="57">
        <v>8.75</v>
      </c>
      <c r="AJ114" s="56">
        <v>38</v>
      </c>
      <c r="AK114" s="54">
        <v>10.4</v>
      </c>
      <c r="AL114" s="54">
        <v>0</v>
      </c>
      <c r="AM114" s="54">
        <v>6.6</v>
      </c>
      <c r="AN114" s="57">
        <v>11.25</v>
      </c>
      <c r="AO114" s="53">
        <v>37</v>
      </c>
      <c r="AP114" s="54">
        <v>10.4</v>
      </c>
      <c r="AQ114" s="54">
        <v>90</v>
      </c>
      <c r="AR114" s="54">
        <v>6.4</v>
      </c>
      <c r="AS114" s="57">
        <v>17</v>
      </c>
      <c r="AT114" s="56">
        <v>0</v>
      </c>
      <c r="AU114" s="57">
        <v>0</v>
      </c>
      <c r="AV114" s="56">
        <v>95.161941530000007</v>
      </c>
      <c r="AW114" s="57">
        <v>234.20343789523471</v>
      </c>
      <c r="AX114" s="8"/>
      <c r="AZ114" s="1">
        <v>90</v>
      </c>
      <c r="BB114" s="82">
        <f t="shared" si="9"/>
        <v>35.028500000000001</v>
      </c>
    </row>
    <row r="115" spans="3:54" ht="15" customHeight="1" x14ac:dyDescent="0.25">
      <c r="C115" s="42"/>
      <c r="D115" s="43">
        <f>D112</f>
        <v>45756</v>
      </c>
      <c r="E115" s="44">
        <f t="shared" si="13"/>
        <v>8.4999999999999911</v>
      </c>
      <c r="F115" s="45">
        <f t="shared" si="10"/>
        <v>45756.50000000024</v>
      </c>
      <c r="G115" s="52">
        <v>0</v>
      </c>
      <c r="H115" s="53">
        <v>40</v>
      </c>
      <c r="I115" s="54">
        <v>10.8</v>
      </c>
      <c r="J115" s="54">
        <v>450</v>
      </c>
      <c r="K115" s="55">
        <v>6.5</v>
      </c>
      <c r="L115" s="56">
        <v>40</v>
      </c>
      <c r="M115" s="54">
        <v>10.5</v>
      </c>
      <c r="N115" s="54">
        <v>350</v>
      </c>
      <c r="O115" s="57">
        <v>6.4</v>
      </c>
      <c r="P115" s="53">
        <v>39</v>
      </c>
      <c r="Q115" s="54">
        <v>10.5</v>
      </c>
      <c r="R115" s="55">
        <v>0</v>
      </c>
      <c r="S115" s="55">
        <v>6.3</v>
      </c>
      <c r="T115" s="57">
        <v>17.5</v>
      </c>
      <c r="U115" s="56">
        <v>39</v>
      </c>
      <c r="V115" s="54">
        <v>10.4</v>
      </c>
      <c r="W115" s="55">
        <v>0</v>
      </c>
      <c r="X115" s="55">
        <v>6.5</v>
      </c>
      <c r="Y115" s="57">
        <v>13.75</v>
      </c>
      <c r="Z115" s="53">
        <v>39</v>
      </c>
      <c r="AA115" s="54">
        <v>10.4</v>
      </c>
      <c r="AB115" s="55">
        <v>0</v>
      </c>
      <c r="AC115" s="55">
        <v>6.3</v>
      </c>
      <c r="AD115" s="57">
        <v>11.75</v>
      </c>
      <c r="AE115" s="56">
        <v>39</v>
      </c>
      <c r="AF115" s="54">
        <v>10.4</v>
      </c>
      <c r="AG115" s="55">
        <v>0</v>
      </c>
      <c r="AH115" s="55" t="s">
        <v>47</v>
      </c>
      <c r="AI115" s="57">
        <v>8.75</v>
      </c>
      <c r="AJ115" s="56">
        <v>37</v>
      </c>
      <c r="AK115" s="54">
        <v>10.4</v>
      </c>
      <c r="AL115" s="54">
        <v>0</v>
      </c>
      <c r="AM115" s="54">
        <v>6.3</v>
      </c>
      <c r="AN115" s="57">
        <v>11.75</v>
      </c>
      <c r="AO115" s="53">
        <v>37</v>
      </c>
      <c r="AP115" s="54">
        <v>10.5</v>
      </c>
      <c r="AQ115" s="54">
        <v>100</v>
      </c>
      <c r="AR115" s="54">
        <v>6.7</v>
      </c>
      <c r="AS115" s="57">
        <v>16.25</v>
      </c>
      <c r="AT115" s="56">
        <v>0</v>
      </c>
      <c r="AU115" s="57">
        <v>0</v>
      </c>
      <c r="AV115" s="56">
        <v>95.092773440000002</v>
      </c>
      <c r="AW115" s="57">
        <v>224.63011264801025</v>
      </c>
      <c r="AX115" s="8"/>
      <c r="AZ115" s="1">
        <v>90</v>
      </c>
      <c r="BB115" s="82">
        <f t="shared" si="9"/>
        <v>35.249499999999998</v>
      </c>
    </row>
    <row r="116" spans="3:54" ht="15" customHeight="1" x14ac:dyDescent="0.25">
      <c r="C116" s="42"/>
      <c r="D116" s="43">
        <f>D112</f>
        <v>45756</v>
      </c>
      <c r="E116" s="44">
        <f t="shared" si="13"/>
        <v>8.583333333333325</v>
      </c>
      <c r="F116" s="45">
        <f t="shared" si="10"/>
        <v>45756.583333333576</v>
      </c>
      <c r="G116" s="52">
        <v>0</v>
      </c>
      <c r="H116" s="53">
        <v>40</v>
      </c>
      <c r="I116" s="54">
        <v>10.8</v>
      </c>
      <c r="J116" s="54">
        <v>450</v>
      </c>
      <c r="K116" s="55">
        <v>6.5</v>
      </c>
      <c r="L116" s="56">
        <v>40</v>
      </c>
      <c r="M116" s="54">
        <v>10.5</v>
      </c>
      <c r="N116" s="54">
        <v>350</v>
      </c>
      <c r="O116" s="57">
        <v>6.3</v>
      </c>
      <c r="P116" s="53">
        <v>38</v>
      </c>
      <c r="Q116" s="54">
        <v>10.5</v>
      </c>
      <c r="R116" s="55">
        <v>0</v>
      </c>
      <c r="S116" s="55">
        <v>6.2</v>
      </c>
      <c r="T116" s="57">
        <v>17.5</v>
      </c>
      <c r="U116" s="56">
        <v>38</v>
      </c>
      <c r="V116" s="54">
        <v>10.4</v>
      </c>
      <c r="W116" s="55">
        <v>0</v>
      </c>
      <c r="X116" s="55">
        <v>6.6</v>
      </c>
      <c r="Y116" s="57">
        <v>13.75</v>
      </c>
      <c r="Z116" s="53">
        <v>38</v>
      </c>
      <c r="AA116" s="54">
        <v>10.4</v>
      </c>
      <c r="AB116" s="55">
        <v>0</v>
      </c>
      <c r="AC116" s="55">
        <v>6.3</v>
      </c>
      <c r="AD116" s="57">
        <v>11.25</v>
      </c>
      <c r="AE116" s="56">
        <v>38</v>
      </c>
      <c r="AF116" s="54">
        <v>10.4</v>
      </c>
      <c r="AG116" s="55">
        <v>0</v>
      </c>
      <c r="AH116" s="55">
        <v>6.4</v>
      </c>
      <c r="AI116" s="57">
        <v>8.25</v>
      </c>
      <c r="AJ116" s="56">
        <v>37</v>
      </c>
      <c r="AK116" s="54">
        <v>10.4</v>
      </c>
      <c r="AL116" s="54">
        <v>0</v>
      </c>
      <c r="AM116" s="54">
        <v>6.5</v>
      </c>
      <c r="AN116" s="57">
        <v>11.75</v>
      </c>
      <c r="AO116" s="53">
        <v>37</v>
      </c>
      <c r="AP116" s="54">
        <v>10.4</v>
      </c>
      <c r="AQ116" s="54">
        <v>100</v>
      </c>
      <c r="AR116" s="54">
        <v>6.6</v>
      </c>
      <c r="AS116" s="57">
        <v>16.25</v>
      </c>
      <c r="AT116" s="56">
        <v>0</v>
      </c>
      <c r="AU116" s="57">
        <v>0</v>
      </c>
      <c r="AV116" s="56">
        <v>95.031738279999999</v>
      </c>
      <c r="AW116" s="57">
        <v>227.1034678777059</v>
      </c>
      <c r="AX116" s="8"/>
      <c r="AZ116" s="1">
        <v>90</v>
      </c>
      <c r="BB116" s="82">
        <f t="shared" si="9"/>
        <v>34.807499999999997</v>
      </c>
    </row>
    <row r="117" spans="3:54" ht="15" customHeight="1" x14ac:dyDescent="0.25">
      <c r="C117" s="42"/>
      <c r="D117" s="43">
        <f>D112</f>
        <v>45756</v>
      </c>
      <c r="E117" s="44">
        <f t="shared" si="13"/>
        <v>8.666666666666659</v>
      </c>
      <c r="F117" s="45">
        <f t="shared" si="10"/>
        <v>45756.666666666912</v>
      </c>
      <c r="G117" s="52">
        <v>0</v>
      </c>
      <c r="H117" s="53">
        <v>40</v>
      </c>
      <c r="I117" s="54">
        <v>10.8</v>
      </c>
      <c r="J117" s="54">
        <v>450</v>
      </c>
      <c r="K117" s="55">
        <v>6.5</v>
      </c>
      <c r="L117" s="56">
        <v>40</v>
      </c>
      <c r="M117" s="54">
        <v>10.5</v>
      </c>
      <c r="N117" s="54">
        <v>350</v>
      </c>
      <c r="O117" s="57">
        <v>6.5</v>
      </c>
      <c r="P117" s="53">
        <v>39</v>
      </c>
      <c r="Q117" s="54">
        <v>10.5</v>
      </c>
      <c r="R117" s="55">
        <v>0</v>
      </c>
      <c r="S117" s="55">
        <v>6.4</v>
      </c>
      <c r="T117" s="57">
        <v>17.5</v>
      </c>
      <c r="U117" s="56">
        <v>38</v>
      </c>
      <c r="V117" s="54">
        <v>10.4</v>
      </c>
      <c r="W117" s="55">
        <v>0</v>
      </c>
      <c r="X117" s="55">
        <v>6.4</v>
      </c>
      <c r="Y117" s="57">
        <v>13.75</v>
      </c>
      <c r="Z117" s="53">
        <v>38</v>
      </c>
      <c r="AA117" s="54">
        <v>10.4</v>
      </c>
      <c r="AB117" s="55">
        <v>0</v>
      </c>
      <c r="AC117" s="55">
        <v>6.5</v>
      </c>
      <c r="AD117" s="57">
        <v>11.25</v>
      </c>
      <c r="AE117" s="56">
        <v>38</v>
      </c>
      <c r="AF117" s="54">
        <v>10.4</v>
      </c>
      <c r="AG117" s="55">
        <v>0</v>
      </c>
      <c r="AH117" s="55">
        <v>6.7</v>
      </c>
      <c r="AI117" s="57">
        <v>8.75</v>
      </c>
      <c r="AJ117" s="56">
        <v>37</v>
      </c>
      <c r="AK117" s="54">
        <v>10.4</v>
      </c>
      <c r="AL117" s="54">
        <v>0</v>
      </c>
      <c r="AM117" s="54">
        <v>6.3</v>
      </c>
      <c r="AN117" s="57">
        <v>11.25</v>
      </c>
      <c r="AO117" s="53">
        <v>37</v>
      </c>
      <c r="AP117" s="54">
        <v>10.4</v>
      </c>
      <c r="AQ117" s="54">
        <v>100</v>
      </c>
      <c r="AR117" s="54">
        <v>6.7</v>
      </c>
      <c r="AS117" s="57">
        <v>16.75</v>
      </c>
      <c r="AT117" s="56">
        <v>0</v>
      </c>
      <c r="AU117" s="57">
        <v>0</v>
      </c>
      <c r="AV117" s="56">
        <v>95.161941530000007</v>
      </c>
      <c r="AW117" s="57">
        <v>224.09119408925378</v>
      </c>
      <c r="AX117" s="8"/>
      <c r="AZ117" s="1">
        <v>90</v>
      </c>
      <c r="BB117" s="82">
        <f t="shared" si="9"/>
        <v>35.028500000000001</v>
      </c>
    </row>
    <row r="118" spans="3:54" ht="15" customHeight="1" x14ac:dyDescent="0.25">
      <c r="C118" s="42"/>
      <c r="D118" s="43">
        <f>D112</f>
        <v>45756</v>
      </c>
      <c r="E118" s="44">
        <f t="shared" si="13"/>
        <v>8.7499999999999929</v>
      </c>
      <c r="F118" s="45">
        <f t="shared" si="10"/>
        <v>45756.750000000247</v>
      </c>
      <c r="G118" s="52">
        <v>0</v>
      </c>
      <c r="H118" s="53">
        <v>40</v>
      </c>
      <c r="I118" s="54">
        <v>10.8</v>
      </c>
      <c r="J118" s="54">
        <v>450</v>
      </c>
      <c r="K118" s="55">
        <v>6.7</v>
      </c>
      <c r="L118" s="56">
        <v>39</v>
      </c>
      <c r="M118" s="54">
        <v>10.5</v>
      </c>
      <c r="N118" s="54">
        <v>350</v>
      </c>
      <c r="O118" s="57">
        <v>6.4</v>
      </c>
      <c r="P118" s="53">
        <v>39</v>
      </c>
      <c r="Q118" s="54">
        <v>10.5</v>
      </c>
      <c r="R118" s="55">
        <v>0</v>
      </c>
      <c r="S118" s="55">
        <v>6.3</v>
      </c>
      <c r="T118" s="57">
        <v>17.5</v>
      </c>
      <c r="U118" s="56">
        <v>38</v>
      </c>
      <c r="V118" s="54">
        <v>10.4</v>
      </c>
      <c r="W118" s="55">
        <v>0</v>
      </c>
      <c r="X118" s="55">
        <v>6.5</v>
      </c>
      <c r="Y118" s="57">
        <v>13.75</v>
      </c>
      <c r="Z118" s="53">
        <v>37</v>
      </c>
      <c r="AA118" s="54">
        <v>10.4</v>
      </c>
      <c r="AB118" s="55">
        <v>0</v>
      </c>
      <c r="AC118" s="55">
        <v>6.4</v>
      </c>
      <c r="AD118" s="57">
        <v>11.75</v>
      </c>
      <c r="AE118" s="56">
        <v>37</v>
      </c>
      <c r="AF118" s="54">
        <v>10.4</v>
      </c>
      <c r="AG118" s="55">
        <v>0</v>
      </c>
      <c r="AH118" s="55">
        <v>6.6</v>
      </c>
      <c r="AI118" s="57">
        <v>8.25</v>
      </c>
      <c r="AJ118" s="56">
        <v>37</v>
      </c>
      <c r="AK118" s="54">
        <v>10.4</v>
      </c>
      <c r="AL118" s="54">
        <v>0</v>
      </c>
      <c r="AM118" s="54">
        <v>6.6</v>
      </c>
      <c r="AN118" s="57">
        <v>11.75</v>
      </c>
      <c r="AO118" s="53">
        <v>37</v>
      </c>
      <c r="AP118" s="54">
        <v>10.4</v>
      </c>
      <c r="AQ118" s="54">
        <v>100</v>
      </c>
      <c r="AR118" s="54">
        <v>6.4</v>
      </c>
      <c r="AS118" s="57">
        <v>16.25</v>
      </c>
      <c r="AT118" s="56">
        <v>0</v>
      </c>
      <c r="AU118" s="57">
        <v>0</v>
      </c>
      <c r="AV118" s="56">
        <v>95.084632869999993</v>
      </c>
      <c r="AW118" s="57">
        <v>229.9521364847819</v>
      </c>
      <c r="AX118" s="8"/>
      <c r="AZ118" s="1">
        <v>90</v>
      </c>
      <c r="BB118" s="82">
        <f t="shared" si="9"/>
        <v>35.028500000000001</v>
      </c>
    </row>
    <row r="119" spans="3:54" ht="15" customHeight="1" x14ac:dyDescent="0.25">
      <c r="C119" s="42"/>
      <c r="D119" s="43">
        <f>D112</f>
        <v>45756</v>
      </c>
      <c r="E119" s="44">
        <f t="shared" si="13"/>
        <v>8.8333333333333268</v>
      </c>
      <c r="F119" s="45">
        <f t="shared" si="10"/>
        <v>45756.833333333583</v>
      </c>
      <c r="G119" s="52">
        <v>0</v>
      </c>
      <c r="H119" s="53">
        <v>41</v>
      </c>
      <c r="I119" s="54">
        <v>10.5</v>
      </c>
      <c r="J119" s="54">
        <v>400</v>
      </c>
      <c r="K119" s="55">
        <v>6.4</v>
      </c>
      <c r="L119" s="56">
        <v>40</v>
      </c>
      <c r="M119" s="54">
        <v>10.4</v>
      </c>
      <c r="N119" s="54">
        <v>450</v>
      </c>
      <c r="O119" s="57">
        <v>6.1</v>
      </c>
      <c r="P119" s="53">
        <v>40</v>
      </c>
      <c r="Q119" s="54">
        <v>10.4</v>
      </c>
      <c r="R119" s="55">
        <v>0</v>
      </c>
      <c r="S119" s="55">
        <v>5.8</v>
      </c>
      <c r="T119" s="57">
        <v>16.25</v>
      </c>
      <c r="U119" s="56">
        <v>39</v>
      </c>
      <c r="V119" s="54">
        <v>10.4</v>
      </c>
      <c r="W119" s="55">
        <v>0</v>
      </c>
      <c r="X119" s="55">
        <v>6</v>
      </c>
      <c r="Y119" s="57">
        <v>13</v>
      </c>
      <c r="Z119" s="53">
        <v>39</v>
      </c>
      <c r="AA119" s="54">
        <v>10.4</v>
      </c>
      <c r="AB119" s="55">
        <v>0</v>
      </c>
      <c r="AC119" s="55">
        <v>6.4</v>
      </c>
      <c r="AD119" s="57">
        <v>11.25</v>
      </c>
      <c r="AE119" s="56">
        <v>39</v>
      </c>
      <c r="AF119" s="54">
        <v>10.4</v>
      </c>
      <c r="AG119" s="55">
        <v>0</v>
      </c>
      <c r="AH119" s="55">
        <v>5.2</v>
      </c>
      <c r="AI119" s="57">
        <v>9.75</v>
      </c>
      <c r="AJ119" s="56">
        <v>38</v>
      </c>
      <c r="AK119" s="54">
        <v>10.4</v>
      </c>
      <c r="AL119" s="54">
        <v>0</v>
      </c>
      <c r="AM119" s="54">
        <v>5.6</v>
      </c>
      <c r="AN119" s="57">
        <v>12.75</v>
      </c>
      <c r="AO119" s="53">
        <v>38</v>
      </c>
      <c r="AP119" s="54">
        <v>10.3</v>
      </c>
      <c r="AQ119" s="54">
        <v>120</v>
      </c>
      <c r="AR119" s="54">
        <v>6.7</v>
      </c>
      <c r="AS119" s="57">
        <v>18.75</v>
      </c>
      <c r="AT119" s="56">
        <v>0</v>
      </c>
      <c r="AU119" s="57">
        <v>0</v>
      </c>
      <c r="AV119" s="56">
        <v>94.974769589999994</v>
      </c>
      <c r="AW119" s="57">
        <v>232.89303531646729</v>
      </c>
      <c r="AX119" s="8"/>
      <c r="AZ119" s="1">
        <v>90</v>
      </c>
      <c r="BB119" s="82">
        <f t="shared" si="9"/>
        <v>36.133499999999998</v>
      </c>
    </row>
    <row r="120" spans="3:54" ht="15" customHeight="1" x14ac:dyDescent="0.25">
      <c r="C120" s="42"/>
      <c r="D120" s="43">
        <f>D112</f>
        <v>45756</v>
      </c>
      <c r="E120" s="44">
        <f t="shared" si="13"/>
        <v>8.9166666666666607</v>
      </c>
      <c r="F120" s="45">
        <f t="shared" si="10"/>
        <v>45756.916666666919</v>
      </c>
      <c r="G120" s="52">
        <v>0</v>
      </c>
      <c r="H120" s="53">
        <v>41</v>
      </c>
      <c r="I120" s="54">
        <v>10.4</v>
      </c>
      <c r="J120" s="54">
        <v>450</v>
      </c>
      <c r="K120" s="55">
        <v>6.6</v>
      </c>
      <c r="L120" s="56">
        <v>41</v>
      </c>
      <c r="M120" s="54">
        <v>10.4</v>
      </c>
      <c r="N120" s="54">
        <v>450</v>
      </c>
      <c r="O120" s="57">
        <v>6.5</v>
      </c>
      <c r="P120" s="53">
        <v>39</v>
      </c>
      <c r="Q120" s="54">
        <v>10.4</v>
      </c>
      <c r="R120" s="55">
        <v>0</v>
      </c>
      <c r="S120" s="55">
        <v>6.1</v>
      </c>
      <c r="T120" s="57">
        <v>17</v>
      </c>
      <c r="U120" s="56">
        <v>39</v>
      </c>
      <c r="V120" s="54">
        <v>10.4</v>
      </c>
      <c r="W120" s="55">
        <v>0</v>
      </c>
      <c r="X120" s="55">
        <v>6.1</v>
      </c>
      <c r="Y120" s="57">
        <v>14</v>
      </c>
      <c r="Z120" s="53">
        <v>39</v>
      </c>
      <c r="AA120" s="54">
        <v>10.4</v>
      </c>
      <c r="AB120" s="55">
        <v>0</v>
      </c>
      <c r="AC120" s="55">
        <v>6.1</v>
      </c>
      <c r="AD120" s="57">
        <v>11.75</v>
      </c>
      <c r="AE120" s="56">
        <v>38</v>
      </c>
      <c r="AF120" s="54">
        <v>10.4</v>
      </c>
      <c r="AG120" s="55">
        <v>0</v>
      </c>
      <c r="AH120" s="55">
        <v>5</v>
      </c>
      <c r="AI120" s="57">
        <v>9.75</v>
      </c>
      <c r="AJ120" s="56">
        <v>38</v>
      </c>
      <c r="AK120" s="54">
        <v>10.4</v>
      </c>
      <c r="AL120" s="54">
        <v>0</v>
      </c>
      <c r="AM120" s="54">
        <v>5.9</v>
      </c>
      <c r="AN120" s="57">
        <v>12.75</v>
      </c>
      <c r="AO120" s="53">
        <v>38</v>
      </c>
      <c r="AP120" s="54">
        <v>10.3</v>
      </c>
      <c r="AQ120" s="54">
        <v>120</v>
      </c>
      <c r="AR120" s="54">
        <v>5.9</v>
      </c>
      <c r="AS120" s="57">
        <v>17.75</v>
      </c>
      <c r="AT120" s="56">
        <v>0</v>
      </c>
      <c r="AU120" s="57">
        <v>0</v>
      </c>
      <c r="AV120" s="56">
        <v>95.052078249999994</v>
      </c>
      <c r="AW120" s="57">
        <v>230.46416848500573</v>
      </c>
      <c r="AX120" s="8"/>
      <c r="AZ120" s="1">
        <v>90</v>
      </c>
      <c r="BB120" s="82">
        <f t="shared" si="9"/>
        <v>36.686</v>
      </c>
    </row>
    <row r="121" spans="3:54" ht="15" customHeight="1" x14ac:dyDescent="0.25">
      <c r="C121" s="42"/>
      <c r="D121" s="43">
        <f>D112</f>
        <v>45756</v>
      </c>
      <c r="E121" s="44">
        <f t="shared" si="13"/>
        <v>8.9999999999999947</v>
      </c>
      <c r="F121" s="45">
        <f t="shared" si="10"/>
        <v>45757.000000000255</v>
      </c>
      <c r="G121" s="52">
        <v>0</v>
      </c>
      <c r="H121" s="53">
        <v>42</v>
      </c>
      <c r="I121" s="54">
        <v>10.4</v>
      </c>
      <c r="J121" s="54">
        <v>450</v>
      </c>
      <c r="K121" s="55">
        <v>6.71</v>
      </c>
      <c r="L121" s="56">
        <v>41</v>
      </c>
      <c r="M121" s="54">
        <v>10.4</v>
      </c>
      <c r="N121" s="54">
        <v>450</v>
      </c>
      <c r="O121" s="57">
        <v>6.71</v>
      </c>
      <c r="P121" s="53">
        <v>39</v>
      </c>
      <c r="Q121" s="54">
        <v>10.3</v>
      </c>
      <c r="R121" s="55">
        <v>0</v>
      </c>
      <c r="S121" s="55">
        <v>5.8</v>
      </c>
      <c r="T121" s="57">
        <v>13</v>
      </c>
      <c r="U121" s="56">
        <v>40</v>
      </c>
      <c r="V121" s="54">
        <v>10.3</v>
      </c>
      <c r="W121" s="55">
        <v>0</v>
      </c>
      <c r="X121" s="55">
        <v>5.5</v>
      </c>
      <c r="Y121" s="57">
        <v>13.75</v>
      </c>
      <c r="Z121" s="53">
        <v>39</v>
      </c>
      <c r="AA121" s="54">
        <v>10.3</v>
      </c>
      <c r="AB121" s="55">
        <v>0</v>
      </c>
      <c r="AC121" s="55">
        <v>5.6</v>
      </c>
      <c r="AD121" s="57">
        <v>11.75</v>
      </c>
      <c r="AE121" s="56">
        <v>38</v>
      </c>
      <c r="AF121" s="54">
        <v>10.4</v>
      </c>
      <c r="AG121" s="55">
        <v>0</v>
      </c>
      <c r="AH121" s="55">
        <v>5.2</v>
      </c>
      <c r="AI121" s="57">
        <v>9.75</v>
      </c>
      <c r="AJ121" s="56">
        <v>38</v>
      </c>
      <c r="AK121" s="54">
        <v>10.3</v>
      </c>
      <c r="AL121" s="54">
        <v>0</v>
      </c>
      <c r="AM121" s="54">
        <v>5.8</v>
      </c>
      <c r="AN121" s="57">
        <v>12.75</v>
      </c>
      <c r="AO121" s="53">
        <v>38</v>
      </c>
      <c r="AP121" s="54">
        <v>10.199999999999999</v>
      </c>
      <c r="AQ121" s="54">
        <v>120</v>
      </c>
      <c r="AR121" s="54">
        <v>6.1</v>
      </c>
      <c r="AS121" s="57">
        <v>18</v>
      </c>
      <c r="AT121" s="56">
        <v>0</v>
      </c>
      <c r="AU121" s="57">
        <v>0</v>
      </c>
      <c r="AV121" s="56">
        <v>95.109046939999999</v>
      </c>
      <c r="AW121" s="57">
        <v>233.94543374379475</v>
      </c>
      <c r="AX121" s="8"/>
      <c r="AZ121" s="1">
        <v>90</v>
      </c>
      <c r="BB121" s="82">
        <f t="shared" si="9"/>
        <v>34.917999999999999</v>
      </c>
    </row>
    <row r="122" spans="3:54" ht="15" customHeight="1" x14ac:dyDescent="0.25">
      <c r="C122" s="42"/>
      <c r="D122" s="43">
        <f>D112</f>
        <v>45756</v>
      </c>
      <c r="E122" s="44">
        <f t="shared" si="13"/>
        <v>9.0833333333333286</v>
      </c>
      <c r="F122" s="45">
        <f t="shared" si="10"/>
        <v>45757.08333333359</v>
      </c>
      <c r="G122" s="52">
        <v>0</v>
      </c>
      <c r="H122" s="53">
        <v>43</v>
      </c>
      <c r="I122" s="54">
        <v>10.4</v>
      </c>
      <c r="J122" s="54">
        <v>450</v>
      </c>
      <c r="K122" s="55">
        <v>6.2</v>
      </c>
      <c r="L122" s="56">
        <v>41</v>
      </c>
      <c r="M122" s="54">
        <v>10.4</v>
      </c>
      <c r="N122" s="54">
        <v>450</v>
      </c>
      <c r="O122" s="57">
        <v>6.2</v>
      </c>
      <c r="P122" s="53">
        <v>39</v>
      </c>
      <c r="Q122" s="54">
        <v>10.3</v>
      </c>
      <c r="R122" s="55">
        <v>0</v>
      </c>
      <c r="S122" s="55">
        <v>6</v>
      </c>
      <c r="T122" s="57">
        <v>17.5</v>
      </c>
      <c r="U122" s="56">
        <v>40</v>
      </c>
      <c r="V122" s="54">
        <v>10.3</v>
      </c>
      <c r="W122" s="55">
        <v>0</v>
      </c>
      <c r="X122" s="55">
        <v>5.3</v>
      </c>
      <c r="Y122" s="57">
        <v>13.75</v>
      </c>
      <c r="Z122" s="53">
        <v>40</v>
      </c>
      <c r="AA122" s="54">
        <v>10.3</v>
      </c>
      <c r="AB122" s="55">
        <v>0</v>
      </c>
      <c r="AC122" s="55">
        <v>5.4</v>
      </c>
      <c r="AD122" s="57">
        <v>11.75</v>
      </c>
      <c r="AE122" s="56">
        <v>38</v>
      </c>
      <c r="AF122" s="54">
        <v>10.3</v>
      </c>
      <c r="AG122" s="55">
        <v>0</v>
      </c>
      <c r="AH122" s="55">
        <v>5.0999999999999996</v>
      </c>
      <c r="AI122" s="57">
        <v>10</v>
      </c>
      <c r="AJ122" s="56">
        <v>39</v>
      </c>
      <c r="AK122" s="54">
        <v>10.3</v>
      </c>
      <c r="AL122" s="54">
        <v>0</v>
      </c>
      <c r="AM122" s="54">
        <v>5.7</v>
      </c>
      <c r="AN122" s="57">
        <v>12.5</v>
      </c>
      <c r="AO122" s="53">
        <v>38</v>
      </c>
      <c r="AP122" s="54">
        <v>10.199999999999999</v>
      </c>
      <c r="AQ122" s="54">
        <v>120</v>
      </c>
      <c r="AR122" s="54">
        <v>6.4</v>
      </c>
      <c r="AS122" s="57">
        <v>18.75</v>
      </c>
      <c r="AT122" s="56">
        <v>0</v>
      </c>
      <c r="AU122" s="57">
        <v>0</v>
      </c>
      <c r="AV122" s="56">
        <v>94.995117190000002</v>
      </c>
      <c r="AW122" s="57">
        <v>220.49008935292562</v>
      </c>
      <c r="AX122" s="8"/>
      <c r="AZ122" s="1">
        <v>90</v>
      </c>
      <c r="BB122" s="82">
        <f t="shared" si="9"/>
        <v>37.238500000000002</v>
      </c>
    </row>
    <row r="123" spans="3:54" ht="15" customHeight="1" x14ac:dyDescent="0.25">
      <c r="C123" s="42"/>
      <c r="D123" s="69">
        <f>D112</f>
        <v>45756</v>
      </c>
      <c r="E123" s="70">
        <f t="shared" si="13"/>
        <v>9.1666666666666625</v>
      </c>
      <c r="F123" s="71">
        <f t="shared" si="10"/>
        <v>45757.166666666926</v>
      </c>
      <c r="G123" s="60">
        <v>0</v>
      </c>
      <c r="H123" s="61">
        <v>42</v>
      </c>
      <c r="I123" s="62">
        <v>10.4</v>
      </c>
      <c r="J123" s="62">
        <v>450</v>
      </c>
      <c r="K123" s="63">
        <v>6</v>
      </c>
      <c r="L123" s="64">
        <v>40</v>
      </c>
      <c r="M123" s="62">
        <v>10.4</v>
      </c>
      <c r="N123" s="62">
        <v>450</v>
      </c>
      <c r="O123" s="65">
        <v>6</v>
      </c>
      <c r="P123" s="61">
        <v>39</v>
      </c>
      <c r="Q123" s="62">
        <v>10.3</v>
      </c>
      <c r="R123" s="63">
        <v>0</v>
      </c>
      <c r="S123" s="63">
        <v>5.8</v>
      </c>
      <c r="T123" s="65">
        <v>17.5</v>
      </c>
      <c r="U123" s="64">
        <v>39</v>
      </c>
      <c r="V123" s="62">
        <v>10.3</v>
      </c>
      <c r="W123" s="63">
        <v>0</v>
      </c>
      <c r="X123" s="63">
        <v>5.8</v>
      </c>
      <c r="Y123" s="65">
        <v>13.75</v>
      </c>
      <c r="Z123" s="61">
        <v>40</v>
      </c>
      <c r="AA123" s="62">
        <v>10.3</v>
      </c>
      <c r="AB123" s="63">
        <v>0</v>
      </c>
      <c r="AC123" s="63">
        <v>5.8</v>
      </c>
      <c r="AD123" s="65">
        <v>11</v>
      </c>
      <c r="AE123" s="64">
        <v>38</v>
      </c>
      <c r="AF123" s="62">
        <v>10.3</v>
      </c>
      <c r="AG123" s="63">
        <v>0</v>
      </c>
      <c r="AH123" s="63">
        <v>5.4</v>
      </c>
      <c r="AI123" s="65">
        <v>9.5</v>
      </c>
      <c r="AJ123" s="64">
        <v>39</v>
      </c>
      <c r="AK123" s="62">
        <v>10.4</v>
      </c>
      <c r="AL123" s="62">
        <v>0</v>
      </c>
      <c r="AM123" s="62">
        <v>6.1</v>
      </c>
      <c r="AN123" s="65">
        <v>12.25</v>
      </c>
      <c r="AO123" s="61">
        <v>38</v>
      </c>
      <c r="AP123" s="62">
        <v>10.199999999999999</v>
      </c>
      <c r="AQ123" s="62">
        <v>120</v>
      </c>
      <c r="AR123" s="62">
        <v>6.5</v>
      </c>
      <c r="AS123" s="65">
        <v>18.25</v>
      </c>
      <c r="AT123" s="64">
        <v>0</v>
      </c>
      <c r="AU123" s="65">
        <v>0</v>
      </c>
      <c r="AV123" s="64">
        <v>94.986976619999993</v>
      </c>
      <c r="AW123" s="65">
        <v>227.64226423899331</v>
      </c>
      <c r="AX123" s="8"/>
      <c r="AZ123" s="1">
        <v>90</v>
      </c>
      <c r="BB123" s="82">
        <f t="shared" si="9"/>
        <v>36.354500000000002</v>
      </c>
    </row>
    <row r="124" spans="3:54" ht="15" customHeight="1" x14ac:dyDescent="0.25">
      <c r="C124" s="42">
        <f>C112+1</f>
        <v>10</v>
      </c>
      <c r="D124" s="66">
        <f>DATE([4]Dash!$F$3,VLOOKUP([4]Dash!$E$3,[4]Abb!$C$3:$D$14,2,FALSE),C124)</f>
        <v>45757</v>
      </c>
      <c r="E124" s="67">
        <f>E123+2/24</f>
        <v>9.2499999999999964</v>
      </c>
      <c r="F124" s="68">
        <f t="shared" si="10"/>
        <v>45757.250000000262</v>
      </c>
      <c r="G124" s="46">
        <v>0</v>
      </c>
      <c r="H124" s="47">
        <v>42</v>
      </c>
      <c r="I124" s="48">
        <v>10.5</v>
      </c>
      <c r="J124" s="48">
        <v>400</v>
      </c>
      <c r="K124" s="49">
        <v>6.4</v>
      </c>
      <c r="L124" s="50">
        <v>40</v>
      </c>
      <c r="M124" s="48">
        <v>10.4</v>
      </c>
      <c r="N124" s="48">
        <v>450</v>
      </c>
      <c r="O124" s="51">
        <v>6.1</v>
      </c>
      <c r="P124" s="47">
        <v>39</v>
      </c>
      <c r="Q124" s="48">
        <v>10.4</v>
      </c>
      <c r="R124" s="49">
        <v>0</v>
      </c>
      <c r="S124" s="49">
        <v>6</v>
      </c>
      <c r="T124" s="51">
        <v>17.75</v>
      </c>
      <c r="U124" s="50">
        <v>39</v>
      </c>
      <c r="V124" s="48">
        <v>10.3</v>
      </c>
      <c r="W124" s="49">
        <v>0</v>
      </c>
      <c r="X124" s="49">
        <v>6</v>
      </c>
      <c r="Y124" s="51">
        <v>13</v>
      </c>
      <c r="Z124" s="47">
        <v>39</v>
      </c>
      <c r="AA124" s="48">
        <v>10.3</v>
      </c>
      <c r="AB124" s="49">
        <v>0</v>
      </c>
      <c r="AC124" s="49">
        <v>6.5</v>
      </c>
      <c r="AD124" s="51">
        <v>11.5</v>
      </c>
      <c r="AE124" s="50">
        <v>38</v>
      </c>
      <c r="AF124" s="48">
        <v>10.4</v>
      </c>
      <c r="AG124" s="49">
        <v>0</v>
      </c>
      <c r="AH124" s="49">
        <v>5.8</v>
      </c>
      <c r="AI124" s="51">
        <v>10</v>
      </c>
      <c r="AJ124" s="50">
        <v>38</v>
      </c>
      <c r="AK124" s="48">
        <v>10.3</v>
      </c>
      <c r="AL124" s="48">
        <v>0</v>
      </c>
      <c r="AM124" s="48">
        <v>6.3</v>
      </c>
      <c r="AN124" s="51">
        <v>12.75</v>
      </c>
      <c r="AO124" s="47">
        <v>38</v>
      </c>
      <c r="AP124" s="48">
        <v>10.3</v>
      </c>
      <c r="AQ124" s="48">
        <v>120</v>
      </c>
      <c r="AR124" s="48">
        <v>6.6</v>
      </c>
      <c r="AS124" s="51">
        <v>18.5</v>
      </c>
      <c r="AT124" s="50">
        <v>0</v>
      </c>
      <c r="AU124" s="51">
        <v>0</v>
      </c>
      <c r="AV124" s="50">
        <v>94.942214969999995</v>
      </c>
      <c r="AW124" s="51">
        <v>235.70179793327497</v>
      </c>
      <c r="AX124" s="8"/>
      <c r="AZ124" s="1">
        <v>90</v>
      </c>
      <c r="BB124" s="82">
        <f t="shared" si="9"/>
        <v>36.906999999999996</v>
      </c>
    </row>
    <row r="125" spans="3:54" ht="15" customHeight="1" x14ac:dyDescent="0.25">
      <c r="C125" s="42"/>
      <c r="D125" s="43">
        <f>D124</f>
        <v>45757</v>
      </c>
      <c r="E125" s="44">
        <f>E124+2/24</f>
        <v>9.3333333333333304</v>
      </c>
      <c r="F125" s="45">
        <f t="shared" si="10"/>
        <v>45757.333333333598</v>
      </c>
      <c r="G125" s="52">
        <v>0</v>
      </c>
      <c r="H125" s="53">
        <v>39</v>
      </c>
      <c r="I125" s="54">
        <v>10.5</v>
      </c>
      <c r="J125" s="54">
        <v>350</v>
      </c>
      <c r="K125" s="55">
        <v>6.4</v>
      </c>
      <c r="L125" s="56">
        <v>41</v>
      </c>
      <c r="M125" s="54">
        <v>10.199999999999999</v>
      </c>
      <c r="N125" s="54">
        <v>400</v>
      </c>
      <c r="O125" s="57">
        <v>6.3</v>
      </c>
      <c r="P125" s="53">
        <v>40</v>
      </c>
      <c r="Q125" s="54">
        <v>10.199999999999999</v>
      </c>
      <c r="R125" s="55">
        <v>0</v>
      </c>
      <c r="S125" s="55">
        <v>6.4</v>
      </c>
      <c r="T125" s="57">
        <v>17.5</v>
      </c>
      <c r="U125" s="56">
        <v>40</v>
      </c>
      <c r="V125" s="54">
        <v>10.199999999999999</v>
      </c>
      <c r="W125" s="55">
        <v>0</v>
      </c>
      <c r="X125" s="55">
        <v>6.6</v>
      </c>
      <c r="Y125" s="57">
        <v>12.5</v>
      </c>
      <c r="Z125" s="53">
        <v>40</v>
      </c>
      <c r="AA125" s="54">
        <v>10.199999999999999</v>
      </c>
      <c r="AB125" s="55">
        <v>0</v>
      </c>
      <c r="AC125" s="55">
        <v>6.4</v>
      </c>
      <c r="AD125" s="57">
        <v>12.5</v>
      </c>
      <c r="AE125" s="56">
        <v>38</v>
      </c>
      <c r="AF125" s="54">
        <v>10.1</v>
      </c>
      <c r="AG125" s="55">
        <v>0</v>
      </c>
      <c r="AH125" s="55">
        <v>6.4</v>
      </c>
      <c r="AI125" s="57">
        <v>11.75</v>
      </c>
      <c r="AJ125" s="56">
        <v>38</v>
      </c>
      <c r="AK125" s="54">
        <v>10.1</v>
      </c>
      <c r="AL125" s="54">
        <v>0</v>
      </c>
      <c r="AM125" s="54">
        <v>6.5</v>
      </c>
      <c r="AN125" s="57">
        <v>12</v>
      </c>
      <c r="AO125" s="53">
        <v>39</v>
      </c>
      <c r="AP125" s="54">
        <v>10.1</v>
      </c>
      <c r="AQ125" s="54">
        <v>110</v>
      </c>
      <c r="AR125" s="54">
        <v>6.4</v>
      </c>
      <c r="AS125" s="57">
        <v>17</v>
      </c>
      <c r="AT125" s="56">
        <v>0</v>
      </c>
      <c r="AU125" s="57">
        <v>0</v>
      </c>
      <c r="AV125" s="56">
        <v>94.600418090000005</v>
      </c>
      <c r="AW125" s="57">
        <v>235.53686979988899</v>
      </c>
      <c r="AX125" s="8"/>
      <c r="AZ125" s="1">
        <v>90</v>
      </c>
      <c r="BB125" s="82">
        <f t="shared" si="9"/>
        <v>36.796500000000002</v>
      </c>
    </row>
    <row r="126" spans="3:54" ht="15" customHeight="1" x14ac:dyDescent="0.25">
      <c r="C126" s="42"/>
      <c r="D126" s="43">
        <f>D124</f>
        <v>45757</v>
      </c>
      <c r="E126" s="44">
        <f t="shared" ref="E126:E135" si="14">E125+2/24</f>
        <v>9.4166666666666643</v>
      </c>
      <c r="F126" s="45">
        <f t="shared" si="10"/>
        <v>45757.416666666933</v>
      </c>
      <c r="G126" s="52">
        <v>0</v>
      </c>
      <c r="H126" s="53">
        <v>37</v>
      </c>
      <c r="I126" s="54">
        <v>10.4</v>
      </c>
      <c r="J126" s="54">
        <v>350</v>
      </c>
      <c r="K126" s="55">
        <v>6.6</v>
      </c>
      <c r="L126" s="56">
        <v>40</v>
      </c>
      <c r="M126" s="54">
        <v>10.1</v>
      </c>
      <c r="N126" s="54">
        <v>400</v>
      </c>
      <c r="O126" s="57">
        <v>6.5</v>
      </c>
      <c r="P126" s="53">
        <v>39</v>
      </c>
      <c r="Q126" s="54">
        <v>10.199999999999999</v>
      </c>
      <c r="R126" s="55">
        <v>0</v>
      </c>
      <c r="S126" s="55">
        <v>6.2</v>
      </c>
      <c r="T126" s="57">
        <v>17.5</v>
      </c>
      <c r="U126" s="56">
        <v>40</v>
      </c>
      <c r="V126" s="54">
        <v>10.199999999999999</v>
      </c>
      <c r="W126" s="55">
        <v>0</v>
      </c>
      <c r="X126" s="55">
        <v>6.4</v>
      </c>
      <c r="Y126" s="57">
        <v>12.5</v>
      </c>
      <c r="Z126" s="53">
        <v>40</v>
      </c>
      <c r="AA126" s="54">
        <v>10.199999999999999</v>
      </c>
      <c r="AB126" s="55">
        <v>0</v>
      </c>
      <c r="AC126" s="55">
        <v>6.5</v>
      </c>
      <c r="AD126" s="57">
        <v>12.5</v>
      </c>
      <c r="AE126" s="56">
        <v>39</v>
      </c>
      <c r="AF126" s="54">
        <v>10.1</v>
      </c>
      <c r="AG126" s="55">
        <v>0</v>
      </c>
      <c r="AH126" s="55">
        <v>6.7</v>
      </c>
      <c r="AI126" s="57">
        <v>11.25</v>
      </c>
      <c r="AJ126" s="56">
        <v>39</v>
      </c>
      <c r="AK126" s="54">
        <v>10.1</v>
      </c>
      <c r="AL126" s="54">
        <v>0</v>
      </c>
      <c r="AM126" s="54">
        <v>6.6</v>
      </c>
      <c r="AN126" s="57">
        <v>12.5</v>
      </c>
      <c r="AO126" s="53">
        <v>40</v>
      </c>
      <c r="AP126" s="54">
        <v>10.1</v>
      </c>
      <c r="AQ126" s="54">
        <v>110</v>
      </c>
      <c r="AR126" s="54">
        <v>6.6</v>
      </c>
      <c r="AS126" s="57">
        <v>16.25</v>
      </c>
      <c r="AT126" s="56">
        <v>0</v>
      </c>
      <c r="AU126" s="57">
        <v>0</v>
      </c>
      <c r="AV126" s="56">
        <v>95.161941530000007</v>
      </c>
      <c r="AW126" s="57">
        <v>234.20343789523471</v>
      </c>
      <c r="AX126" s="8"/>
      <c r="AZ126" s="1">
        <v>90</v>
      </c>
      <c r="BB126" s="82">
        <f t="shared" si="9"/>
        <v>36.465000000000003</v>
      </c>
    </row>
    <row r="127" spans="3:54" ht="15" customHeight="1" x14ac:dyDescent="0.25">
      <c r="C127" s="42"/>
      <c r="D127" s="43">
        <f>D124</f>
        <v>45757</v>
      </c>
      <c r="E127" s="44">
        <f t="shared" si="14"/>
        <v>9.4999999999999982</v>
      </c>
      <c r="F127" s="45">
        <f t="shared" si="10"/>
        <v>45757.500000000269</v>
      </c>
      <c r="G127" s="52">
        <v>0</v>
      </c>
      <c r="H127" s="53">
        <v>38</v>
      </c>
      <c r="I127" s="54">
        <v>10.4</v>
      </c>
      <c r="J127" s="54">
        <v>350</v>
      </c>
      <c r="K127" s="55">
        <v>6.5</v>
      </c>
      <c r="L127" s="56">
        <v>40</v>
      </c>
      <c r="M127" s="54">
        <v>10.1</v>
      </c>
      <c r="N127" s="54">
        <v>400</v>
      </c>
      <c r="O127" s="57">
        <v>6.4</v>
      </c>
      <c r="P127" s="53">
        <v>39</v>
      </c>
      <c r="Q127" s="54">
        <v>10.199999999999999</v>
      </c>
      <c r="R127" s="55">
        <v>0</v>
      </c>
      <c r="S127" s="55">
        <v>6.3</v>
      </c>
      <c r="T127" s="57">
        <v>17.5</v>
      </c>
      <c r="U127" s="56">
        <v>39</v>
      </c>
      <c r="V127" s="54">
        <v>10.199999999999999</v>
      </c>
      <c r="W127" s="55">
        <v>0</v>
      </c>
      <c r="X127" s="55">
        <v>6.5</v>
      </c>
      <c r="Y127" s="57">
        <v>12.5</v>
      </c>
      <c r="Z127" s="53">
        <v>39</v>
      </c>
      <c r="AA127" s="54">
        <v>10.199999999999999</v>
      </c>
      <c r="AB127" s="55">
        <v>0</v>
      </c>
      <c r="AC127" s="55">
        <v>6.3</v>
      </c>
      <c r="AD127" s="57">
        <v>12</v>
      </c>
      <c r="AE127" s="56">
        <v>39</v>
      </c>
      <c r="AF127" s="54">
        <v>10.1</v>
      </c>
      <c r="AG127" s="55">
        <v>0</v>
      </c>
      <c r="AH127" s="55">
        <v>6.6</v>
      </c>
      <c r="AI127" s="57">
        <v>11.25</v>
      </c>
      <c r="AJ127" s="56">
        <v>39</v>
      </c>
      <c r="AK127" s="54">
        <v>10.1</v>
      </c>
      <c r="AL127" s="54">
        <v>0</v>
      </c>
      <c r="AM127" s="54">
        <v>6.3</v>
      </c>
      <c r="AN127" s="57">
        <v>12.5</v>
      </c>
      <c r="AO127" s="53">
        <v>39</v>
      </c>
      <c r="AP127" s="54">
        <v>10.1</v>
      </c>
      <c r="AQ127" s="54">
        <v>110</v>
      </c>
      <c r="AR127" s="54">
        <v>6.7</v>
      </c>
      <c r="AS127" s="57">
        <v>17</v>
      </c>
      <c r="AT127" s="56">
        <v>0</v>
      </c>
      <c r="AU127" s="57">
        <v>0</v>
      </c>
      <c r="AV127" s="56">
        <v>95.092773440000002</v>
      </c>
      <c r="AW127" s="57">
        <v>224.63011264801025</v>
      </c>
      <c r="AX127" s="8"/>
      <c r="AZ127" s="1">
        <v>90</v>
      </c>
      <c r="BB127" s="82">
        <f t="shared" si="9"/>
        <v>36.575499999999998</v>
      </c>
    </row>
    <row r="128" spans="3:54" ht="15" customHeight="1" x14ac:dyDescent="0.25">
      <c r="C128" s="42"/>
      <c r="D128" s="43">
        <f>D124</f>
        <v>45757</v>
      </c>
      <c r="E128" s="44">
        <f t="shared" si="14"/>
        <v>9.5833333333333321</v>
      </c>
      <c r="F128" s="45">
        <f t="shared" si="10"/>
        <v>45757.583333333605</v>
      </c>
      <c r="G128" s="52">
        <v>0</v>
      </c>
      <c r="H128" s="53">
        <v>38</v>
      </c>
      <c r="I128" s="54">
        <v>10.4</v>
      </c>
      <c r="J128" s="54">
        <v>350</v>
      </c>
      <c r="K128" s="55">
        <v>6.5</v>
      </c>
      <c r="L128" s="56">
        <v>40</v>
      </c>
      <c r="M128" s="54">
        <v>10.1</v>
      </c>
      <c r="N128" s="54">
        <v>400</v>
      </c>
      <c r="O128" s="57">
        <v>6.3</v>
      </c>
      <c r="P128" s="53">
        <v>38</v>
      </c>
      <c r="Q128" s="54">
        <v>10.199999999999999</v>
      </c>
      <c r="R128" s="55">
        <v>0</v>
      </c>
      <c r="S128" s="55">
        <v>6.2</v>
      </c>
      <c r="T128" s="57">
        <v>13.75</v>
      </c>
      <c r="U128" s="56">
        <v>39</v>
      </c>
      <c r="V128" s="54">
        <v>10.199999999999999</v>
      </c>
      <c r="W128" s="55">
        <v>0</v>
      </c>
      <c r="X128" s="55">
        <v>6.6</v>
      </c>
      <c r="Y128" s="57">
        <v>12.5</v>
      </c>
      <c r="Z128" s="53">
        <v>39</v>
      </c>
      <c r="AA128" s="54">
        <v>10.199999999999999</v>
      </c>
      <c r="AB128" s="55">
        <v>0</v>
      </c>
      <c r="AC128" s="55">
        <v>6.3</v>
      </c>
      <c r="AD128" s="57">
        <v>12.5</v>
      </c>
      <c r="AE128" s="56">
        <v>39</v>
      </c>
      <c r="AF128" s="54">
        <v>10.1</v>
      </c>
      <c r="AG128" s="55">
        <v>0</v>
      </c>
      <c r="AH128" s="55">
        <v>6.4</v>
      </c>
      <c r="AI128" s="57">
        <v>11.25</v>
      </c>
      <c r="AJ128" s="56">
        <v>39</v>
      </c>
      <c r="AK128" s="54">
        <v>10.1</v>
      </c>
      <c r="AL128" s="54">
        <v>0</v>
      </c>
      <c r="AM128" s="54">
        <v>6.5</v>
      </c>
      <c r="AN128" s="57">
        <v>12</v>
      </c>
      <c r="AO128" s="53">
        <v>39</v>
      </c>
      <c r="AP128" s="54">
        <v>10.1</v>
      </c>
      <c r="AQ128" s="54">
        <v>110</v>
      </c>
      <c r="AR128" s="54">
        <v>6.6</v>
      </c>
      <c r="AS128" s="57">
        <v>17</v>
      </c>
      <c r="AT128" s="56">
        <v>0</v>
      </c>
      <c r="AU128" s="57">
        <v>0</v>
      </c>
      <c r="AV128" s="56">
        <v>95.031738279999999</v>
      </c>
      <c r="AW128" s="57">
        <v>227.1034678777059</v>
      </c>
      <c r="AX128" s="8"/>
      <c r="AZ128" s="1">
        <v>90</v>
      </c>
      <c r="BB128" s="82">
        <f t="shared" si="9"/>
        <v>34.917999999999999</v>
      </c>
    </row>
    <row r="129" spans="3:54" ht="15" customHeight="1" x14ac:dyDescent="0.25">
      <c r="C129" s="42"/>
      <c r="D129" s="43">
        <f>D124</f>
        <v>45757</v>
      </c>
      <c r="E129" s="44">
        <f t="shared" si="14"/>
        <v>9.6666666666666661</v>
      </c>
      <c r="F129" s="45">
        <f t="shared" si="10"/>
        <v>45757.666666666941</v>
      </c>
      <c r="G129" s="52">
        <v>0</v>
      </c>
      <c r="H129" s="53">
        <v>38</v>
      </c>
      <c r="I129" s="54">
        <v>10.4</v>
      </c>
      <c r="J129" s="54">
        <v>350</v>
      </c>
      <c r="K129" s="55">
        <v>6.5</v>
      </c>
      <c r="L129" s="56">
        <v>40</v>
      </c>
      <c r="M129" s="54">
        <v>10.1</v>
      </c>
      <c r="N129" s="54">
        <v>400</v>
      </c>
      <c r="O129" s="57">
        <v>6.5</v>
      </c>
      <c r="P129" s="53">
        <v>39</v>
      </c>
      <c r="Q129" s="54">
        <v>10.199999999999999</v>
      </c>
      <c r="R129" s="55">
        <v>0</v>
      </c>
      <c r="S129" s="55">
        <v>6.4</v>
      </c>
      <c r="T129" s="57">
        <v>10</v>
      </c>
      <c r="U129" s="56">
        <v>39</v>
      </c>
      <c r="V129" s="54">
        <v>10.199999999999999</v>
      </c>
      <c r="W129" s="55">
        <v>0</v>
      </c>
      <c r="X129" s="55">
        <v>6.4</v>
      </c>
      <c r="Y129" s="57">
        <v>12</v>
      </c>
      <c r="Z129" s="53">
        <v>39</v>
      </c>
      <c r="AA129" s="54">
        <v>10.199999999999999</v>
      </c>
      <c r="AB129" s="55">
        <v>0</v>
      </c>
      <c r="AC129" s="55">
        <v>6.5</v>
      </c>
      <c r="AD129" s="57">
        <v>12</v>
      </c>
      <c r="AE129" s="56">
        <v>39</v>
      </c>
      <c r="AF129" s="54">
        <v>10.1</v>
      </c>
      <c r="AG129" s="55">
        <v>0</v>
      </c>
      <c r="AH129" s="55">
        <v>6.7</v>
      </c>
      <c r="AI129" s="57">
        <v>11.25</v>
      </c>
      <c r="AJ129" s="56">
        <v>39</v>
      </c>
      <c r="AK129" s="54">
        <v>10.1</v>
      </c>
      <c r="AL129" s="54">
        <v>0</v>
      </c>
      <c r="AM129" s="54">
        <v>6.3</v>
      </c>
      <c r="AN129" s="57">
        <v>12.5</v>
      </c>
      <c r="AO129" s="53">
        <v>39</v>
      </c>
      <c r="AP129" s="54">
        <v>10.1</v>
      </c>
      <c r="AQ129" s="54">
        <v>110</v>
      </c>
      <c r="AR129" s="54">
        <v>6.7</v>
      </c>
      <c r="AS129" s="57">
        <v>17</v>
      </c>
      <c r="AT129" s="56">
        <v>0</v>
      </c>
      <c r="AU129" s="57">
        <v>0</v>
      </c>
      <c r="AV129" s="56">
        <v>95.161941530000007</v>
      </c>
      <c r="AW129" s="57">
        <v>224.09119408925378</v>
      </c>
      <c r="AX129" s="8"/>
      <c r="AZ129" s="1">
        <v>90</v>
      </c>
      <c r="BB129" s="82">
        <f t="shared" si="9"/>
        <v>33.039499999999997</v>
      </c>
    </row>
    <row r="130" spans="3:54" ht="15" customHeight="1" x14ac:dyDescent="0.25">
      <c r="C130" s="42"/>
      <c r="D130" s="43">
        <f>D124</f>
        <v>45757</v>
      </c>
      <c r="E130" s="44">
        <f t="shared" si="14"/>
        <v>9.75</v>
      </c>
      <c r="F130" s="45">
        <f t="shared" si="10"/>
        <v>45757.750000000276</v>
      </c>
      <c r="G130" s="52">
        <v>0</v>
      </c>
      <c r="H130" s="53">
        <v>38</v>
      </c>
      <c r="I130" s="54">
        <v>10.4</v>
      </c>
      <c r="J130" s="54">
        <v>350</v>
      </c>
      <c r="K130" s="55">
        <v>6.7</v>
      </c>
      <c r="L130" s="56">
        <v>40</v>
      </c>
      <c r="M130" s="54">
        <v>10.1</v>
      </c>
      <c r="N130" s="54">
        <v>350</v>
      </c>
      <c r="O130" s="57">
        <v>6.4</v>
      </c>
      <c r="P130" s="53">
        <v>39</v>
      </c>
      <c r="Q130" s="54">
        <v>10.199999999999999</v>
      </c>
      <c r="R130" s="55">
        <v>0</v>
      </c>
      <c r="S130" s="55">
        <v>6.3</v>
      </c>
      <c r="T130" s="57">
        <v>10</v>
      </c>
      <c r="U130" s="56">
        <v>39</v>
      </c>
      <c r="V130" s="54">
        <v>10.199999999999999</v>
      </c>
      <c r="W130" s="55">
        <v>0</v>
      </c>
      <c r="X130" s="55">
        <v>6.5</v>
      </c>
      <c r="Y130" s="57">
        <v>12</v>
      </c>
      <c r="Z130" s="53">
        <v>39</v>
      </c>
      <c r="AA130" s="54">
        <v>10.199999999999999</v>
      </c>
      <c r="AB130" s="55">
        <v>0</v>
      </c>
      <c r="AC130" s="55">
        <v>6.4</v>
      </c>
      <c r="AD130" s="57">
        <v>12.5</v>
      </c>
      <c r="AE130" s="56">
        <v>39</v>
      </c>
      <c r="AF130" s="54">
        <v>10.1</v>
      </c>
      <c r="AG130" s="55">
        <v>0</v>
      </c>
      <c r="AH130" s="55">
        <v>6.6</v>
      </c>
      <c r="AI130" s="57">
        <v>11.25</v>
      </c>
      <c r="AJ130" s="56">
        <v>39</v>
      </c>
      <c r="AK130" s="54">
        <v>10.1</v>
      </c>
      <c r="AL130" s="54">
        <v>0</v>
      </c>
      <c r="AM130" s="54">
        <v>6.6</v>
      </c>
      <c r="AN130" s="57">
        <v>12.5</v>
      </c>
      <c r="AO130" s="53">
        <v>39</v>
      </c>
      <c r="AP130" s="54">
        <v>10.1</v>
      </c>
      <c r="AQ130" s="54">
        <v>100</v>
      </c>
      <c r="AR130" s="54">
        <v>6.6</v>
      </c>
      <c r="AS130" s="57">
        <v>17.5</v>
      </c>
      <c r="AT130" s="56">
        <v>0</v>
      </c>
      <c r="AU130" s="57">
        <v>0</v>
      </c>
      <c r="AV130" s="56">
        <v>95.084632869999993</v>
      </c>
      <c r="AW130" s="57">
        <v>229.9521364847819</v>
      </c>
      <c r="AX130" s="8"/>
      <c r="AZ130" s="1">
        <v>90</v>
      </c>
      <c r="BB130" s="82">
        <f t="shared" si="9"/>
        <v>33.481499999999997</v>
      </c>
    </row>
    <row r="131" spans="3:54" ht="15" customHeight="1" x14ac:dyDescent="0.25">
      <c r="C131" s="42"/>
      <c r="D131" s="43">
        <f>D124</f>
        <v>45757</v>
      </c>
      <c r="E131" s="44">
        <f t="shared" si="14"/>
        <v>9.8333333333333339</v>
      </c>
      <c r="F131" s="45">
        <f t="shared" si="10"/>
        <v>45757.833333333612</v>
      </c>
      <c r="G131" s="52">
        <v>0</v>
      </c>
      <c r="H131" s="53">
        <v>40</v>
      </c>
      <c r="I131" s="54">
        <v>10.5</v>
      </c>
      <c r="J131" s="54">
        <v>350</v>
      </c>
      <c r="K131" s="55">
        <v>5.8</v>
      </c>
      <c r="L131" s="56">
        <v>40</v>
      </c>
      <c r="M131" s="54">
        <v>10.3</v>
      </c>
      <c r="N131" s="54">
        <v>400</v>
      </c>
      <c r="O131" s="57">
        <v>7.3</v>
      </c>
      <c r="P131" s="53">
        <v>37</v>
      </c>
      <c r="Q131" s="54">
        <v>10.199999999999999</v>
      </c>
      <c r="R131" s="55">
        <v>0</v>
      </c>
      <c r="S131" s="55">
        <v>6.3</v>
      </c>
      <c r="T131" s="57">
        <v>6.25</v>
      </c>
      <c r="U131" s="56">
        <v>38</v>
      </c>
      <c r="V131" s="54">
        <v>10.199999999999999</v>
      </c>
      <c r="W131" s="55">
        <v>0</v>
      </c>
      <c r="X131" s="55">
        <v>6.2</v>
      </c>
      <c r="Y131" s="57">
        <v>13.75</v>
      </c>
      <c r="Z131" s="53">
        <v>38</v>
      </c>
      <c r="AA131" s="54">
        <v>10.199999999999999</v>
      </c>
      <c r="AB131" s="55">
        <v>0</v>
      </c>
      <c r="AC131" s="55">
        <v>6.4</v>
      </c>
      <c r="AD131" s="57">
        <v>11.5</v>
      </c>
      <c r="AE131" s="56">
        <v>37</v>
      </c>
      <c r="AF131" s="54">
        <v>10.1</v>
      </c>
      <c r="AG131" s="55">
        <v>0</v>
      </c>
      <c r="AH131" s="55">
        <v>6.6</v>
      </c>
      <c r="AI131" s="57">
        <v>10</v>
      </c>
      <c r="AJ131" s="56">
        <v>38</v>
      </c>
      <c r="AK131" s="54">
        <v>10.1</v>
      </c>
      <c r="AL131" s="54">
        <v>0</v>
      </c>
      <c r="AM131" s="54">
        <v>6.7</v>
      </c>
      <c r="AN131" s="57">
        <v>11.75</v>
      </c>
      <c r="AO131" s="53">
        <v>39</v>
      </c>
      <c r="AP131" s="54">
        <v>10.1</v>
      </c>
      <c r="AQ131" s="54">
        <v>130</v>
      </c>
      <c r="AR131" s="54">
        <v>6.6</v>
      </c>
      <c r="AS131" s="57">
        <v>16.25</v>
      </c>
      <c r="AT131" s="56">
        <v>0</v>
      </c>
      <c r="AU131" s="57">
        <v>0</v>
      </c>
      <c r="AV131" s="56">
        <v>94.974769589999994</v>
      </c>
      <c r="AW131" s="57">
        <v>232.89303531646729</v>
      </c>
      <c r="AX131" s="8"/>
      <c r="AZ131" s="1">
        <v>90</v>
      </c>
      <c r="BB131" s="82">
        <f t="shared" si="9"/>
        <v>30.719000000000001</v>
      </c>
    </row>
    <row r="132" spans="3:54" ht="15" customHeight="1" x14ac:dyDescent="0.25">
      <c r="C132" s="42"/>
      <c r="D132" s="43">
        <f>D124</f>
        <v>45757</v>
      </c>
      <c r="E132" s="44">
        <f t="shared" si="14"/>
        <v>9.9166666666666679</v>
      </c>
      <c r="F132" s="45">
        <f t="shared" si="10"/>
        <v>45757.916666666948</v>
      </c>
      <c r="G132" s="52">
        <v>0</v>
      </c>
      <c r="H132" s="53">
        <v>40</v>
      </c>
      <c r="I132" s="54">
        <v>10.5</v>
      </c>
      <c r="J132" s="54">
        <v>350</v>
      </c>
      <c r="K132" s="55">
        <v>6.5</v>
      </c>
      <c r="L132" s="56">
        <v>40</v>
      </c>
      <c r="M132" s="54">
        <v>10.3</v>
      </c>
      <c r="N132" s="54">
        <v>400</v>
      </c>
      <c r="O132" s="57">
        <v>6.9</v>
      </c>
      <c r="P132" s="53">
        <v>37</v>
      </c>
      <c r="Q132" s="54">
        <v>10.199999999999999</v>
      </c>
      <c r="R132" s="55">
        <v>0</v>
      </c>
      <c r="S132" s="55">
        <v>6.5</v>
      </c>
      <c r="T132" s="57">
        <v>6.25</v>
      </c>
      <c r="U132" s="56">
        <v>38</v>
      </c>
      <c r="V132" s="54">
        <v>10.199999999999999</v>
      </c>
      <c r="W132" s="55">
        <v>0</v>
      </c>
      <c r="X132" s="55">
        <v>6.3</v>
      </c>
      <c r="Y132" s="57">
        <v>14</v>
      </c>
      <c r="Z132" s="53">
        <v>38</v>
      </c>
      <c r="AA132" s="54">
        <v>10.199999999999999</v>
      </c>
      <c r="AB132" s="55">
        <v>0</v>
      </c>
      <c r="AC132" s="55">
        <v>6.4</v>
      </c>
      <c r="AD132" s="57">
        <v>11.75</v>
      </c>
      <c r="AE132" s="56">
        <v>36</v>
      </c>
      <c r="AF132" s="54">
        <v>10.1</v>
      </c>
      <c r="AG132" s="55">
        <v>0</v>
      </c>
      <c r="AH132" s="55">
        <v>6.8</v>
      </c>
      <c r="AI132" s="57">
        <v>10.15</v>
      </c>
      <c r="AJ132" s="56">
        <v>38</v>
      </c>
      <c r="AK132" s="54">
        <v>10.1</v>
      </c>
      <c r="AL132" s="54">
        <v>0</v>
      </c>
      <c r="AM132" s="54">
        <v>6.7</v>
      </c>
      <c r="AN132" s="57">
        <v>12</v>
      </c>
      <c r="AO132" s="53">
        <v>39</v>
      </c>
      <c r="AP132" s="54">
        <v>10.1</v>
      </c>
      <c r="AQ132" s="54">
        <v>130</v>
      </c>
      <c r="AR132" s="54">
        <v>6.8</v>
      </c>
      <c r="AS132" s="57">
        <v>16.25</v>
      </c>
      <c r="AT132" s="56">
        <v>0</v>
      </c>
      <c r="AU132" s="57">
        <v>0</v>
      </c>
      <c r="AV132" s="56">
        <v>95.052078249999994</v>
      </c>
      <c r="AW132" s="57">
        <v>230.46416848500573</v>
      </c>
      <c r="AX132" s="8"/>
      <c r="AZ132" s="1">
        <v>90</v>
      </c>
      <c r="BB132" s="82">
        <f t="shared" si="9"/>
        <v>31.116799999999998</v>
      </c>
    </row>
    <row r="133" spans="3:54" ht="15" customHeight="1" x14ac:dyDescent="0.25">
      <c r="C133" s="42"/>
      <c r="D133" s="43">
        <f>D124</f>
        <v>45757</v>
      </c>
      <c r="E133" s="44">
        <f t="shared" si="14"/>
        <v>10.000000000000002</v>
      </c>
      <c r="F133" s="45">
        <f t="shared" si="10"/>
        <v>45758.000000000284</v>
      </c>
      <c r="G133" s="52">
        <v>0</v>
      </c>
      <c r="H133" s="53">
        <v>40</v>
      </c>
      <c r="I133" s="54">
        <v>10.5</v>
      </c>
      <c r="J133" s="54">
        <v>350</v>
      </c>
      <c r="K133" s="55">
        <v>6.9</v>
      </c>
      <c r="L133" s="56">
        <v>40</v>
      </c>
      <c r="M133" s="54">
        <v>10.3</v>
      </c>
      <c r="N133" s="54">
        <v>400</v>
      </c>
      <c r="O133" s="57">
        <v>6.9</v>
      </c>
      <c r="P133" s="53">
        <v>37</v>
      </c>
      <c r="Q133" s="54">
        <v>10.1</v>
      </c>
      <c r="R133" s="55">
        <v>0</v>
      </c>
      <c r="S133" s="55">
        <v>6.6</v>
      </c>
      <c r="T133" s="57">
        <v>13.75</v>
      </c>
      <c r="U133" s="56">
        <v>37</v>
      </c>
      <c r="V133" s="54">
        <v>10</v>
      </c>
      <c r="W133" s="55">
        <v>0</v>
      </c>
      <c r="X133" s="55">
        <v>6.2</v>
      </c>
      <c r="Y133" s="57">
        <v>12</v>
      </c>
      <c r="Z133" s="53">
        <v>38</v>
      </c>
      <c r="AA133" s="54">
        <v>10.1</v>
      </c>
      <c r="AB133" s="55">
        <v>0</v>
      </c>
      <c r="AC133" s="55">
        <v>6.2</v>
      </c>
      <c r="AD133" s="57">
        <v>7.5</v>
      </c>
      <c r="AE133" s="56">
        <v>36</v>
      </c>
      <c r="AF133" s="54">
        <v>10.1</v>
      </c>
      <c r="AG133" s="55">
        <v>0</v>
      </c>
      <c r="AH133" s="55">
        <v>6.5</v>
      </c>
      <c r="AI133" s="57">
        <v>10.25</v>
      </c>
      <c r="AJ133" s="56">
        <v>38</v>
      </c>
      <c r="AK133" s="54">
        <v>10.1</v>
      </c>
      <c r="AL133" s="54">
        <v>0</v>
      </c>
      <c r="AM133" s="54">
        <v>6.8</v>
      </c>
      <c r="AN133" s="57">
        <v>11.75</v>
      </c>
      <c r="AO133" s="53">
        <v>38</v>
      </c>
      <c r="AP133" s="54">
        <v>10.1</v>
      </c>
      <c r="AQ133" s="54">
        <v>130</v>
      </c>
      <c r="AR133" s="54">
        <v>6.6</v>
      </c>
      <c r="AS133" s="57">
        <v>16.25</v>
      </c>
      <c r="AT133" s="56">
        <v>0</v>
      </c>
      <c r="AU133" s="57">
        <v>0</v>
      </c>
      <c r="AV133" s="56">
        <v>95.109046939999999</v>
      </c>
      <c r="AW133" s="57">
        <v>233.94543374379475</v>
      </c>
      <c r="AX133" s="8"/>
      <c r="AZ133" s="1">
        <v>90</v>
      </c>
      <c r="BB133" s="82">
        <f t="shared" si="9"/>
        <v>31.603000000000002</v>
      </c>
    </row>
    <row r="134" spans="3:54" ht="15" customHeight="1" x14ac:dyDescent="0.25">
      <c r="C134" s="42"/>
      <c r="D134" s="43">
        <f>D124</f>
        <v>45757</v>
      </c>
      <c r="E134" s="44">
        <f t="shared" si="14"/>
        <v>10.083333333333336</v>
      </c>
      <c r="F134" s="45">
        <f t="shared" si="10"/>
        <v>45758.08333333362</v>
      </c>
      <c r="G134" s="52">
        <v>0</v>
      </c>
      <c r="H134" s="53">
        <v>40</v>
      </c>
      <c r="I134" s="54">
        <v>10.5</v>
      </c>
      <c r="J134" s="54">
        <v>350</v>
      </c>
      <c r="K134" s="55">
        <v>6.7</v>
      </c>
      <c r="L134" s="56">
        <v>40</v>
      </c>
      <c r="M134" s="54">
        <v>10.3</v>
      </c>
      <c r="N134" s="54">
        <v>400</v>
      </c>
      <c r="O134" s="57">
        <v>6.5</v>
      </c>
      <c r="P134" s="53">
        <v>37</v>
      </c>
      <c r="Q134" s="54">
        <v>10.199999999999999</v>
      </c>
      <c r="R134" s="55">
        <v>0</v>
      </c>
      <c r="S134" s="55">
        <v>6.1</v>
      </c>
      <c r="T134" s="57">
        <v>17.5</v>
      </c>
      <c r="U134" s="56">
        <v>37</v>
      </c>
      <c r="V134" s="54">
        <v>10.1</v>
      </c>
      <c r="W134" s="55">
        <v>0</v>
      </c>
      <c r="X134" s="55">
        <v>6.1</v>
      </c>
      <c r="Y134" s="57">
        <v>9.75</v>
      </c>
      <c r="Z134" s="53">
        <v>37</v>
      </c>
      <c r="AA134" s="54">
        <v>10.1</v>
      </c>
      <c r="AB134" s="55">
        <v>0</v>
      </c>
      <c r="AC134" s="55">
        <v>6.3</v>
      </c>
      <c r="AD134" s="57">
        <v>7.5</v>
      </c>
      <c r="AE134" s="56">
        <v>36</v>
      </c>
      <c r="AF134" s="54">
        <v>10.1</v>
      </c>
      <c r="AG134" s="55">
        <v>0</v>
      </c>
      <c r="AH134" s="55">
        <v>10.5</v>
      </c>
      <c r="AI134" s="57">
        <v>10</v>
      </c>
      <c r="AJ134" s="56">
        <v>38</v>
      </c>
      <c r="AK134" s="54">
        <v>10.1</v>
      </c>
      <c r="AL134" s="54">
        <v>0</v>
      </c>
      <c r="AM134" s="54">
        <v>6.7</v>
      </c>
      <c r="AN134" s="57">
        <v>11.75</v>
      </c>
      <c r="AO134" s="53">
        <v>38</v>
      </c>
      <c r="AP134" s="54">
        <v>10.1</v>
      </c>
      <c r="AQ134" s="54">
        <v>130</v>
      </c>
      <c r="AR134" s="54">
        <v>6.9</v>
      </c>
      <c r="AS134" s="57">
        <v>16.5</v>
      </c>
      <c r="AT134" s="56">
        <v>0</v>
      </c>
      <c r="AU134" s="57">
        <v>0</v>
      </c>
      <c r="AV134" s="56">
        <v>94.995117190000002</v>
      </c>
      <c r="AW134" s="57">
        <v>220.49008935292562</v>
      </c>
      <c r="AX134" s="8"/>
      <c r="AZ134" s="1">
        <v>90</v>
      </c>
      <c r="BB134" s="82">
        <f t="shared" si="9"/>
        <v>32.265999999999998</v>
      </c>
    </row>
    <row r="135" spans="3:54" ht="15" customHeight="1" x14ac:dyDescent="0.25">
      <c r="C135" s="42"/>
      <c r="D135" s="69">
        <f>D124</f>
        <v>45757</v>
      </c>
      <c r="E135" s="70">
        <f t="shared" si="14"/>
        <v>10.16666666666667</v>
      </c>
      <c r="F135" s="71">
        <f t="shared" si="10"/>
        <v>45758.166666666955</v>
      </c>
      <c r="G135" s="60">
        <v>0</v>
      </c>
      <c r="H135" s="61">
        <v>40</v>
      </c>
      <c r="I135" s="62">
        <v>10.4</v>
      </c>
      <c r="J135" s="62">
        <v>350</v>
      </c>
      <c r="K135" s="63">
        <v>6.5</v>
      </c>
      <c r="L135" s="64">
        <v>39</v>
      </c>
      <c r="M135" s="62">
        <v>10.3</v>
      </c>
      <c r="N135" s="62">
        <v>400</v>
      </c>
      <c r="O135" s="65">
        <v>6.7</v>
      </c>
      <c r="P135" s="61">
        <v>38</v>
      </c>
      <c r="Q135" s="62">
        <v>10.3</v>
      </c>
      <c r="R135" s="63">
        <v>0</v>
      </c>
      <c r="S135" s="63">
        <v>5.9</v>
      </c>
      <c r="T135" s="65">
        <v>17.75</v>
      </c>
      <c r="U135" s="64">
        <v>38</v>
      </c>
      <c r="V135" s="62">
        <v>10.1</v>
      </c>
      <c r="W135" s="63">
        <v>0</v>
      </c>
      <c r="X135" s="63">
        <v>5.8</v>
      </c>
      <c r="Y135" s="65">
        <v>10</v>
      </c>
      <c r="Z135" s="61">
        <v>39</v>
      </c>
      <c r="AA135" s="62">
        <v>10.199999999999999</v>
      </c>
      <c r="AB135" s="63">
        <v>0</v>
      </c>
      <c r="AC135" s="63">
        <v>6.3</v>
      </c>
      <c r="AD135" s="65">
        <v>6.25</v>
      </c>
      <c r="AE135" s="64">
        <v>37</v>
      </c>
      <c r="AF135" s="62">
        <v>10.1</v>
      </c>
      <c r="AG135" s="63">
        <v>0</v>
      </c>
      <c r="AH135" s="63">
        <v>6.4</v>
      </c>
      <c r="AI135" s="65">
        <v>12.5</v>
      </c>
      <c r="AJ135" s="64">
        <v>37</v>
      </c>
      <c r="AK135" s="62">
        <v>10.1</v>
      </c>
      <c r="AL135" s="62">
        <v>0</v>
      </c>
      <c r="AM135" s="62">
        <v>6.4</v>
      </c>
      <c r="AN135" s="65">
        <v>12.5</v>
      </c>
      <c r="AO135" s="61">
        <v>36</v>
      </c>
      <c r="AP135" s="62">
        <v>10.199999999999999</v>
      </c>
      <c r="AQ135" s="62">
        <v>130</v>
      </c>
      <c r="AR135" s="62">
        <v>6.9</v>
      </c>
      <c r="AS135" s="65">
        <v>16.75</v>
      </c>
      <c r="AT135" s="64">
        <v>0</v>
      </c>
      <c r="AU135" s="65">
        <v>0</v>
      </c>
      <c r="AV135" s="64">
        <v>94.986976619999993</v>
      </c>
      <c r="AW135" s="65">
        <v>227.64226423899331</v>
      </c>
      <c r="AX135" s="8"/>
      <c r="AZ135" s="1">
        <v>90</v>
      </c>
      <c r="BB135" s="82">
        <f t="shared" si="9"/>
        <v>33.481499999999997</v>
      </c>
    </row>
    <row r="136" spans="3:54" ht="15" customHeight="1" x14ac:dyDescent="0.25">
      <c r="C136" s="42">
        <f>C124+1</f>
        <v>11</v>
      </c>
      <c r="D136" s="66">
        <f>DATE([4]Dash!$F$3,VLOOKUP([4]Dash!$E$3,[4]Abb!$C$3:$D$14,2,FALSE),C136)</f>
        <v>45758</v>
      </c>
      <c r="E136" s="67">
        <f>E135+2/24</f>
        <v>10.250000000000004</v>
      </c>
      <c r="F136" s="68">
        <f t="shared" si="10"/>
        <v>45758.250000000291</v>
      </c>
      <c r="G136" s="46">
        <v>0</v>
      </c>
      <c r="H136" s="47">
        <v>40</v>
      </c>
      <c r="I136" s="48">
        <v>10.4</v>
      </c>
      <c r="J136" s="48">
        <v>350</v>
      </c>
      <c r="K136" s="49">
        <v>6.9</v>
      </c>
      <c r="L136" s="50">
        <v>39</v>
      </c>
      <c r="M136" s="48">
        <v>10.3</v>
      </c>
      <c r="N136" s="48">
        <v>400</v>
      </c>
      <c r="O136" s="51">
        <v>6.8</v>
      </c>
      <c r="P136" s="47">
        <v>37</v>
      </c>
      <c r="Q136" s="48">
        <v>10.1</v>
      </c>
      <c r="R136" s="49">
        <v>0</v>
      </c>
      <c r="S136" s="49">
        <v>6.2</v>
      </c>
      <c r="T136" s="51">
        <v>17.25</v>
      </c>
      <c r="U136" s="50">
        <v>37</v>
      </c>
      <c r="V136" s="48">
        <v>10.1</v>
      </c>
      <c r="W136" s="49">
        <v>0</v>
      </c>
      <c r="X136" s="49">
        <v>6.2</v>
      </c>
      <c r="Y136" s="51">
        <v>10.5</v>
      </c>
      <c r="Z136" s="47">
        <v>38</v>
      </c>
      <c r="AA136" s="48">
        <v>10.1</v>
      </c>
      <c r="AB136" s="49">
        <v>0</v>
      </c>
      <c r="AC136" s="49">
        <v>6.5</v>
      </c>
      <c r="AD136" s="51">
        <v>10</v>
      </c>
      <c r="AE136" s="50">
        <v>37</v>
      </c>
      <c r="AF136" s="48">
        <v>10</v>
      </c>
      <c r="AG136" s="49">
        <v>0</v>
      </c>
      <c r="AH136" s="49">
        <v>6.1</v>
      </c>
      <c r="AI136" s="51">
        <v>5</v>
      </c>
      <c r="AJ136" s="50">
        <v>37</v>
      </c>
      <c r="AK136" s="48">
        <v>10.1</v>
      </c>
      <c r="AL136" s="48">
        <v>0</v>
      </c>
      <c r="AM136" s="48">
        <v>6.1</v>
      </c>
      <c r="AN136" s="51">
        <v>11.25</v>
      </c>
      <c r="AO136" s="47">
        <v>37</v>
      </c>
      <c r="AP136" s="48">
        <v>10.199999999999999</v>
      </c>
      <c r="AQ136" s="48">
        <v>130</v>
      </c>
      <c r="AR136" s="48">
        <v>6.5</v>
      </c>
      <c r="AS136" s="51">
        <v>16.25</v>
      </c>
      <c r="AT136" s="50">
        <v>0</v>
      </c>
      <c r="AU136" s="51">
        <v>0</v>
      </c>
      <c r="AV136" s="50">
        <v>95.076492310000006</v>
      </c>
      <c r="AW136" s="51">
        <v>228.76627508799234</v>
      </c>
      <c r="AX136" s="8"/>
      <c r="AZ136" s="1">
        <v>90</v>
      </c>
      <c r="BB136" s="82">
        <f t="shared" si="9"/>
        <v>31.0505</v>
      </c>
    </row>
    <row r="137" spans="3:54" ht="15" customHeight="1" x14ac:dyDescent="0.25">
      <c r="C137" s="42"/>
      <c r="D137" s="43">
        <f>D136</f>
        <v>45758</v>
      </c>
      <c r="E137" s="44">
        <f>E136+2/24</f>
        <v>10.333333333333337</v>
      </c>
      <c r="F137" s="45">
        <f t="shared" si="10"/>
        <v>45758.333333333627</v>
      </c>
      <c r="G137" s="52">
        <v>0</v>
      </c>
      <c r="H137" s="53">
        <v>40</v>
      </c>
      <c r="I137" s="54">
        <v>10.4</v>
      </c>
      <c r="J137" s="54">
        <v>350</v>
      </c>
      <c r="K137" s="55">
        <v>6.4</v>
      </c>
      <c r="L137" s="56">
        <v>40</v>
      </c>
      <c r="M137" s="54">
        <v>10.199999999999999</v>
      </c>
      <c r="N137" s="54">
        <v>450</v>
      </c>
      <c r="O137" s="57">
        <v>6.3</v>
      </c>
      <c r="P137" s="53">
        <v>38</v>
      </c>
      <c r="Q137" s="54">
        <v>10.199999999999999</v>
      </c>
      <c r="R137" s="55">
        <v>0</v>
      </c>
      <c r="S137" s="55">
        <v>6.2</v>
      </c>
      <c r="T137" s="57">
        <v>16.25</v>
      </c>
      <c r="U137" s="56">
        <v>38</v>
      </c>
      <c r="V137" s="54">
        <v>10.1</v>
      </c>
      <c r="W137" s="55">
        <v>0</v>
      </c>
      <c r="X137" s="55">
        <v>6.6</v>
      </c>
      <c r="Y137" s="57">
        <v>10</v>
      </c>
      <c r="Z137" s="53">
        <v>38</v>
      </c>
      <c r="AA137" s="54">
        <v>10</v>
      </c>
      <c r="AB137" s="55">
        <v>0</v>
      </c>
      <c r="AC137" s="55">
        <v>6.4</v>
      </c>
      <c r="AD137" s="57">
        <v>9.75</v>
      </c>
      <c r="AE137" s="56">
        <v>38</v>
      </c>
      <c r="AF137" s="54">
        <v>10</v>
      </c>
      <c r="AG137" s="55">
        <v>0</v>
      </c>
      <c r="AH137" s="55">
        <v>6.4</v>
      </c>
      <c r="AI137" s="57">
        <v>6.25</v>
      </c>
      <c r="AJ137" s="56">
        <v>37</v>
      </c>
      <c r="AK137" s="54">
        <v>10</v>
      </c>
      <c r="AL137" s="54">
        <v>0</v>
      </c>
      <c r="AM137" s="54">
        <v>6.5</v>
      </c>
      <c r="AN137" s="57">
        <v>7.25</v>
      </c>
      <c r="AO137" s="53">
        <v>38</v>
      </c>
      <c r="AP137" s="54">
        <v>10</v>
      </c>
      <c r="AQ137" s="54">
        <v>90</v>
      </c>
      <c r="AR137" s="54">
        <v>6.6</v>
      </c>
      <c r="AS137" s="57">
        <v>16.25</v>
      </c>
      <c r="AT137" s="56">
        <v>0</v>
      </c>
      <c r="AU137" s="57">
        <v>0</v>
      </c>
      <c r="AV137" s="56">
        <v>94.885253910000003</v>
      </c>
      <c r="AW137" s="57">
        <v>240.23485913750034</v>
      </c>
      <c r="AX137" s="8"/>
      <c r="AZ137" s="1">
        <v>90</v>
      </c>
      <c r="BB137" s="82">
        <f t="shared" si="9"/>
        <v>29.061499999999999</v>
      </c>
    </row>
    <row r="138" spans="3:54" ht="15" customHeight="1" x14ac:dyDescent="0.25">
      <c r="C138" s="42"/>
      <c r="D138" s="43">
        <f>D136</f>
        <v>45758</v>
      </c>
      <c r="E138" s="44">
        <f t="shared" ref="E138:E147" si="15">E137+2/24</f>
        <v>10.416666666666671</v>
      </c>
      <c r="F138" s="45">
        <f t="shared" si="10"/>
        <v>45758.416666666963</v>
      </c>
      <c r="G138" s="52">
        <v>0</v>
      </c>
      <c r="H138" s="53">
        <v>40</v>
      </c>
      <c r="I138" s="54">
        <v>10.4</v>
      </c>
      <c r="J138" s="54">
        <v>350</v>
      </c>
      <c r="K138" s="55">
        <v>6.6</v>
      </c>
      <c r="L138" s="56">
        <v>40</v>
      </c>
      <c r="M138" s="54">
        <v>10.199999999999999</v>
      </c>
      <c r="N138" s="54">
        <v>450</v>
      </c>
      <c r="O138" s="57">
        <v>6.5</v>
      </c>
      <c r="P138" s="53">
        <v>38</v>
      </c>
      <c r="Q138" s="54">
        <v>10.199999999999999</v>
      </c>
      <c r="R138" s="55">
        <v>0</v>
      </c>
      <c r="S138" s="55">
        <v>6.4</v>
      </c>
      <c r="T138" s="57">
        <v>16.25</v>
      </c>
      <c r="U138" s="56">
        <v>38</v>
      </c>
      <c r="V138" s="54">
        <v>10.1</v>
      </c>
      <c r="W138" s="55">
        <v>0</v>
      </c>
      <c r="X138" s="55">
        <v>6.3</v>
      </c>
      <c r="Y138" s="57">
        <v>10</v>
      </c>
      <c r="Z138" s="53">
        <v>38</v>
      </c>
      <c r="AA138" s="54">
        <v>10</v>
      </c>
      <c r="AB138" s="55">
        <v>0</v>
      </c>
      <c r="AC138" s="55">
        <v>6.6</v>
      </c>
      <c r="AD138" s="57">
        <v>9.75</v>
      </c>
      <c r="AE138" s="56">
        <v>37</v>
      </c>
      <c r="AF138" s="54">
        <v>10</v>
      </c>
      <c r="AG138" s="55">
        <v>0</v>
      </c>
      <c r="AH138" s="55">
        <v>6.7</v>
      </c>
      <c r="AI138" s="57">
        <v>10</v>
      </c>
      <c r="AJ138" s="56">
        <v>37</v>
      </c>
      <c r="AK138" s="54">
        <v>10</v>
      </c>
      <c r="AL138" s="54">
        <v>0</v>
      </c>
      <c r="AM138" s="54">
        <v>6.2</v>
      </c>
      <c r="AN138" s="57">
        <v>0</v>
      </c>
      <c r="AO138" s="53">
        <v>37</v>
      </c>
      <c r="AP138" s="54">
        <v>10</v>
      </c>
      <c r="AQ138" s="54">
        <v>90</v>
      </c>
      <c r="AR138" s="54">
        <v>6.6</v>
      </c>
      <c r="AS138" s="57">
        <v>16.25</v>
      </c>
      <c r="AT138" s="56">
        <v>0</v>
      </c>
      <c r="AU138" s="57">
        <v>0</v>
      </c>
      <c r="AV138" s="56">
        <v>95.088699340000005</v>
      </c>
      <c r="AW138" s="57">
        <v>239.07769272250007</v>
      </c>
      <c r="AX138" s="8"/>
      <c r="AZ138" s="1">
        <v>90</v>
      </c>
      <c r="BB138" s="82">
        <f t="shared" si="9"/>
        <v>27.514500000000002</v>
      </c>
    </row>
    <row r="139" spans="3:54" ht="15" customHeight="1" x14ac:dyDescent="0.25">
      <c r="C139" s="42"/>
      <c r="D139" s="43">
        <f>D136</f>
        <v>45758</v>
      </c>
      <c r="E139" s="44">
        <f t="shared" si="15"/>
        <v>10.500000000000005</v>
      </c>
      <c r="F139" s="45">
        <f t="shared" si="10"/>
        <v>45758.500000000298</v>
      </c>
      <c r="G139" s="52">
        <v>0</v>
      </c>
      <c r="H139" s="53">
        <v>40</v>
      </c>
      <c r="I139" s="54">
        <v>10.4</v>
      </c>
      <c r="J139" s="54">
        <v>350</v>
      </c>
      <c r="K139" s="55">
        <v>6.3</v>
      </c>
      <c r="L139" s="56">
        <v>39</v>
      </c>
      <c r="M139" s="54">
        <v>10.199999999999999</v>
      </c>
      <c r="N139" s="54">
        <v>450</v>
      </c>
      <c r="O139" s="57">
        <v>6.2</v>
      </c>
      <c r="P139" s="53">
        <v>37</v>
      </c>
      <c r="Q139" s="54">
        <v>10.1</v>
      </c>
      <c r="R139" s="55">
        <v>0</v>
      </c>
      <c r="S139" s="55">
        <v>6.4</v>
      </c>
      <c r="T139" s="57">
        <v>17</v>
      </c>
      <c r="U139" s="56">
        <v>37</v>
      </c>
      <c r="V139" s="54">
        <v>10</v>
      </c>
      <c r="W139" s="55">
        <v>0</v>
      </c>
      <c r="X139" s="55">
        <v>5.9</v>
      </c>
      <c r="Y139" s="57">
        <v>12.5</v>
      </c>
      <c r="Z139" s="53">
        <v>39</v>
      </c>
      <c r="AA139" s="54">
        <v>10</v>
      </c>
      <c r="AB139" s="55">
        <v>0</v>
      </c>
      <c r="AC139" s="55">
        <v>6</v>
      </c>
      <c r="AD139" s="57">
        <v>10</v>
      </c>
      <c r="AE139" s="56">
        <v>37</v>
      </c>
      <c r="AF139" s="54">
        <v>10</v>
      </c>
      <c r="AG139" s="55">
        <v>0</v>
      </c>
      <c r="AH139" s="55">
        <v>6.7</v>
      </c>
      <c r="AI139" s="57">
        <v>10</v>
      </c>
      <c r="AJ139" s="56">
        <v>38</v>
      </c>
      <c r="AK139" s="54">
        <v>10</v>
      </c>
      <c r="AL139" s="54">
        <v>0</v>
      </c>
      <c r="AM139" s="54">
        <v>5.7</v>
      </c>
      <c r="AN139" s="57">
        <v>5</v>
      </c>
      <c r="AO139" s="53">
        <v>38</v>
      </c>
      <c r="AP139" s="54">
        <v>10</v>
      </c>
      <c r="AQ139" s="54">
        <v>90</v>
      </c>
      <c r="AR139" s="54">
        <v>5.7</v>
      </c>
      <c r="AS139" s="57">
        <v>10.25</v>
      </c>
      <c r="AT139" s="56">
        <v>0</v>
      </c>
      <c r="AU139" s="57">
        <v>0</v>
      </c>
      <c r="AV139" s="56">
        <v>94.698074340000005</v>
      </c>
      <c r="AW139" s="57">
        <v>229.62070732083339</v>
      </c>
      <c r="AX139" s="8"/>
      <c r="AZ139" s="1">
        <v>90</v>
      </c>
      <c r="BB139" s="82">
        <f t="shared" si="9"/>
        <v>28.619499999999999</v>
      </c>
    </row>
    <row r="140" spans="3:54" ht="15" customHeight="1" x14ac:dyDescent="0.25">
      <c r="C140" s="42"/>
      <c r="D140" s="43">
        <f>D136</f>
        <v>45758</v>
      </c>
      <c r="E140" s="44">
        <f t="shared" si="15"/>
        <v>10.583333333333339</v>
      </c>
      <c r="F140" s="45">
        <f t="shared" si="10"/>
        <v>45758.583333333634</v>
      </c>
      <c r="G140" s="52">
        <v>0</v>
      </c>
      <c r="H140" s="53">
        <v>40</v>
      </c>
      <c r="I140" s="54">
        <v>10.4</v>
      </c>
      <c r="J140" s="54">
        <v>350</v>
      </c>
      <c r="K140" s="55">
        <v>6.3</v>
      </c>
      <c r="L140" s="56">
        <v>39</v>
      </c>
      <c r="M140" s="54">
        <v>10.199999999999999</v>
      </c>
      <c r="N140" s="54">
        <v>400</v>
      </c>
      <c r="O140" s="57">
        <v>6</v>
      </c>
      <c r="P140" s="53">
        <v>37</v>
      </c>
      <c r="Q140" s="54">
        <v>10.1</v>
      </c>
      <c r="R140" s="55">
        <v>0</v>
      </c>
      <c r="S140" s="55">
        <v>6.2</v>
      </c>
      <c r="T140" s="57">
        <v>17.5</v>
      </c>
      <c r="U140" s="56">
        <v>37</v>
      </c>
      <c r="V140" s="54">
        <v>10</v>
      </c>
      <c r="W140" s="55">
        <v>0</v>
      </c>
      <c r="X140" s="55">
        <v>5.8</v>
      </c>
      <c r="Y140" s="57">
        <v>12.75</v>
      </c>
      <c r="Z140" s="53">
        <v>39</v>
      </c>
      <c r="AA140" s="54">
        <v>10</v>
      </c>
      <c r="AB140" s="55">
        <v>0</v>
      </c>
      <c r="AC140" s="55">
        <v>6.1</v>
      </c>
      <c r="AD140" s="57">
        <v>12.5</v>
      </c>
      <c r="AE140" s="56">
        <v>37</v>
      </c>
      <c r="AF140" s="54">
        <v>10</v>
      </c>
      <c r="AG140" s="55">
        <v>0</v>
      </c>
      <c r="AH140" s="55">
        <v>6.2</v>
      </c>
      <c r="AI140" s="57">
        <v>7</v>
      </c>
      <c r="AJ140" s="56">
        <v>39</v>
      </c>
      <c r="AK140" s="54">
        <v>10</v>
      </c>
      <c r="AL140" s="54">
        <v>0</v>
      </c>
      <c r="AM140" s="54">
        <v>5.5</v>
      </c>
      <c r="AN140" s="57">
        <v>13.75</v>
      </c>
      <c r="AO140" s="53">
        <v>38</v>
      </c>
      <c r="AP140" s="54">
        <v>10</v>
      </c>
      <c r="AQ140" s="54">
        <v>80</v>
      </c>
      <c r="AR140" s="54">
        <v>5.7</v>
      </c>
      <c r="AS140" s="57">
        <v>6.25</v>
      </c>
      <c r="AT140" s="56">
        <v>0</v>
      </c>
      <c r="AU140" s="57">
        <v>0</v>
      </c>
      <c r="AV140" s="56">
        <v>95.186355590000005</v>
      </c>
      <c r="AW140" s="57">
        <v>231.03961804833332</v>
      </c>
      <c r="AX140" s="8"/>
      <c r="AZ140" s="1">
        <v>90</v>
      </c>
      <c r="BB140" s="82">
        <f t="shared" si="9"/>
        <v>30.829499999999999</v>
      </c>
    </row>
    <row r="141" spans="3:54" ht="15" customHeight="1" x14ac:dyDescent="0.25">
      <c r="C141" s="42"/>
      <c r="D141" s="43">
        <f>D136</f>
        <v>45758</v>
      </c>
      <c r="E141" s="44">
        <f t="shared" si="15"/>
        <v>10.666666666666673</v>
      </c>
      <c r="F141" s="45">
        <f t="shared" si="10"/>
        <v>45758.66666666697</v>
      </c>
      <c r="G141" s="52">
        <v>37</v>
      </c>
      <c r="H141" s="53">
        <v>40</v>
      </c>
      <c r="I141" s="54">
        <v>10.5</v>
      </c>
      <c r="J141" s="54">
        <v>350</v>
      </c>
      <c r="K141" s="55">
        <v>6.1</v>
      </c>
      <c r="L141" s="56">
        <v>40</v>
      </c>
      <c r="M141" s="54">
        <v>10.3</v>
      </c>
      <c r="N141" s="54">
        <v>400</v>
      </c>
      <c r="O141" s="57">
        <v>6</v>
      </c>
      <c r="P141" s="53">
        <v>38</v>
      </c>
      <c r="Q141" s="54">
        <v>10.1</v>
      </c>
      <c r="R141" s="55">
        <v>0</v>
      </c>
      <c r="S141" s="55">
        <v>6.1</v>
      </c>
      <c r="T141" s="57">
        <v>17.25</v>
      </c>
      <c r="U141" s="56">
        <v>38</v>
      </c>
      <c r="V141" s="54">
        <v>10.1</v>
      </c>
      <c r="W141" s="55">
        <v>0</v>
      </c>
      <c r="X141" s="55">
        <v>5.8</v>
      </c>
      <c r="Y141" s="57">
        <v>12.75</v>
      </c>
      <c r="Z141" s="53">
        <v>38</v>
      </c>
      <c r="AA141" s="54">
        <v>10.1</v>
      </c>
      <c r="AB141" s="55">
        <v>0</v>
      </c>
      <c r="AC141" s="55">
        <v>5.9</v>
      </c>
      <c r="AD141" s="57">
        <v>12.5</v>
      </c>
      <c r="AE141" s="56">
        <v>37</v>
      </c>
      <c r="AF141" s="54">
        <v>10.199999999999999</v>
      </c>
      <c r="AG141" s="55">
        <v>0</v>
      </c>
      <c r="AH141" s="55">
        <v>5.9</v>
      </c>
      <c r="AI141" s="57">
        <v>6.25</v>
      </c>
      <c r="AJ141" s="56">
        <v>39</v>
      </c>
      <c r="AK141" s="54">
        <v>10.199999999999999</v>
      </c>
      <c r="AL141" s="54">
        <v>0</v>
      </c>
      <c r="AM141" s="54">
        <v>5.5</v>
      </c>
      <c r="AN141" s="57">
        <v>14.5</v>
      </c>
      <c r="AO141" s="53">
        <v>39</v>
      </c>
      <c r="AP141" s="54">
        <v>10.1</v>
      </c>
      <c r="AQ141" s="54">
        <v>80</v>
      </c>
      <c r="AR141" s="54">
        <v>5.4</v>
      </c>
      <c r="AS141" s="57">
        <v>7.5</v>
      </c>
      <c r="AT141" s="56">
        <v>29</v>
      </c>
      <c r="AU141" s="57">
        <v>60</v>
      </c>
      <c r="AV141" s="56">
        <v>95.133460999999997</v>
      </c>
      <c r="AW141" s="57">
        <v>227.34459171166665</v>
      </c>
      <c r="AX141" s="8"/>
      <c r="AZ141" s="1">
        <v>90</v>
      </c>
      <c r="BB141" s="82">
        <f t="shared" si="9"/>
        <v>31.2715</v>
      </c>
    </row>
    <row r="142" spans="3:54" ht="15" customHeight="1" x14ac:dyDescent="0.25">
      <c r="C142" s="42"/>
      <c r="D142" s="43">
        <f>D136</f>
        <v>45758</v>
      </c>
      <c r="E142" s="44">
        <f t="shared" si="15"/>
        <v>10.750000000000007</v>
      </c>
      <c r="F142" s="45">
        <f t="shared" si="10"/>
        <v>45758.750000000306</v>
      </c>
      <c r="G142" s="52">
        <v>37</v>
      </c>
      <c r="H142" s="53">
        <v>39</v>
      </c>
      <c r="I142" s="54">
        <v>10.5</v>
      </c>
      <c r="J142" s="54">
        <v>300</v>
      </c>
      <c r="K142" s="55">
        <v>6</v>
      </c>
      <c r="L142" s="56">
        <v>39</v>
      </c>
      <c r="M142" s="54">
        <v>10.1</v>
      </c>
      <c r="N142" s="54">
        <v>350</v>
      </c>
      <c r="O142" s="57">
        <v>6</v>
      </c>
      <c r="P142" s="53">
        <v>38</v>
      </c>
      <c r="Q142" s="54">
        <v>10.1</v>
      </c>
      <c r="R142" s="55">
        <v>0</v>
      </c>
      <c r="S142" s="55">
        <v>5.7</v>
      </c>
      <c r="T142" s="57">
        <v>17</v>
      </c>
      <c r="U142" s="56">
        <v>37</v>
      </c>
      <c r="V142" s="54">
        <v>10</v>
      </c>
      <c r="W142" s="55">
        <v>0</v>
      </c>
      <c r="X142" s="55">
        <v>5.7</v>
      </c>
      <c r="Y142" s="57">
        <v>12.5</v>
      </c>
      <c r="Z142" s="53">
        <v>37</v>
      </c>
      <c r="AA142" s="54">
        <v>10</v>
      </c>
      <c r="AB142" s="55">
        <v>0</v>
      </c>
      <c r="AC142" s="55">
        <v>5.7</v>
      </c>
      <c r="AD142" s="57">
        <v>12.5</v>
      </c>
      <c r="AE142" s="56">
        <v>38</v>
      </c>
      <c r="AF142" s="54">
        <v>10.1</v>
      </c>
      <c r="AG142" s="55">
        <v>0</v>
      </c>
      <c r="AH142" s="55">
        <v>5.5</v>
      </c>
      <c r="AI142" s="57">
        <v>7.75</v>
      </c>
      <c r="AJ142" s="56">
        <v>38</v>
      </c>
      <c r="AK142" s="54">
        <v>10.1</v>
      </c>
      <c r="AL142" s="54">
        <v>0</v>
      </c>
      <c r="AM142" s="54">
        <v>5.4</v>
      </c>
      <c r="AN142" s="57">
        <v>7.75</v>
      </c>
      <c r="AO142" s="53">
        <v>38</v>
      </c>
      <c r="AP142" s="54">
        <v>10.1</v>
      </c>
      <c r="AQ142" s="54">
        <v>100</v>
      </c>
      <c r="AR142" s="54">
        <v>5.2</v>
      </c>
      <c r="AS142" s="57">
        <v>17.75</v>
      </c>
      <c r="AT142" s="56">
        <v>29</v>
      </c>
      <c r="AU142" s="57">
        <v>80</v>
      </c>
      <c r="AV142" s="56">
        <v>95.109046939999999</v>
      </c>
      <c r="AW142" s="57">
        <v>232.77199172916664</v>
      </c>
      <c r="AX142" s="8"/>
      <c r="AZ142" s="1">
        <v>90</v>
      </c>
      <c r="BB142" s="82">
        <f t="shared" si="9"/>
        <v>33.2605</v>
      </c>
    </row>
    <row r="143" spans="3:54" ht="15" customHeight="1" x14ac:dyDescent="0.25">
      <c r="C143" s="42"/>
      <c r="D143" s="43">
        <f>D136</f>
        <v>45758</v>
      </c>
      <c r="E143" s="44">
        <f t="shared" si="15"/>
        <v>10.833333333333341</v>
      </c>
      <c r="F143" s="45">
        <f t="shared" si="10"/>
        <v>45758.833333333641</v>
      </c>
      <c r="G143" s="52">
        <v>38</v>
      </c>
      <c r="H143" s="53">
        <v>39</v>
      </c>
      <c r="I143" s="54">
        <v>10.4</v>
      </c>
      <c r="J143" s="54">
        <v>250</v>
      </c>
      <c r="K143" s="55">
        <v>6.8</v>
      </c>
      <c r="L143" s="56">
        <v>38</v>
      </c>
      <c r="M143" s="54">
        <v>10.3</v>
      </c>
      <c r="N143" s="54">
        <v>350</v>
      </c>
      <c r="O143" s="57">
        <v>7.2</v>
      </c>
      <c r="P143" s="53">
        <v>38</v>
      </c>
      <c r="Q143" s="54">
        <v>10.3</v>
      </c>
      <c r="R143" s="55">
        <v>0</v>
      </c>
      <c r="S143" s="55">
        <v>6.4</v>
      </c>
      <c r="T143" s="57">
        <v>18.75</v>
      </c>
      <c r="U143" s="56">
        <v>38</v>
      </c>
      <c r="V143" s="54">
        <v>10.199999999999999</v>
      </c>
      <c r="W143" s="55">
        <v>0</v>
      </c>
      <c r="X143" s="55">
        <v>6.4</v>
      </c>
      <c r="Y143" s="57">
        <v>13.75</v>
      </c>
      <c r="Z143" s="53">
        <v>38</v>
      </c>
      <c r="AA143" s="54">
        <v>10.199999999999999</v>
      </c>
      <c r="AB143" s="55">
        <v>0</v>
      </c>
      <c r="AC143" s="55">
        <v>6.2</v>
      </c>
      <c r="AD143" s="57">
        <v>12.5</v>
      </c>
      <c r="AE143" s="56">
        <v>37</v>
      </c>
      <c r="AF143" s="54">
        <v>10</v>
      </c>
      <c r="AG143" s="55">
        <v>0</v>
      </c>
      <c r="AH143" s="55">
        <v>5.8</v>
      </c>
      <c r="AI143" s="57">
        <v>7.5</v>
      </c>
      <c r="AJ143" s="56">
        <v>38</v>
      </c>
      <c r="AK143" s="54">
        <v>10</v>
      </c>
      <c r="AL143" s="54">
        <v>0</v>
      </c>
      <c r="AM143" s="54">
        <v>6.4</v>
      </c>
      <c r="AN143" s="57">
        <v>12.5</v>
      </c>
      <c r="AO143" s="53">
        <v>37</v>
      </c>
      <c r="AP143" s="54">
        <v>10.1</v>
      </c>
      <c r="AQ143" s="54">
        <v>80</v>
      </c>
      <c r="AR143" s="54">
        <v>6.7</v>
      </c>
      <c r="AS143" s="57">
        <v>17</v>
      </c>
      <c r="AT143" s="56">
        <v>30</v>
      </c>
      <c r="AU143" s="57">
        <v>70</v>
      </c>
      <c r="AV143" s="56">
        <v>94.995117190000002</v>
      </c>
      <c r="AW143" s="57">
        <v>235.97632160250006</v>
      </c>
      <c r="AX143" s="8"/>
      <c r="AZ143" s="1">
        <v>90</v>
      </c>
      <c r="BB143" s="82">
        <f t="shared" si="9"/>
        <v>36.244</v>
      </c>
    </row>
    <row r="144" spans="3:54" ht="15" customHeight="1" x14ac:dyDescent="0.25">
      <c r="C144" s="42"/>
      <c r="D144" s="43">
        <f>D136</f>
        <v>45758</v>
      </c>
      <c r="E144" s="44">
        <f t="shared" si="15"/>
        <v>10.916666666666675</v>
      </c>
      <c r="F144" s="45">
        <f t="shared" si="10"/>
        <v>45758.916666666977</v>
      </c>
      <c r="G144" s="52">
        <v>40</v>
      </c>
      <c r="H144" s="53">
        <v>38</v>
      </c>
      <c r="I144" s="54">
        <v>10.199999999999999</v>
      </c>
      <c r="J144" s="54">
        <v>200</v>
      </c>
      <c r="K144" s="55">
        <v>6.7</v>
      </c>
      <c r="L144" s="56">
        <v>40</v>
      </c>
      <c r="M144" s="54">
        <v>10.4</v>
      </c>
      <c r="N144" s="54">
        <v>350</v>
      </c>
      <c r="O144" s="57">
        <v>6.9</v>
      </c>
      <c r="P144" s="53">
        <v>38</v>
      </c>
      <c r="Q144" s="54">
        <v>10.4</v>
      </c>
      <c r="R144" s="55">
        <v>0</v>
      </c>
      <c r="S144" s="55">
        <v>6.3</v>
      </c>
      <c r="T144" s="57">
        <v>18.5</v>
      </c>
      <c r="U144" s="56">
        <v>38</v>
      </c>
      <c r="V144" s="54">
        <v>10.199999999999999</v>
      </c>
      <c r="W144" s="55">
        <v>0</v>
      </c>
      <c r="X144" s="55">
        <v>6.3</v>
      </c>
      <c r="Y144" s="57">
        <v>13.5</v>
      </c>
      <c r="Z144" s="53">
        <v>37</v>
      </c>
      <c r="AA144" s="54">
        <v>102</v>
      </c>
      <c r="AB144" s="55">
        <v>0</v>
      </c>
      <c r="AC144" s="55">
        <v>5.9</v>
      </c>
      <c r="AD144" s="57">
        <v>12.5</v>
      </c>
      <c r="AE144" s="56">
        <v>38</v>
      </c>
      <c r="AF144" s="54">
        <v>10.1</v>
      </c>
      <c r="AG144" s="55">
        <v>0</v>
      </c>
      <c r="AH144" s="55">
        <v>5.7</v>
      </c>
      <c r="AI144" s="57">
        <v>7.75</v>
      </c>
      <c r="AJ144" s="56">
        <v>37</v>
      </c>
      <c r="AK144" s="54">
        <v>10</v>
      </c>
      <c r="AL144" s="54">
        <v>0</v>
      </c>
      <c r="AM144" s="54">
        <v>6.5</v>
      </c>
      <c r="AN144" s="57">
        <v>12.25</v>
      </c>
      <c r="AO144" s="53">
        <v>37</v>
      </c>
      <c r="AP144" s="54">
        <v>10.1</v>
      </c>
      <c r="AQ144" s="54">
        <v>90</v>
      </c>
      <c r="AR144" s="54">
        <v>6.8</v>
      </c>
      <c r="AS144" s="57">
        <v>16.25</v>
      </c>
      <c r="AT144" s="56">
        <v>34</v>
      </c>
      <c r="AU144" s="57">
        <v>70</v>
      </c>
      <c r="AV144" s="56">
        <v>94.962562559999995</v>
      </c>
      <c r="AW144" s="57">
        <v>231.9707274791667</v>
      </c>
      <c r="AX144" s="8"/>
      <c r="AZ144" s="1">
        <v>90</v>
      </c>
      <c r="BB144" s="82">
        <f t="shared" si="9"/>
        <v>35.691499999999998</v>
      </c>
    </row>
    <row r="145" spans="3:54" ht="15" customHeight="1" x14ac:dyDescent="0.25">
      <c r="C145" s="42"/>
      <c r="D145" s="43">
        <f>D136</f>
        <v>45758</v>
      </c>
      <c r="E145" s="44">
        <f t="shared" si="15"/>
        <v>11.000000000000009</v>
      </c>
      <c r="F145" s="45">
        <f t="shared" si="10"/>
        <v>45759.000000000313</v>
      </c>
      <c r="G145" s="52">
        <v>42</v>
      </c>
      <c r="H145" s="53">
        <v>38</v>
      </c>
      <c r="I145" s="54">
        <v>10</v>
      </c>
      <c r="J145" s="54">
        <v>300</v>
      </c>
      <c r="K145" s="55">
        <v>6.6</v>
      </c>
      <c r="L145" s="56">
        <v>38</v>
      </c>
      <c r="M145" s="54">
        <v>10.1</v>
      </c>
      <c r="N145" s="54">
        <v>400</v>
      </c>
      <c r="O145" s="57">
        <v>6.4</v>
      </c>
      <c r="P145" s="53">
        <v>40</v>
      </c>
      <c r="Q145" s="54">
        <v>10.1</v>
      </c>
      <c r="R145" s="55">
        <v>0</v>
      </c>
      <c r="S145" s="55">
        <v>6.1</v>
      </c>
      <c r="T145" s="57">
        <v>18.25</v>
      </c>
      <c r="U145" s="56">
        <v>40</v>
      </c>
      <c r="V145" s="54">
        <v>10.1</v>
      </c>
      <c r="W145" s="55">
        <v>0</v>
      </c>
      <c r="X145" s="55">
        <v>6.4</v>
      </c>
      <c r="Y145" s="57">
        <v>13.25</v>
      </c>
      <c r="Z145" s="53">
        <v>38</v>
      </c>
      <c r="AA145" s="54">
        <v>10.199999999999999</v>
      </c>
      <c r="AB145" s="55">
        <v>0</v>
      </c>
      <c r="AC145" s="55">
        <v>6.1</v>
      </c>
      <c r="AD145" s="57">
        <v>12.25</v>
      </c>
      <c r="AE145" s="56">
        <v>37</v>
      </c>
      <c r="AF145" s="54">
        <v>10.1</v>
      </c>
      <c r="AG145" s="55">
        <v>0</v>
      </c>
      <c r="AH145" s="55">
        <v>5.4</v>
      </c>
      <c r="AI145" s="57">
        <v>8</v>
      </c>
      <c r="AJ145" s="56">
        <v>38</v>
      </c>
      <c r="AK145" s="54">
        <v>10.1</v>
      </c>
      <c r="AL145" s="54">
        <v>0</v>
      </c>
      <c r="AM145" s="54">
        <v>6.4</v>
      </c>
      <c r="AN145" s="57">
        <v>12.5</v>
      </c>
      <c r="AO145" s="53">
        <v>38</v>
      </c>
      <c r="AP145" s="54">
        <v>10.1</v>
      </c>
      <c r="AQ145" s="54">
        <v>100</v>
      </c>
      <c r="AR145" s="54">
        <v>6.7</v>
      </c>
      <c r="AS145" s="57">
        <v>17</v>
      </c>
      <c r="AT145" s="56">
        <v>31</v>
      </c>
      <c r="AU145" s="57">
        <v>80</v>
      </c>
      <c r="AV145" s="56">
        <v>94.938148499999997</v>
      </c>
      <c r="AW145" s="57">
        <v>231.6911400475</v>
      </c>
      <c r="AX145" s="8"/>
      <c r="AZ145" s="1">
        <v>90</v>
      </c>
      <c r="BB145" s="82">
        <f t="shared" ref="BB145:BB208" si="16">((T145*442)+(Y145*442)+(AD145*442)+(AI145*442)+(AN145*442)+(AS145*442))/1000</f>
        <v>35.912500000000001</v>
      </c>
    </row>
    <row r="146" spans="3:54" ht="15" customHeight="1" x14ac:dyDescent="0.25">
      <c r="C146" s="42"/>
      <c r="D146" s="43">
        <f>D136</f>
        <v>45758</v>
      </c>
      <c r="E146" s="44">
        <f t="shared" si="15"/>
        <v>11.083333333333343</v>
      </c>
      <c r="F146" s="45">
        <f t="shared" ref="F146:F209" si="17">F145+(E146-E145)</f>
        <v>45759.083333333649</v>
      </c>
      <c r="G146" s="52">
        <v>42</v>
      </c>
      <c r="H146" s="53">
        <v>39</v>
      </c>
      <c r="I146" s="54">
        <v>10.8</v>
      </c>
      <c r="J146" s="54">
        <v>300</v>
      </c>
      <c r="K146" s="55">
        <v>6.7</v>
      </c>
      <c r="L146" s="56">
        <v>38</v>
      </c>
      <c r="M146" s="54">
        <v>10.4</v>
      </c>
      <c r="N146" s="54">
        <v>400</v>
      </c>
      <c r="O146" s="57">
        <v>6.9</v>
      </c>
      <c r="P146" s="53">
        <v>39</v>
      </c>
      <c r="Q146" s="54">
        <v>10.199999999999999</v>
      </c>
      <c r="R146" s="55">
        <v>0</v>
      </c>
      <c r="S146" s="55">
        <v>6.4</v>
      </c>
      <c r="T146" s="57">
        <v>18.25</v>
      </c>
      <c r="U146" s="56">
        <v>39</v>
      </c>
      <c r="V146" s="54">
        <v>10.199999999999999</v>
      </c>
      <c r="W146" s="55">
        <v>0</v>
      </c>
      <c r="X146" s="55">
        <v>6.3</v>
      </c>
      <c r="Y146" s="57">
        <v>13.25</v>
      </c>
      <c r="Z146" s="53">
        <v>37</v>
      </c>
      <c r="AA146" s="54">
        <v>10.199999999999999</v>
      </c>
      <c r="AB146" s="55">
        <v>0</v>
      </c>
      <c r="AC146" s="55">
        <v>6.3</v>
      </c>
      <c r="AD146" s="57">
        <v>12.75</v>
      </c>
      <c r="AE146" s="56">
        <v>37</v>
      </c>
      <c r="AF146" s="54">
        <v>10.1</v>
      </c>
      <c r="AG146" s="55">
        <v>0</v>
      </c>
      <c r="AH146" s="55">
        <v>5.6</v>
      </c>
      <c r="AI146" s="57">
        <v>7.5</v>
      </c>
      <c r="AJ146" s="56">
        <v>38</v>
      </c>
      <c r="AK146" s="54">
        <v>10.1</v>
      </c>
      <c r="AL146" s="54">
        <v>0</v>
      </c>
      <c r="AM146" s="54">
        <v>6.2</v>
      </c>
      <c r="AN146" s="57">
        <v>12.75</v>
      </c>
      <c r="AO146" s="53">
        <v>38</v>
      </c>
      <c r="AP146" s="54">
        <v>10.1</v>
      </c>
      <c r="AQ146" s="54">
        <v>100</v>
      </c>
      <c r="AR146" s="54">
        <v>6.5</v>
      </c>
      <c r="AS146" s="57">
        <v>17</v>
      </c>
      <c r="AT146" s="56">
        <v>30</v>
      </c>
      <c r="AU146" s="57">
        <v>80</v>
      </c>
      <c r="AV146" s="56">
        <v>94.881179810000006</v>
      </c>
      <c r="AW146" s="57">
        <v>231.06264419666655</v>
      </c>
      <c r="AX146" s="8"/>
      <c r="AZ146" s="1">
        <v>90</v>
      </c>
      <c r="BB146" s="82">
        <f t="shared" si="16"/>
        <v>36.023000000000003</v>
      </c>
    </row>
    <row r="147" spans="3:54" ht="15" customHeight="1" x14ac:dyDescent="0.25">
      <c r="C147" s="42"/>
      <c r="D147" s="69">
        <f>D136</f>
        <v>45758</v>
      </c>
      <c r="E147" s="70">
        <f t="shared" si="15"/>
        <v>11.166666666666677</v>
      </c>
      <c r="F147" s="71">
        <f t="shared" si="17"/>
        <v>45759.166666666984</v>
      </c>
      <c r="G147" s="60">
        <v>40</v>
      </c>
      <c r="H147" s="61">
        <v>30</v>
      </c>
      <c r="I147" s="62">
        <v>11.1</v>
      </c>
      <c r="J147" s="62">
        <v>450</v>
      </c>
      <c r="K147" s="63">
        <v>6.4</v>
      </c>
      <c r="L147" s="64">
        <v>38</v>
      </c>
      <c r="M147" s="62">
        <v>10.6</v>
      </c>
      <c r="N147" s="62">
        <v>400</v>
      </c>
      <c r="O147" s="65">
        <v>6.7</v>
      </c>
      <c r="P147" s="61">
        <v>40</v>
      </c>
      <c r="Q147" s="62">
        <v>10.3</v>
      </c>
      <c r="R147" s="63">
        <v>0</v>
      </c>
      <c r="S147" s="63">
        <v>6.2</v>
      </c>
      <c r="T147" s="65">
        <v>17.5</v>
      </c>
      <c r="U147" s="64">
        <v>39</v>
      </c>
      <c r="V147" s="62">
        <v>10.1</v>
      </c>
      <c r="W147" s="63">
        <v>0</v>
      </c>
      <c r="X147" s="63">
        <v>6.3</v>
      </c>
      <c r="Y147" s="65">
        <v>12.75</v>
      </c>
      <c r="Z147" s="61">
        <v>38</v>
      </c>
      <c r="AA147" s="62">
        <v>10.1</v>
      </c>
      <c r="AB147" s="63">
        <v>0</v>
      </c>
      <c r="AC147" s="63">
        <v>6.1</v>
      </c>
      <c r="AD147" s="65">
        <v>12.5</v>
      </c>
      <c r="AE147" s="64">
        <v>37</v>
      </c>
      <c r="AF147" s="62">
        <v>10.1</v>
      </c>
      <c r="AG147" s="63">
        <v>0</v>
      </c>
      <c r="AH147" s="63">
        <v>5.8</v>
      </c>
      <c r="AI147" s="65">
        <v>7.5</v>
      </c>
      <c r="AJ147" s="64">
        <v>37</v>
      </c>
      <c r="AK147" s="62">
        <v>10.199999999999999</v>
      </c>
      <c r="AL147" s="62">
        <v>0</v>
      </c>
      <c r="AM147" s="62">
        <v>6.4</v>
      </c>
      <c r="AN147" s="65">
        <v>12.5</v>
      </c>
      <c r="AO147" s="61">
        <v>36</v>
      </c>
      <c r="AP147" s="62">
        <v>10</v>
      </c>
      <c r="AQ147" s="62">
        <v>80</v>
      </c>
      <c r="AR147" s="62">
        <v>6.9</v>
      </c>
      <c r="AS147" s="65">
        <v>15</v>
      </c>
      <c r="AT147" s="64">
        <v>31</v>
      </c>
      <c r="AU147" s="65">
        <v>70</v>
      </c>
      <c r="AV147" s="64">
        <v>95.007324220000001</v>
      </c>
      <c r="AW147" s="65">
        <v>227.97972011833332</v>
      </c>
      <c r="AX147" s="8"/>
      <c r="AZ147" s="1">
        <v>90</v>
      </c>
      <c r="BB147" s="82">
        <f t="shared" si="16"/>
        <v>34.365499999999997</v>
      </c>
    </row>
    <row r="148" spans="3:54" ht="15" customHeight="1" x14ac:dyDescent="0.25">
      <c r="C148" s="42">
        <f>C136+1</f>
        <v>12</v>
      </c>
      <c r="D148" s="66">
        <f>DATE([4]Dash!$F$3,VLOOKUP([4]Dash!$E$3,[4]Abb!$C$3:$D$14,2,FALSE),C148)</f>
        <v>45759</v>
      </c>
      <c r="E148" s="67">
        <f>E147+2/24</f>
        <v>11.250000000000011</v>
      </c>
      <c r="F148" s="68">
        <f t="shared" si="17"/>
        <v>45759.25000000032</v>
      </c>
      <c r="G148" s="46">
        <v>40</v>
      </c>
      <c r="H148" s="47">
        <v>39</v>
      </c>
      <c r="I148" s="48">
        <v>11</v>
      </c>
      <c r="J148" s="48">
        <v>450</v>
      </c>
      <c r="K148" s="49">
        <v>6.7</v>
      </c>
      <c r="L148" s="50">
        <v>39</v>
      </c>
      <c r="M148" s="48">
        <v>11</v>
      </c>
      <c r="N148" s="48">
        <v>400</v>
      </c>
      <c r="O148" s="51">
        <v>6.9</v>
      </c>
      <c r="P148" s="47">
        <v>40</v>
      </c>
      <c r="Q148" s="48">
        <v>10.4</v>
      </c>
      <c r="R148" s="49">
        <v>0</v>
      </c>
      <c r="S148" s="49">
        <v>6.1</v>
      </c>
      <c r="T148" s="51">
        <v>17.25</v>
      </c>
      <c r="U148" s="50">
        <v>38</v>
      </c>
      <c r="V148" s="48">
        <v>10.199999999999999</v>
      </c>
      <c r="W148" s="49">
        <v>0</v>
      </c>
      <c r="X148" s="49">
        <v>6.2</v>
      </c>
      <c r="Y148" s="51">
        <v>13.75</v>
      </c>
      <c r="Z148" s="47">
        <v>38</v>
      </c>
      <c r="AA148" s="48">
        <v>10.199999999999999</v>
      </c>
      <c r="AB148" s="49">
        <v>0</v>
      </c>
      <c r="AC148" s="49">
        <v>6.2</v>
      </c>
      <c r="AD148" s="51">
        <v>12.75</v>
      </c>
      <c r="AE148" s="50">
        <v>36</v>
      </c>
      <c r="AF148" s="48">
        <v>10.1</v>
      </c>
      <c r="AG148" s="49">
        <v>0</v>
      </c>
      <c r="AH148" s="49">
        <v>5.8</v>
      </c>
      <c r="AI148" s="51">
        <v>7.25</v>
      </c>
      <c r="AJ148" s="50">
        <v>36</v>
      </c>
      <c r="AK148" s="48">
        <v>10.199999999999999</v>
      </c>
      <c r="AL148" s="48">
        <v>0</v>
      </c>
      <c r="AM148" s="48">
        <v>6.3</v>
      </c>
      <c r="AN148" s="51">
        <v>12.5</v>
      </c>
      <c r="AO148" s="47">
        <v>37</v>
      </c>
      <c r="AP148" s="48">
        <v>10.1</v>
      </c>
      <c r="AQ148" s="48">
        <v>90</v>
      </c>
      <c r="AR148" s="48">
        <v>6.7</v>
      </c>
      <c r="AS148" s="51">
        <v>16.25</v>
      </c>
      <c r="AT148" s="50">
        <v>30</v>
      </c>
      <c r="AU148" s="51">
        <v>70</v>
      </c>
      <c r="AV148" s="50">
        <v>95.027664180000002</v>
      </c>
      <c r="AW148" s="51">
        <v>226.69102083583337</v>
      </c>
      <c r="AX148" s="8"/>
      <c r="AZ148" s="1">
        <v>90</v>
      </c>
      <c r="BB148" s="82">
        <f t="shared" si="16"/>
        <v>35.249499999999998</v>
      </c>
    </row>
    <row r="149" spans="3:54" ht="15" customHeight="1" x14ac:dyDescent="0.25">
      <c r="C149" s="42"/>
      <c r="D149" s="43">
        <f>D148</f>
        <v>45759</v>
      </c>
      <c r="E149" s="44">
        <f>E148+2/24</f>
        <v>11.333333333333345</v>
      </c>
      <c r="F149" s="45">
        <f t="shared" si="17"/>
        <v>45759.333333333656</v>
      </c>
      <c r="G149" s="52">
        <v>39</v>
      </c>
      <c r="H149" s="53">
        <v>41</v>
      </c>
      <c r="I149" s="54">
        <v>10.6</v>
      </c>
      <c r="J149" s="54">
        <v>450</v>
      </c>
      <c r="K149" s="55">
        <v>6.4</v>
      </c>
      <c r="L149" s="56">
        <v>40</v>
      </c>
      <c r="M149" s="54">
        <v>10.5</v>
      </c>
      <c r="N149" s="54">
        <v>400</v>
      </c>
      <c r="O149" s="57">
        <v>6.3</v>
      </c>
      <c r="P149" s="53">
        <v>39</v>
      </c>
      <c r="Q149" s="54">
        <v>10.5</v>
      </c>
      <c r="R149" s="55">
        <v>0</v>
      </c>
      <c r="S149" s="55">
        <v>6.2</v>
      </c>
      <c r="T149" s="57">
        <v>17.5</v>
      </c>
      <c r="U149" s="56">
        <v>38</v>
      </c>
      <c r="V149" s="54">
        <v>10.4</v>
      </c>
      <c r="W149" s="55">
        <v>0</v>
      </c>
      <c r="X149" s="55">
        <v>6</v>
      </c>
      <c r="Y149" s="57">
        <v>12.5</v>
      </c>
      <c r="Z149" s="53">
        <v>38</v>
      </c>
      <c r="AA149" s="54">
        <v>10.3</v>
      </c>
      <c r="AB149" s="55">
        <v>0</v>
      </c>
      <c r="AC149" s="55">
        <v>5.8</v>
      </c>
      <c r="AD149" s="57">
        <v>10.25</v>
      </c>
      <c r="AE149" s="56">
        <v>38</v>
      </c>
      <c r="AF149" s="54">
        <v>10.3</v>
      </c>
      <c r="AG149" s="55">
        <v>0</v>
      </c>
      <c r="AH149" s="55">
        <v>5.6</v>
      </c>
      <c r="AI149" s="57">
        <v>7.5</v>
      </c>
      <c r="AJ149" s="56">
        <v>37</v>
      </c>
      <c r="AK149" s="54">
        <v>10.199999999999999</v>
      </c>
      <c r="AL149" s="54">
        <v>0</v>
      </c>
      <c r="AM149" s="54">
        <v>5.9</v>
      </c>
      <c r="AN149" s="57">
        <v>11.25</v>
      </c>
      <c r="AO149" s="53">
        <v>38</v>
      </c>
      <c r="AP149" s="54">
        <v>10.3</v>
      </c>
      <c r="AQ149" s="54">
        <v>110</v>
      </c>
      <c r="AR149" s="54">
        <v>6.1</v>
      </c>
      <c r="AS149" s="57">
        <v>15</v>
      </c>
      <c r="AT149" s="56">
        <v>34</v>
      </c>
      <c r="AU149" s="57">
        <v>80</v>
      </c>
      <c r="AV149" s="56">
        <v>94.950355529999996</v>
      </c>
      <c r="AW149" s="57">
        <v>228.68139947255452</v>
      </c>
      <c r="AX149" s="8"/>
      <c r="AZ149" s="1">
        <v>90</v>
      </c>
      <c r="BB149" s="82">
        <f t="shared" si="16"/>
        <v>32.707999999999998</v>
      </c>
    </row>
    <row r="150" spans="3:54" ht="15" customHeight="1" x14ac:dyDescent="0.25">
      <c r="C150" s="42"/>
      <c r="D150" s="43">
        <f>D148</f>
        <v>45759</v>
      </c>
      <c r="E150" s="44">
        <f t="shared" ref="E150:E159" si="18">E149+2/24</f>
        <v>11.416666666666679</v>
      </c>
      <c r="F150" s="45">
        <f t="shared" si="17"/>
        <v>45759.416666666992</v>
      </c>
      <c r="G150" s="52">
        <v>40</v>
      </c>
      <c r="H150" s="53">
        <v>41</v>
      </c>
      <c r="I150" s="54">
        <v>10.5</v>
      </c>
      <c r="J150" s="54">
        <v>450</v>
      </c>
      <c r="K150" s="55">
        <v>6.2</v>
      </c>
      <c r="L150" s="56">
        <v>41</v>
      </c>
      <c r="M150" s="54">
        <v>10.7</v>
      </c>
      <c r="N150" s="54">
        <v>450</v>
      </c>
      <c r="O150" s="57">
        <v>6.1</v>
      </c>
      <c r="P150" s="53">
        <v>39</v>
      </c>
      <c r="Q150" s="54">
        <v>10.6</v>
      </c>
      <c r="R150" s="55">
        <v>0</v>
      </c>
      <c r="S150" s="55">
        <v>6.1</v>
      </c>
      <c r="T150" s="57">
        <v>18</v>
      </c>
      <c r="U150" s="56">
        <v>39</v>
      </c>
      <c r="V150" s="54">
        <v>10.6</v>
      </c>
      <c r="W150" s="55">
        <v>0</v>
      </c>
      <c r="X150" s="55">
        <v>5.9</v>
      </c>
      <c r="Y150" s="57">
        <v>12.5</v>
      </c>
      <c r="Z150" s="53">
        <v>38</v>
      </c>
      <c r="AA150" s="54">
        <v>10.4</v>
      </c>
      <c r="AB150" s="55">
        <v>0</v>
      </c>
      <c r="AC150" s="55">
        <v>5.8</v>
      </c>
      <c r="AD150" s="57">
        <v>11.25</v>
      </c>
      <c r="AE150" s="56">
        <v>38</v>
      </c>
      <c r="AF150" s="54">
        <v>10.3</v>
      </c>
      <c r="AG150" s="55">
        <v>0</v>
      </c>
      <c r="AH150" s="55">
        <v>5.5</v>
      </c>
      <c r="AI150" s="57">
        <v>7.7</v>
      </c>
      <c r="AJ150" s="56">
        <v>37</v>
      </c>
      <c r="AK150" s="54">
        <v>10.199999999999999</v>
      </c>
      <c r="AL150" s="54">
        <v>0</v>
      </c>
      <c r="AM150" s="54">
        <v>5.7</v>
      </c>
      <c r="AN150" s="57">
        <v>12.75</v>
      </c>
      <c r="AO150" s="53">
        <v>38</v>
      </c>
      <c r="AP150" s="54">
        <v>10.1</v>
      </c>
      <c r="AQ150" s="54">
        <v>110</v>
      </c>
      <c r="AR150" s="54">
        <v>5.9</v>
      </c>
      <c r="AS150" s="57">
        <v>1.25</v>
      </c>
      <c r="AT150" s="56">
        <v>34</v>
      </c>
      <c r="AU150" s="57">
        <v>90</v>
      </c>
      <c r="AV150" s="56">
        <v>95.039871219999995</v>
      </c>
      <c r="AW150" s="57">
        <v>225.79330654144286</v>
      </c>
      <c r="AX150" s="8"/>
      <c r="AZ150" s="1">
        <v>90</v>
      </c>
      <c r="BB150" s="82">
        <f t="shared" si="16"/>
        <v>28.044900000000002</v>
      </c>
    </row>
    <row r="151" spans="3:54" ht="15" customHeight="1" x14ac:dyDescent="0.25">
      <c r="C151" s="42"/>
      <c r="D151" s="43">
        <f>D148</f>
        <v>45759</v>
      </c>
      <c r="E151" s="44">
        <f t="shared" si="18"/>
        <v>11.500000000000012</v>
      </c>
      <c r="F151" s="45">
        <f t="shared" si="17"/>
        <v>45759.500000000327</v>
      </c>
      <c r="G151" s="52">
        <v>41</v>
      </c>
      <c r="H151" s="53">
        <v>41</v>
      </c>
      <c r="I151" s="54">
        <v>10.5</v>
      </c>
      <c r="J151" s="54">
        <v>450</v>
      </c>
      <c r="K151" s="55">
        <v>6.3</v>
      </c>
      <c r="L151" s="56">
        <v>40</v>
      </c>
      <c r="M151" s="54">
        <v>10.5</v>
      </c>
      <c r="N151" s="54">
        <v>450</v>
      </c>
      <c r="O151" s="57">
        <v>6.4</v>
      </c>
      <c r="P151" s="53">
        <v>40</v>
      </c>
      <c r="Q151" s="54">
        <v>10.5</v>
      </c>
      <c r="R151" s="55">
        <v>0</v>
      </c>
      <c r="S151" s="55">
        <v>6.2</v>
      </c>
      <c r="T151" s="57">
        <v>17.5</v>
      </c>
      <c r="U151" s="56">
        <v>40</v>
      </c>
      <c r="V151" s="54">
        <v>10.5</v>
      </c>
      <c r="W151" s="55">
        <v>0</v>
      </c>
      <c r="X151" s="55">
        <v>5.8</v>
      </c>
      <c r="Y151" s="57">
        <v>12.5</v>
      </c>
      <c r="Z151" s="53">
        <v>39</v>
      </c>
      <c r="AA151" s="54">
        <v>10.4</v>
      </c>
      <c r="AB151" s="55">
        <v>0</v>
      </c>
      <c r="AC151" s="55">
        <v>5.9</v>
      </c>
      <c r="AD151" s="57">
        <v>11.25</v>
      </c>
      <c r="AE151" s="56">
        <v>38</v>
      </c>
      <c r="AF151" s="54">
        <v>10.4</v>
      </c>
      <c r="AG151" s="55">
        <v>0</v>
      </c>
      <c r="AH151" s="55">
        <v>5.7</v>
      </c>
      <c r="AI151" s="57">
        <v>7.5</v>
      </c>
      <c r="AJ151" s="56">
        <v>38</v>
      </c>
      <c r="AK151" s="54">
        <v>10.199999999999999</v>
      </c>
      <c r="AL151" s="54">
        <v>0</v>
      </c>
      <c r="AM151" s="54">
        <v>5.6</v>
      </c>
      <c r="AN151" s="57">
        <v>12.75</v>
      </c>
      <c r="AO151" s="53">
        <v>37</v>
      </c>
      <c r="AP151" s="54">
        <v>10.199999999999999</v>
      </c>
      <c r="AQ151" s="54">
        <v>120</v>
      </c>
      <c r="AR151" s="54">
        <v>5.7</v>
      </c>
      <c r="AS151" s="57">
        <v>15.25</v>
      </c>
      <c r="AT151" s="56">
        <v>33</v>
      </c>
      <c r="AU151" s="57">
        <v>100</v>
      </c>
      <c r="AV151" s="56">
        <v>94.999183650000006</v>
      </c>
      <c r="AW151" s="57">
        <v>225.28742249806726</v>
      </c>
      <c r="AX151" s="8"/>
      <c r="AZ151" s="1">
        <v>90</v>
      </c>
      <c r="BB151" s="82">
        <f t="shared" si="16"/>
        <v>33.923499999999997</v>
      </c>
    </row>
    <row r="152" spans="3:54" ht="15" customHeight="1" x14ac:dyDescent="0.25">
      <c r="C152" s="42"/>
      <c r="D152" s="43">
        <f>D148</f>
        <v>45759</v>
      </c>
      <c r="E152" s="44">
        <f t="shared" si="18"/>
        <v>11.583333333333346</v>
      </c>
      <c r="F152" s="45">
        <f t="shared" si="17"/>
        <v>45759.583333333663</v>
      </c>
      <c r="G152" s="52">
        <v>39</v>
      </c>
      <c r="H152" s="53">
        <v>40</v>
      </c>
      <c r="I152" s="54">
        <v>10.5</v>
      </c>
      <c r="J152" s="54">
        <v>500</v>
      </c>
      <c r="K152" s="55">
        <v>6.4</v>
      </c>
      <c r="L152" s="56">
        <v>40</v>
      </c>
      <c r="M152" s="54">
        <v>10.4</v>
      </c>
      <c r="N152" s="54">
        <v>450</v>
      </c>
      <c r="O152" s="57">
        <v>6.12</v>
      </c>
      <c r="P152" s="53">
        <v>39</v>
      </c>
      <c r="Q152" s="54">
        <v>10.5</v>
      </c>
      <c r="R152" s="55">
        <v>0</v>
      </c>
      <c r="S152" s="55">
        <v>6.3</v>
      </c>
      <c r="T152" s="57">
        <v>17</v>
      </c>
      <c r="U152" s="56">
        <v>40</v>
      </c>
      <c r="V152" s="54">
        <v>10.5</v>
      </c>
      <c r="W152" s="55">
        <v>0</v>
      </c>
      <c r="X152" s="55">
        <v>5.6</v>
      </c>
      <c r="Y152" s="57">
        <v>12.75</v>
      </c>
      <c r="Z152" s="53">
        <v>40</v>
      </c>
      <c r="AA152" s="54">
        <v>10.5</v>
      </c>
      <c r="AB152" s="55">
        <v>0</v>
      </c>
      <c r="AC152" s="55">
        <v>5.8</v>
      </c>
      <c r="AD152" s="57">
        <v>11.25</v>
      </c>
      <c r="AE152" s="56">
        <v>38</v>
      </c>
      <c r="AF152" s="54">
        <v>10.4</v>
      </c>
      <c r="AG152" s="55">
        <v>0</v>
      </c>
      <c r="AH152" s="55">
        <v>5.4</v>
      </c>
      <c r="AI152" s="57">
        <v>11.25</v>
      </c>
      <c r="AJ152" s="56">
        <v>38</v>
      </c>
      <c r="AK152" s="54">
        <v>10.199999999999999</v>
      </c>
      <c r="AL152" s="54">
        <v>0</v>
      </c>
      <c r="AM152" s="54">
        <v>5.5</v>
      </c>
      <c r="AN152" s="57">
        <v>6.25</v>
      </c>
      <c r="AO152" s="53">
        <v>37</v>
      </c>
      <c r="AP152" s="54">
        <v>10.199999999999999</v>
      </c>
      <c r="AQ152" s="54">
        <v>120</v>
      </c>
      <c r="AR152" s="54">
        <v>5.7</v>
      </c>
      <c r="AS152" s="57">
        <v>15.25</v>
      </c>
      <c r="AT152" s="56">
        <v>32</v>
      </c>
      <c r="AU152" s="57">
        <v>100</v>
      </c>
      <c r="AV152" s="56">
        <v>95.072425839999994</v>
      </c>
      <c r="AW152" s="57">
        <v>234.13712876637777</v>
      </c>
      <c r="AX152" s="8"/>
      <c r="AZ152" s="1">
        <v>90</v>
      </c>
      <c r="BB152" s="82">
        <f t="shared" si="16"/>
        <v>32.597499999999997</v>
      </c>
    </row>
    <row r="153" spans="3:54" ht="15" customHeight="1" x14ac:dyDescent="0.25">
      <c r="C153" s="42"/>
      <c r="D153" s="43">
        <f>D148</f>
        <v>45759</v>
      </c>
      <c r="E153" s="44">
        <f t="shared" si="18"/>
        <v>11.66666666666668</v>
      </c>
      <c r="F153" s="45">
        <f t="shared" si="17"/>
        <v>45759.666666666999</v>
      </c>
      <c r="G153" s="52">
        <v>0</v>
      </c>
      <c r="H153" s="53">
        <v>0</v>
      </c>
      <c r="I153" s="54">
        <v>0</v>
      </c>
      <c r="J153" s="54">
        <v>0</v>
      </c>
      <c r="K153" s="55">
        <v>0</v>
      </c>
      <c r="L153" s="56">
        <v>0</v>
      </c>
      <c r="M153" s="54">
        <v>0</v>
      </c>
      <c r="N153" s="54">
        <v>0</v>
      </c>
      <c r="O153" s="57">
        <v>0</v>
      </c>
      <c r="P153" s="53">
        <v>0</v>
      </c>
      <c r="Q153" s="54">
        <v>0</v>
      </c>
      <c r="R153" s="55">
        <v>0</v>
      </c>
      <c r="S153" s="55">
        <v>0</v>
      </c>
      <c r="T153" s="57">
        <v>0</v>
      </c>
      <c r="U153" s="56">
        <v>0</v>
      </c>
      <c r="V153" s="54">
        <v>0</v>
      </c>
      <c r="W153" s="55">
        <v>0</v>
      </c>
      <c r="X153" s="55">
        <v>0</v>
      </c>
      <c r="Y153" s="57">
        <v>0</v>
      </c>
      <c r="Z153" s="53">
        <v>0</v>
      </c>
      <c r="AA153" s="54">
        <v>0</v>
      </c>
      <c r="AB153" s="55">
        <v>0</v>
      </c>
      <c r="AC153" s="55">
        <v>0</v>
      </c>
      <c r="AD153" s="57">
        <v>0</v>
      </c>
      <c r="AE153" s="56">
        <v>0</v>
      </c>
      <c r="AF153" s="54">
        <v>0</v>
      </c>
      <c r="AG153" s="55">
        <v>0</v>
      </c>
      <c r="AH153" s="55">
        <v>0</v>
      </c>
      <c r="AI153" s="57">
        <v>0</v>
      </c>
      <c r="AJ153" s="56">
        <v>0</v>
      </c>
      <c r="AK153" s="54">
        <v>0</v>
      </c>
      <c r="AL153" s="54">
        <v>0</v>
      </c>
      <c r="AM153" s="54">
        <v>0</v>
      </c>
      <c r="AN153" s="57">
        <v>0</v>
      </c>
      <c r="AO153" s="53">
        <v>0</v>
      </c>
      <c r="AP153" s="54">
        <v>0</v>
      </c>
      <c r="AQ153" s="54">
        <v>0</v>
      </c>
      <c r="AR153" s="54">
        <v>0</v>
      </c>
      <c r="AS153" s="57">
        <v>0</v>
      </c>
      <c r="AT153" s="56">
        <v>0</v>
      </c>
      <c r="AU153" s="57">
        <v>0</v>
      </c>
      <c r="AV153" s="56">
        <v>95.068359380000004</v>
      </c>
      <c r="AW153" s="57">
        <v>226.22046229044599</v>
      </c>
      <c r="AX153" s="8"/>
      <c r="AZ153" s="1">
        <v>90</v>
      </c>
      <c r="BB153" s="82">
        <f t="shared" si="16"/>
        <v>0</v>
      </c>
    </row>
    <row r="154" spans="3:54" ht="15" customHeight="1" x14ac:dyDescent="0.25">
      <c r="C154" s="42"/>
      <c r="D154" s="43">
        <f>D148</f>
        <v>45759</v>
      </c>
      <c r="E154" s="44">
        <f t="shared" si="18"/>
        <v>11.750000000000014</v>
      </c>
      <c r="F154" s="45">
        <f t="shared" si="17"/>
        <v>45759.750000000335</v>
      </c>
      <c r="G154" s="52">
        <v>37</v>
      </c>
      <c r="H154" s="53">
        <v>41</v>
      </c>
      <c r="I154" s="54">
        <v>10.7</v>
      </c>
      <c r="J154" s="54">
        <v>550</v>
      </c>
      <c r="K154" s="55">
        <v>6.8</v>
      </c>
      <c r="L154" s="56">
        <v>41</v>
      </c>
      <c r="M154" s="54">
        <v>10.3</v>
      </c>
      <c r="N154" s="54">
        <v>450</v>
      </c>
      <c r="O154" s="57">
        <v>6.6</v>
      </c>
      <c r="P154" s="53">
        <v>39</v>
      </c>
      <c r="Q154" s="54">
        <v>10.3</v>
      </c>
      <c r="R154" s="55">
        <v>0</v>
      </c>
      <c r="S154" s="55">
        <v>6.2</v>
      </c>
      <c r="T154" s="57">
        <v>13.75</v>
      </c>
      <c r="U154" s="56">
        <v>38</v>
      </c>
      <c r="V154" s="54">
        <v>10.3</v>
      </c>
      <c r="W154" s="55">
        <v>0</v>
      </c>
      <c r="X154" s="55">
        <v>6</v>
      </c>
      <c r="Y154" s="57">
        <v>12.5</v>
      </c>
      <c r="Z154" s="53">
        <v>38</v>
      </c>
      <c r="AA154" s="54">
        <v>10.3</v>
      </c>
      <c r="AB154" s="55">
        <v>0</v>
      </c>
      <c r="AC154" s="55">
        <v>6</v>
      </c>
      <c r="AD154" s="57">
        <v>12.5</v>
      </c>
      <c r="AE154" s="56">
        <v>38</v>
      </c>
      <c r="AF154" s="54">
        <v>10.199999999999999</v>
      </c>
      <c r="AG154" s="55">
        <v>0</v>
      </c>
      <c r="AH154" s="55">
        <v>5.9</v>
      </c>
      <c r="AI154" s="57">
        <v>10</v>
      </c>
      <c r="AJ154" s="56">
        <v>37</v>
      </c>
      <c r="AK154" s="54">
        <v>10.199999999999999</v>
      </c>
      <c r="AL154" s="54">
        <v>0</v>
      </c>
      <c r="AM154" s="54">
        <v>5.2</v>
      </c>
      <c r="AN154" s="57">
        <v>10.5</v>
      </c>
      <c r="AO154" s="53">
        <v>37</v>
      </c>
      <c r="AP154" s="54">
        <v>10.1</v>
      </c>
      <c r="AQ154" s="54">
        <v>130</v>
      </c>
      <c r="AR154" s="54">
        <v>5.8</v>
      </c>
      <c r="AS154" s="57">
        <v>10.5</v>
      </c>
      <c r="AT154" s="56">
        <v>31</v>
      </c>
      <c r="AU154" s="57">
        <v>100</v>
      </c>
      <c r="AV154" s="56">
        <v>95.031738279999999</v>
      </c>
      <c r="AW154" s="57">
        <v>231.66087970733645</v>
      </c>
      <c r="AX154" s="8"/>
      <c r="AZ154" s="1">
        <v>90</v>
      </c>
      <c r="BB154" s="82">
        <f t="shared" si="16"/>
        <v>30.829499999999999</v>
      </c>
    </row>
    <row r="155" spans="3:54" ht="15" customHeight="1" x14ac:dyDescent="0.25">
      <c r="C155" s="42"/>
      <c r="D155" s="43">
        <f>D148</f>
        <v>45759</v>
      </c>
      <c r="E155" s="44">
        <f t="shared" si="18"/>
        <v>11.833333333333348</v>
      </c>
      <c r="F155" s="45">
        <f t="shared" si="17"/>
        <v>45759.83333333367</v>
      </c>
      <c r="G155" s="52">
        <v>48</v>
      </c>
      <c r="H155" s="53">
        <v>41</v>
      </c>
      <c r="I155" s="54">
        <v>10.6</v>
      </c>
      <c r="J155" s="54">
        <v>550</v>
      </c>
      <c r="K155" s="55">
        <v>6.5</v>
      </c>
      <c r="L155" s="56">
        <v>37</v>
      </c>
      <c r="M155" s="54">
        <v>10.4</v>
      </c>
      <c r="N155" s="54">
        <v>450</v>
      </c>
      <c r="O155" s="57">
        <v>5.9</v>
      </c>
      <c r="P155" s="53">
        <v>40</v>
      </c>
      <c r="Q155" s="54">
        <v>10.4</v>
      </c>
      <c r="R155" s="55">
        <v>0</v>
      </c>
      <c r="S155" s="55">
        <v>6.2</v>
      </c>
      <c r="T155" s="57">
        <v>15</v>
      </c>
      <c r="U155" s="56">
        <v>37</v>
      </c>
      <c r="V155" s="54">
        <v>10.3</v>
      </c>
      <c r="W155" s="55">
        <v>0</v>
      </c>
      <c r="X155" s="55">
        <v>5.8</v>
      </c>
      <c r="Y155" s="57">
        <v>13.75</v>
      </c>
      <c r="Z155" s="53">
        <v>39</v>
      </c>
      <c r="AA155" s="54">
        <v>10.3</v>
      </c>
      <c r="AB155" s="55">
        <v>0</v>
      </c>
      <c r="AC155" s="55">
        <v>5.4</v>
      </c>
      <c r="AD155" s="57">
        <v>12.5</v>
      </c>
      <c r="AE155" s="56">
        <v>37</v>
      </c>
      <c r="AF155" s="54">
        <v>10.3</v>
      </c>
      <c r="AG155" s="55">
        <v>0</v>
      </c>
      <c r="AH155" s="55">
        <v>5.4</v>
      </c>
      <c r="AI155" s="57">
        <v>11.75</v>
      </c>
      <c r="AJ155" s="56">
        <v>40</v>
      </c>
      <c r="AK155" s="54">
        <v>10.3</v>
      </c>
      <c r="AL155" s="54">
        <v>0</v>
      </c>
      <c r="AM155" s="54">
        <v>5.5</v>
      </c>
      <c r="AN155" s="57">
        <v>12.5</v>
      </c>
      <c r="AO155" s="53">
        <v>42.37</v>
      </c>
      <c r="AP155" s="54">
        <v>10.199999999999999</v>
      </c>
      <c r="AQ155" s="54">
        <v>100</v>
      </c>
      <c r="AR155" s="54">
        <v>6.4</v>
      </c>
      <c r="AS155" s="57">
        <v>12.75</v>
      </c>
      <c r="AT155" s="56">
        <v>29</v>
      </c>
      <c r="AU155" s="57">
        <v>80</v>
      </c>
      <c r="AV155" s="56">
        <v>94.974769589999994</v>
      </c>
      <c r="AW155" s="57">
        <v>233.17732512156169</v>
      </c>
      <c r="AX155" s="8"/>
      <c r="AZ155" s="1">
        <v>90</v>
      </c>
      <c r="BB155" s="82">
        <f t="shared" si="16"/>
        <v>34.586500000000001</v>
      </c>
    </row>
    <row r="156" spans="3:54" ht="15" customHeight="1" x14ac:dyDescent="0.25">
      <c r="C156" s="42"/>
      <c r="D156" s="43">
        <f>D148</f>
        <v>45759</v>
      </c>
      <c r="E156" s="44">
        <f t="shared" si="18"/>
        <v>11.916666666666682</v>
      </c>
      <c r="F156" s="45">
        <f t="shared" si="17"/>
        <v>45759.916666667006</v>
      </c>
      <c r="G156" s="52">
        <v>43</v>
      </c>
      <c r="H156" s="53">
        <v>32</v>
      </c>
      <c r="I156" s="54">
        <v>10.5</v>
      </c>
      <c r="J156" s="54">
        <v>500</v>
      </c>
      <c r="K156" s="55">
        <v>6</v>
      </c>
      <c r="L156" s="56">
        <v>37</v>
      </c>
      <c r="M156" s="54">
        <v>10.4</v>
      </c>
      <c r="N156" s="54">
        <v>450</v>
      </c>
      <c r="O156" s="57">
        <v>6</v>
      </c>
      <c r="P156" s="53">
        <v>38</v>
      </c>
      <c r="Q156" s="54">
        <v>10.5</v>
      </c>
      <c r="R156" s="55">
        <v>0</v>
      </c>
      <c r="S156" s="55">
        <v>6.1</v>
      </c>
      <c r="T156" s="57">
        <v>15.5</v>
      </c>
      <c r="U156" s="56">
        <v>37</v>
      </c>
      <c r="V156" s="54">
        <v>10.3</v>
      </c>
      <c r="W156" s="55">
        <v>0</v>
      </c>
      <c r="X156" s="55">
        <v>5.7</v>
      </c>
      <c r="Y156" s="57">
        <v>13.75</v>
      </c>
      <c r="Z156" s="53">
        <v>38</v>
      </c>
      <c r="AA156" s="54">
        <v>10.199999999999999</v>
      </c>
      <c r="AB156" s="55">
        <v>0</v>
      </c>
      <c r="AC156" s="55">
        <v>5.9</v>
      </c>
      <c r="AD156" s="57">
        <v>12.5</v>
      </c>
      <c r="AE156" s="56">
        <v>38</v>
      </c>
      <c r="AF156" s="54">
        <v>10.3</v>
      </c>
      <c r="AG156" s="55">
        <v>0</v>
      </c>
      <c r="AH156" s="55">
        <v>5.3</v>
      </c>
      <c r="AI156" s="57">
        <v>11.75</v>
      </c>
      <c r="AJ156" s="56">
        <v>37</v>
      </c>
      <c r="AK156" s="54">
        <v>10.3</v>
      </c>
      <c r="AL156" s="54">
        <v>0</v>
      </c>
      <c r="AM156" s="54">
        <v>5.8</v>
      </c>
      <c r="AN156" s="57">
        <v>12.5</v>
      </c>
      <c r="AO156" s="53">
        <v>38</v>
      </c>
      <c r="AP156" s="54">
        <v>10.199999999999999</v>
      </c>
      <c r="AQ156" s="54">
        <v>110</v>
      </c>
      <c r="AR156" s="54">
        <v>6.7</v>
      </c>
      <c r="AS156" s="57">
        <v>13</v>
      </c>
      <c r="AT156" s="56">
        <v>29</v>
      </c>
      <c r="AU156" s="57">
        <v>90</v>
      </c>
      <c r="AV156" s="56">
        <v>94.901527400000006</v>
      </c>
      <c r="AW156" s="57">
        <v>230.77727158864343</v>
      </c>
      <c r="AX156" s="8"/>
      <c r="AZ156" s="1">
        <v>90</v>
      </c>
      <c r="BB156" s="82">
        <f t="shared" si="16"/>
        <v>34.917999999999999</v>
      </c>
    </row>
    <row r="157" spans="3:54" ht="15" customHeight="1" x14ac:dyDescent="0.25">
      <c r="C157" s="42"/>
      <c r="D157" s="43">
        <f>D148</f>
        <v>45759</v>
      </c>
      <c r="E157" s="44">
        <f t="shared" si="18"/>
        <v>12.000000000000016</v>
      </c>
      <c r="F157" s="45">
        <f t="shared" si="17"/>
        <v>45760.000000000342</v>
      </c>
      <c r="G157" s="52">
        <v>43</v>
      </c>
      <c r="H157" s="53">
        <v>40</v>
      </c>
      <c r="I157" s="54">
        <v>10</v>
      </c>
      <c r="J157" s="54">
        <v>350</v>
      </c>
      <c r="K157" s="55">
        <v>6.3</v>
      </c>
      <c r="L157" s="56">
        <v>39</v>
      </c>
      <c r="M157" s="54">
        <v>10.3</v>
      </c>
      <c r="N157" s="54">
        <v>350</v>
      </c>
      <c r="O157" s="57">
        <v>6.1</v>
      </c>
      <c r="P157" s="53">
        <v>40</v>
      </c>
      <c r="Q157" s="54">
        <v>10.5</v>
      </c>
      <c r="R157" s="55">
        <v>0</v>
      </c>
      <c r="S157" s="55">
        <v>6.3</v>
      </c>
      <c r="T157" s="57">
        <v>15.5</v>
      </c>
      <c r="U157" s="56">
        <v>39</v>
      </c>
      <c r="V157" s="54">
        <v>10.3</v>
      </c>
      <c r="W157" s="55">
        <v>0</v>
      </c>
      <c r="X157" s="55">
        <v>5.7</v>
      </c>
      <c r="Y157" s="57">
        <v>13.75</v>
      </c>
      <c r="Z157" s="53">
        <v>40</v>
      </c>
      <c r="AA157" s="54">
        <v>10.199999999999999</v>
      </c>
      <c r="AB157" s="55">
        <v>0</v>
      </c>
      <c r="AC157" s="55">
        <v>6.1</v>
      </c>
      <c r="AD157" s="57">
        <v>12.5</v>
      </c>
      <c r="AE157" s="56">
        <v>39</v>
      </c>
      <c r="AF157" s="54">
        <v>10.3</v>
      </c>
      <c r="AG157" s="55">
        <v>0</v>
      </c>
      <c r="AH157" s="55">
        <v>5.4</v>
      </c>
      <c r="AI157" s="57">
        <v>11.74</v>
      </c>
      <c r="AJ157" s="56">
        <v>39</v>
      </c>
      <c r="AK157" s="54">
        <v>10.1</v>
      </c>
      <c r="AL157" s="54">
        <v>0</v>
      </c>
      <c r="AM157" s="54">
        <v>5.7</v>
      </c>
      <c r="AN157" s="57">
        <v>12.5</v>
      </c>
      <c r="AO157" s="53">
        <v>39</v>
      </c>
      <c r="AP157" s="54">
        <v>10.199999999999999</v>
      </c>
      <c r="AQ157" s="54">
        <v>100</v>
      </c>
      <c r="AR157" s="54">
        <v>6.6</v>
      </c>
      <c r="AS157" s="57">
        <v>13.6</v>
      </c>
      <c r="AT157" s="56">
        <v>28</v>
      </c>
      <c r="AU157" s="57">
        <v>90</v>
      </c>
      <c r="AV157" s="56">
        <v>94.958496089999997</v>
      </c>
      <c r="AW157" s="57">
        <v>228.57084318796797</v>
      </c>
      <c r="AX157" s="8"/>
      <c r="AZ157" s="1">
        <v>90</v>
      </c>
      <c r="BB157" s="82">
        <f t="shared" si="16"/>
        <v>35.178779999999996</v>
      </c>
    </row>
    <row r="158" spans="3:54" ht="15" customHeight="1" x14ac:dyDescent="0.25">
      <c r="C158" s="42"/>
      <c r="D158" s="43">
        <f>D148</f>
        <v>45759</v>
      </c>
      <c r="E158" s="44">
        <f t="shared" si="18"/>
        <v>12.08333333333335</v>
      </c>
      <c r="F158" s="45">
        <f t="shared" si="17"/>
        <v>45760.083333333678</v>
      </c>
      <c r="G158" s="52">
        <v>38</v>
      </c>
      <c r="H158" s="53">
        <v>40</v>
      </c>
      <c r="I158" s="54">
        <v>10.3</v>
      </c>
      <c r="J158" s="54">
        <v>450</v>
      </c>
      <c r="K158" s="55">
        <v>6.5</v>
      </c>
      <c r="L158" s="56">
        <v>39</v>
      </c>
      <c r="M158" s="54">
        <v>10.3</v>
      </c>
      <c r="N158" s="54">
        <v>450</v>
      </c>
      <c r="O158" s="57">
        <v>6.6</v>
      </c>
      <c r="P158" s="53">
        <v>40</v>
      </c>
      <c r="Q158" s="54">
        <v>10.4</v>
      </c>
      <c r="R158" s="55">
        <v>0</v>
      </c>
      <c r="S158" s="55">
        <v>6.1</v>
      </c>
      <c r="T158" s="57">
        <v>15.75</v>
      </c>
      <c r="U158" s="56">
        <v>39</v>
      </c>
      <c r="V158" s="54">
        <v>10.3</v>
      </c>
      <c r="W158" s="55">
        <v>0</v>
      </c>
      <c r="X158" s="55">
        <v>5.6</v>
      </c>
      <c r="Y158" s="57">
        <v>13.74</v>
      </c>
      <c r="Z158" s="53">
        <v>39</v>
      </c>
      <c r="AA158" s="54">
        <v>10.3</v>
      </c>
      <c r="AB158" s="55">
        <v>0</v>
      </c>
      <c r="AC158" s="55">
        <v>5.9</v>
      </c>
      <c r="AD158" s="57">
        <v>12.5</v>
      </c>
      <c r="AE158" s="56">
        <v>38</v>
      </c>
      <c r="AF158" s="54">
        <v>10.199999999999999</v>
      </c>
      <c r="AG158" s="55">
        <v>0</v>
      </c>
      <c r="AH158" s="55">
        <v>0</v>
      </c>
      <c r="AI158" s="57">
        <v>11.75</v>
      </c>
      <c r="AJ158" s="56">
        <v>40</v>
      </c>
      <c r="AK158" s="54">
        <v>10.199999999999999</v>
      </c>
      <c r="AL158" s="54">
        <v>0</v>
      </c>
      <c r="AM158" s="54">
        <v>5.7</v>
      </c>
      <c r="AN158" s="57">
        <v>12.8</v>
      </c>
      <c r="AO158" s="53">
        <v>37</v>
      </c>
      <c r="AP158" s="54">
        <v>10.1</v>
      </c>
      <c r="AQ158" s="54">
        <v>110</v>
      </c>
      <c r="AR158" s="54">
        <v>6.5</v>
      </c>
      <c r="AS158" s="57">
        <v>13.4</v>
      </c>
      <c r="AT158" s="56">
        <v>29</v>
      </c>
      <c r="AU158" s="57">
        <v>90</v>
      </c>
      <c r="AV158" s="56">
        <v>95.076492310000006</v>
      </c>
      <c r="AW158" s="57">
        <v>230.71735026041668</v>
      </c>
      <c r="AX158" s="8"/>
      <c r="AZ158" s="1">
        <v>90</v>
      </c>
      <c r="BB158" s="82">
        <f t="shared" si="16"/>
        <v>35.333480000000002</v>
      </c>
    </row>
    <row r="159" spans="3:54" ht="15" customHeight="1" x14ac:dyDescent="0.25">
      <c r="C159" s="42"/>
      <c r="D159" s="69">
        <f>D148</f>
        <v>45759</v>
      </c>
      <c r="E159" s="70">
        <f t="shared" si="18"/>
        <v>12.166666666666684</v>
      </c>
      <c r="F159" s="71">
        <f t="shared" si="17"/>
        <v>45760.166666667013</v>
      </c>
      <c r="G159" s="60">
        <v>40</v>
      </c>
      <c r="H159" s="61">
        <v>37</v>
      </c>
      <c r="I159" s="62">
        <v>11.1</v>
      </c>
      <c r="J159" s="62">
        <v>550</v>
      </c>
      <c r="K159" s="63">
        <v>6.3</v>
      </c>
      <c r="L159" s="64">
        <v>39</v>
      </c>
      <c r="M159" s="62">
        <v>10.6</v>
      </c>
      <c r="N159" s="62">
        <v>450</v>
      </c>
      <c r="O159" s="65">
        <v>6.3</v>
      </c>
      <c r="P159" s="61">
        <v>39</v>
      </c>
      <c r="Q159" s="62">
        <v>10.5</v>
      </c>
      <c r="R159" s="63">
        <v>0</v>
      </c>
      <c r="S159" s="63">
        <v>6.3</v>
      </c>
      <c r="T159" s="65">
        <v>16.25</v>
      </c>
      <c r="U159" s="64">
        <v>37</v>
      </c>
      <c r="V159" s="62">
        <v>10.4</v>
      </c>
      <c r="W159" s="63">
        <v>0</v>
      </c>
      <c r="X159" s="63">
        <v>5.8</v>
      </c>
      <c r="Y159" s="65">
        <v>13.75</v>
      </c>
      <c r="Z159" s="61">
        <v>39</v>
      </c>
      <c r="AA159" s="62">
        <v>10.4</v>
      </c>
      <c r="AB159" s="63">
        <v>0</v>
      </c>
      <c r="AC159" s="63">
        <v>5.5</v>
      </c>
      <c r="AD159" s="65">
        <v>12.5</v>
      </c>
      <c r="AE159" s="64">
        <v>38</v>
      </c>
      <c r="AF159" s="62">
        <v>10.4</v>
      </c>
      <c r="AG159" s="63">
        <v>0</v>
      </c>
      <c r="AH159" s="63">
        <v>0</v>
      </c>
      <c r="AI159" s="65">
        <v>11.25</v>
      </c>
      <c r="AJ159" s="64">
        <v>37</v>
      </c>
      <c r="AK159" s="62">
        <v>10.4</v>
      </c>
      <c r="AL159" s="62">
        <v>0</v>
      </c>
      <c r="AM159" s="62">
        <v>6.3</v>
      </c>
      <c r="AN159" s="65">
        <v>12.8</v>
      </c>
      <c r="AO159" s="61">
        <v>37</v>
      </c>
      <c r="AP159" s="62">
        <v>10.3</v>
      </c>
      <c r="AQ159" s="62">
        <v>150</v>
      </c>
      <c r="AR159" s="62">
        <v>6.7</v>
      </c>
      <c r="AS159" s="65">
        <v>15</v>
      </c>
      <c r="AT159" s="64">
        <v>32</v>
      </c>
      <c r="AU159" s="65">
        <v>120</v>
      </c>
      <c r="AV159" s="64">
        <v>94.925941469999998</v>
      </c>
      <c r="AW159" s="65">
        <v>229.09119364420573</v>
      </c>
      <c r="AX159" s="8"/>
      <c r="AZ159" s="1">
        <v>90</v>
      </c>
      <c r="BB159" s="82">
        <f t="shared" si="16"/>
        <v>36.045099999999998</v>
      </c>
    </row>
    <row r="160" spans="3:54" ht="15" customHeight="1" x14ac:dyDescent="0.25">
      <c r="C160" s="42">
        <f>C148+1</f>
        <v>13</v>
      </c>
      <c r="D160" s="66">
        <f>DATE([4]Dash!$F$3,VLOOKUP([4]Dash!$E$3,[4]Abb!$C$3:$D$14,2,FALSE),C160)</f>
        <v>45760</v>
      </c>
      <c r="E160" s="67">
        <f>E159+2/24</f>
        <v>12.250000000000018</v>
      </c>
      <c r="F160" s="68">
        <f t="shared" si="17"/>
        <v>45760.250000000349</v>
      </c>
      <c r="G160" s="46">
        <v>39</v>
      </c>
      <c r="H160" s="47">
        <v>39</v>
      </c>
      <c r="I160" s="48">
        <v>11</v>
      </c>
      <c r="J160" s="48">
        <v>500</v>
      </c>
      <c r="K160" s="49">
        <v>6.4</v>
      </c>
      <c r="L160" s="50">
        <v>39</v>
      </c>
      <c r="M160" s="48">
        <v>10.7</v>
      </c>
      <c r="N160" s="48">
        <v>450</v>
      </c>
      <c r="O160" s="51">
        <v>6.1</v>
      </c>
      <c r="P160" s="47">
        <v>38</v>
      </c>
      <c r="Q160" s="48">
        <v>10.6</v>
      </c>
      <c r="R160" s="49">
        <v>0</v>
      </c>
      <c r="S160" s="49">
        <v>6.1</v>
      </c>
      <c r="T160" s="51">
        <v>16.25</v>
      </c>
      <c r="U160" s="50">
        <v>36</v>
      </c>
      <c r="V160" s="48">
        <v>10.4</v>
      </c>
      <c r="W160" s="49">
        <v>0</v>
      </c>
      <c r="X160" s="49">
        <v>5.7</v>
      </c>
      <c r="Y160" s="51">
        <v>13.5</v>
      </c>
      <c r="Z160" s="47">
        <v>37</v>
      </c>
      <c r="AA160" s="48">
        <v>10.4</v>
      </c>
      <c r="AB160" s="49">
        <v>0</v>
      </c>
      <c r="AC160" s="49">
        <v>5.8</v>
      </c>
      <c r="AD160" s="51">
        <v>12.25</v>
      </c>
      <c r="AE160" s="50">
        <v>39</v>
      </c>
      <c r="AF160" s="48">
        <v>10.4</v>
      </c>
      <c r="AG160" s="49">
        <v>0</v>
      </c>
      <c r="AH160" s="49">
        <v>0</v>
      </c>
      <c r="AI160" s="51">
        <v>11.75</v>
      </c>
      <c r="AJ160" s="50">
        <v>37</v>
      </c>
      <c r="AK160" s="48">
        <v>10.4</v>
      </c>
      <c r="AL160" s="48">
        <v>0</v>
      </c>
      <c r="AM160" s="48">
        <v>6.4</v>
      </c>
      <c r="AN160" s="51">
        <v>12.5</v>
      </c>
      <c r="AO160" s="47">
        <v>0</v>
      </c>
      <c r="AP160" s="48">
        <v>10.3</v>
      </c>
      <c r="AQ160" s="48">
        <v>150</v>
      </c>
      <c r="AR160" s="48">
        <v>6.7</v>
      </c>
      <c r="AS160" s="51">
        <v>15</v>
      </c>
      <c r="AT160" s="50">
        <v>30</v>
      </c>
      <c r="AU160" s="51">
        <v>110</v>
      </c>
      <c r="AV160" s="50">
        <v>94.958496089999997</v>
      </c>
      <c r="AW160" s="51">
        <v>225.12888158162437</v>
      </c>
      <c r="AX160" s="8"/>
      <c r="AZ160" s="1">
        <v>90</v>
      </c>
      <c r="BB160" s="82">
        <f t="shared" si="16"/>
        <v>35.912500000000001</v>
      </c>
    </row>
    <row r="161" spans="3:54" ht="15" customHeight="1" x14ac:dyDescent="0.25">
      <c r="C161" s="42"/>
      <c r="D161" s="43">
        <f>D160</f>
        <v>45760</v>
      </c>
      <c r="E161" s="44">
        <f>E160+2/24</f>
        <v>12.333333333333352</v>
      </c>
      <c r="F161" s="45">
        <f t="shared" si="17"/>
        <v>45760.333333333685</v>
      </c>
      <c r="G161" s="52">
        <v>40</v>
      </c>
      <c r="H161" s="53">
        <v>39</v>
      </c>
      <c r="I161" s="54">
        <v>10</v>
      </c>
      <c r="J161" s="54">
        <v>500</v>
      </c>
      <c r="K161" s="55">
        <v>6.1</v>
      </c>
      <c r="L161" s="56">
        <v>40</v>
      </c>
      <c r="M161" s="54">
        <v>10.6</v>
      </c>
      <c r="N161" s="54">
        <v>500</v>
      </c>
      <c r="O161" s="57">
        <v>6.1</v>
      </c>
      <c r="P161" s="53">
        <v>38</v>
      </c>
      <c r="Q161" s="54">
        <v>10.4</v>
      </c>
      <c r="R161" s="55">
        <v>0</v>
      </c>
      <c r="S161" s="55">
        <v>5.8</v>
      </c>
      <c r="T161" s="57">
        <v>15</v>
      </c>
      <c r="U161" s="56">
        <v>38</v>
      </c>
      <c r="V161" s="54">
        <v>10.4</v>
      </c>
      <c r="W161" s="55">
        <v>0</v>
      </c>
      <c r="X161" s="55">
        <v>5.6</v>
      </c>
      <c r="Y161" s="57">
        <v>12.5</v>
      </c>
      <c r="Z161" s="53">
        <v>38</v>
      </c>
      <c r="AA161" s="54">
        <v>10.3</v>
      </c>
      <c r="AB161" s="55">
        <v>0</v>
      </c>
      <c r="AC161" s="55">
        <v>5.4</v>
      </c>
      <c r="AD161" s="57">
        <v>10</v>
      </c>
      <c r="AE161" s="56">
        <v>38</v>
      </c>
      <c r="AF161" s="54">
        <v>10.3</v>
      </c>
      <c r="AG161" s="55">
        <v>0</v>
      </c>
      <c r="AH161" s="55">
        <v>5.5</v>
      </c>
      <c r="AI161" s="57">
        <v>11.25</v>
      </c>
      <c r="AJ161" s="56">
        <v>37</v>
      </c>
      <c r="AK161" s="54">
        <v>10.3</v>
      </c>
      <c r="AL161" s="54">
        <v>0</v>
      </c>
      <c r="AM161" s="54">
        <v>5.7</v>
      </c>
      <c r="AN161" s="57">
        <v>11.25</v>
      </c>
      <c r="AO161" s="53">
        <v>37</v>
      </c>
      <c r="AP161" s="54">
        <v>10.3</v>
      </c>
      <c r="AQ161" s="54">
        <v>150</v>
      </c>
      <c r="AR161" s="54">
        <v>6</v>
      </c>
      <c r="AS161" s="57">
        <v>15</v>
      </c>
      <c r="AT161" s="56">
        <v>32</v>
      </c>
      <c r="AU161" s="57">
        <v>100</v>
      </c>
      <c r="AV161" s="56">
        <v>95.043945309999998</v>
      </c>
      <c r="AW161" s="57">
        <v>226.68306395212809</v>
      </c>
      <c r="AX161" s="8"/>
      <c r="AZ161" s="1">
        <v>90</v>
      </c>
      <c r="BB161" s="82">
        <f t="shared" si="16"/>
        <v>33.15</v>
      </c>
    </row>
    <row r="162" spans="3:54" ht="15" customHeight="1" x14ac:dyDescent="0.25">
      <c r="C162" s="42"/>
      <c r="D162" s="43">
        <f>D160</f>
        <v>45760</v>
      </c>
      <c r="E162" s="44">
        <f t="shared" ref="E162:E171" si="19">E161+2/24</f>
        <v>12.416666666666686</v>
      </c>
      <c r="F162" s="45">
        <f t="shared" si="17"/>
        <v>45760.416666667021</v>
      </c>
      <c r="G162" s="52">
        <v>41</v>
      </c>
      <c r="H162" s="53">
        <v>35</v>
      </c>
      <c r="I162" s="54">
        <v>11.1</v>
      </c>
      <c r="J162" s="54">
        <v>1500</v>
      </c>
      <c r="K162" s="55">
        <v>6</v>
      </c>
      <c r="L162" s="56">
        <v>38</v>
      </c>
      <c r="M162" s="54">
        <v>10.7</v>
      </c>
      <c r="N162" s="54">
        <v>800</v>
      </c>
      <c r="O162" s="57">
        <v>6.2</v>
      </c>
      <c r="P162" s="53">
        <v>37</v>
      </c>
      <c r="Q162" s="54">
        <v>10.4</v>
      </c>
      <c r="R162" s="55">
        <v>0</v>
      </c>
      <c r="S162" s="55">
        <v>5.7</v>
      </c>
      <c r="T162" s="57">
        <v>15.25</v>
      </c>
      <c r="U162" s="56">
        <v>38</v>
      </c>
      <c r="V162" s="54">
        <v>10.4</v>
      </c>
      <c r="W162" s="55">
        <v>0</v>
      </c>
      <c r="X162" s="55">
        <v>5.5</v>
      </c>
      <c r="Y162" s="57">
        <v>12.75</v>
      </c>
      <c r="Z162" s="53">
        <v>37</v>
      </c>
      <c r="AA162" s="54">
        <v>10.4</v>
      </c>
      <c r="AB162" s="55">
        <v>0</v>
      </c>
      <c r="AC162" s="55">
        <v>5.4</v>
      </c>
      <c r="AD162" s="57">
        <v>10</v>
      </c>
      <c r="AE162" s="56">
        <v>37</v>
      </c>
      <c r="AF162" s="54">
        <v>10.3</v>
      </c>
      <c r="AG162" s="55">
        <v>0</v>
      </c>
      <c r="AH162" s="55">
        <v>5.3</v>
      </c>
      <c r="AI162" s="57">
        <v>11.5</v>
      </c>
      <c r="AJ162" s="56">
        <v>36</v>
      </c>
      <c r="AK162" s="54">
        <v>10.3</v>
      </c>
      <c r="AL162" s="54">
        <v>0</v>
      </c>
      <c r="AM162" s="54">
        <v>5.4</v>
      </c>
      <c r="AN162" s="57">
        <v>11.25</v>
      </c>
      <c r="AO162" s="53">
        <v>37</v>
      </c>
      <c r="AP162" s="54">
        <v>10.199999999999999</v>
      </c>
      <c r="AQ162" s="54">
        <v>140</v>
      </c>
      <c r="AR162" s="54">
        <v>5.9</v>
      </c>
      <c r="AS162" s="57">
        <v>15</v>
      </c>
      <c r="AT162" s="56">
        <v>31</v>
      </c>
      <c r="AU162" s="57">
        <v>110</v>
      </c>
      <c r="AV162" s="56">
        <v>94.974769589999994</v>
      </c>
      <c r="AW162" s="57">
        <v>224.55632661183674</v>
      </c>
      <c r="AX162" s="8"/>
      <c r="AZ162" s="1">
        <v>90</v>
      </c>
      <c r="BB162" s="82">
        <f t="shared" si="16"/>
        <v>33.481499999999997</v>
      </c>
    </row>
    <row r="163" spans="3:54" ht="15" customHeight="1" x14ac:dyDescent="0.25">
      <c r="C163" s="42"/>
      <c r="D163" s="43">
        <f>D160</f>
        <v>45760</v>
      </c>
      <c r="E163" s="44">
        <f t="shared" si="19"/>
        <v>12.50000000000002</v>
      </c>
      <c r="F163" s="45">
        <f t="shared" si="17"/>
        <v>45760.500000000357</v>
      </c>
      <c r="G163" s="52">
        <v>41</v>
      </c>
      <c r="H163" s="53">
        <v>39</v>
      </c>
      <c r="I163" s="54">
        <v>10</v>
      </c>
      <c r="J163" s="54">
        <v>800</v>
      </c>
      <c r="K163" s="55">
        <v>5.9</v>
      </c>
      <c r="L163" s="56">
        <v>38</v>
      </c>
      <c r="M163" s="54">
        <v>10.5</v>
      </c>
      <c r="N163" s="54">
        <v>1000</v>
      </c>
      <c r="O163" s="57">
        <v>6.3</v>
      </c>
      <c r="P163" s="53">
        <v>39</v>
      </c>
      <c r="Q163" s="54">
        <v>10.6</v>
      </c>
      <c r="R163" s="55">
        <v>0</v>
      </c>
      <c r="S163" s="55">
        <v>5.8</v>
      </c>
      <c r="T163" s="57">
        <v>15</v>
      </c>
      <c r="U163" s="56">
        <v>37</v>
      </c>
      <c r="V163" s="54">
        <v>10.6</v>
      </c>
      <c r="W163" s="55">
        <v>0</v>
      </c>
      <c r="X163" s="55">
        <v>5.6</v>
      </c>
      <c r="Y163" s="57">
        <v>12.75</v>
      </c>
      <c r="Z163" s="53">
        <v>37</v>
      </c>
      <c r="AA163" s="54">
        <v>10.5</v>
      </c>
      <c r="AB163" s="55">
        <v>0</v>
      </c>
      <c r="AC163" s="55">
        <v>5.5</v>
      </c>
      <c r="AD163" s="57">
        <v>11.25</v>
      </c>
      <c r="AE163" s="56">
        <v>37</v>
      </c>
      <c r="AF163" s="54">
        <v>10.4</v>
      </c>
      <c r="AG163" s="55">
        <v>0</v>
      </c>
      <c r="AH163" s="55">
        <v>5.2</v>
      </c>
      <c r="AI163" s="57">
        <v>11</v>
      </c>
      <c r="AJ163" s="56">
        <v>38</v>
      </c>
      <c r="AK163" s="54">
        <v>10.3</v>
      </c>
      <c r="AL163" s="54">
        <v>0</v>
      </c>
      <c r="AM163" s="54">
        <v>5.4</v>
      </c>
      <c r="AN163" s="57">
        <v>11.25</v>
      </c>
      <c r="AO163" s="53">
        <v>39</v>
      </c>
      <c r="AP163" s="54">
        <v>10.199999999999999</v>
      </c>
      <c r="AQ163" s="54">
        <v>160</v>
      </c>
      <c r="AR163" s="54">
        <v>5.7</v>
      </c>
      <c r="AS163" s="57">
        <v>15</v>
      </c>
      <c r="AT163" s="56">
        <v>33</v>
      </c>
      <c r="AU163" s="57">
        <v>130</v>
      </c>
      <c r="AV163" s="56">
        <v>95.153808589999997</v>
      </c>
      <c r="AW163" s="57">
        <v>223.22567138671874</v>
      </c>
      <c r="AX163" s="8"/>
      <c r="AZ163" s="1">
        <v>90</v>
      </c>
      <c r="BB163" s="82">
        <f t="shared" si="16"/>
        <v>33.702500000000001</v>
      </c>
    </row>
    <row r="164" spans="3:54" ht="15" customHeight="1" x14ac:dyDescent="0.25">
      <c r="C164" s="42"/>
      <c r="D164" s="43">
        <f>D160</f>
        <v>45760</v>
      </c>
      <c r="E164" s="44">
        <f t="shared" si="19"/>
        <v>12.583333333333353</v>
      </c>
      <c r="F164" s="45">
        <f t="shared" si="17"/>
        <v>45760.583333333692</v>
      </c>
      <c r="G164" s="52">
        <v>38</v>
      </c>
      <c r="H164" s="53">
        <v>38</v>
      </c>
      <c r="I164" s="54">
        <v>11.5</v>
      </c>
      <c r="J164" s="54">
        <v>600</v>
      </c>
      <c r="K164" s="55">
        <v>6.3</v>
      </c>
      <c r="L164" s="56">
        <v>39</v>
      </c>
      <c r="M164" s="54">
        <v>10.7</v>
      </c>
      <c r="N164" s="54">
        <v>800</v>
      </c>
      <c r="O164" s="57">
        <v>6.7</v>
      </c>
      <c r="P164" s="53">
        <v>39</v>
      </c>
      <c r="Q164" s="54">
        <v>10.6</v>
      </c>
      <c r="R164" s="55">
        <v>0</v>
      </c>
      <c r="S164" s="55">
        <v>5.9</v>
      </c>
      <c r="T164" s="57">
        <v>15</v>
      </c>
      <c r="U164" s="56">
        <v>38</v>
      </c>
      <c r="V164" s="54">
        <v>10.6</v>
      </c>
      <c r="W164" s="55">
        <v>0</v>
      </c>
      <c r="X164" s="55">
        <v>6</v>
      </c>
      <c r="Y164" s="57">
        <v>12.25</v>
      </c>
      <c r="Z164" s="53">
        <v>37</v>
      </c>
      <c r="AA164" s="54">
        <v>10.5</v>
      </c>
      <c r="AB164" s="55">
        <v>0</v>
      </c>
      <c r="AC164" s="55">
        <v>5.2</v>
      </c>
      <c r="AD164" s="57">
        <v>11</v>
      </c>
      <c r="AE164" s="56">
        <v>37</v>
      </c>
      <c r="AF164" s="54">
        <v>10.4</v>
      </c>
      <c r="AG164" s="55">
        <v>0</v>
      </c>
      <c r="AH164" s="55">
        <v>5.8</v>
      </c>
      <c r="AI164" s="57">
        <v>11.5</v>
      </c>
      <c r="AJ164" s="56">
        <v>38</v>
      </c>
      <c r="AK164" s="54">
        <v>10.5</v>
      </c>
      <c r="AL164" s="54">
        <v>0</v>
      </c>
      <c r="AM164" s="54">
        <v>6.1</v>
      </c>
      <c r="AN164" s="57">
        <v>11.25</v>
      </c>
      <c r="AO164" s="53">
        <v>38</v>
      </c>
      <c r="AP164" s="54">
        <v>10.3</v>
      </c>
      <c r="AQ164" s="54">
        <v>160</v>
      </c>
      <c r="AR164" s="54">
        <v>5.9</v>
      </c>
      <c r="AS164" s="57">
        <v>15</v>
      </c>
      <c r="AT164" s="56">
        <v>32</v>
      </c>
      <c r="AU164" s="57">
        <v>120</v>
      </c>
      <c r="AV164" s="56">
        <v>95.068359380000004</v>
      </c>
      <c r="AW164" s="57">
        <v>227.05680853525797</v>
      </c>
      <c r="AX164" s="8"/>
      <c r="AZ164" s="1">
        <v>90</v>
      </c>
      <c r="BB164" s="82">
        <f t="shared" si="16"/>
        <v>33.591999999999999</v>
      </c>
    </row>
    <row r="165" spans="3:54" ht="15" customHeight="1" x14ac:dyDescent="0.25">
      <c r="C165" s="42"/>
      <c r="D165" s="43">
        <f>D160</f>
        <v>45760</v>
      </c>
      <c r="E165" s="44">
        <f t="shared" si="19"/>
        <v>12.666666666666687</v>
      </c>
      <c r="F165" s="45">
        <f t="shared" si="17"/>
        <v>45760.666666667028</v>
      </c>
      <c r="G165" s="52">
        <v>37</v>
      </c>
      <c r="H165" s="53">
        <v>39</v>
      </c>
      <c r="I165" s="54">
        <v>11.5</v>
      </c>
      <c r="J165" s="54">
        <v>500</v>
      </c>
      <c r="K165" s="55">
        <v>6</v>
      </c>
      <c r="L165" s="56">
        <v>39</v>
      </c>
      <c r="M165" s="54">
        <v>10.8</v>
      </c>
      <c r="N165" s="54">
        <v>850</v>
      </c>
      <c r="O165" s="57">
        <v>6.2</v>
      </c>
      <c r="P165" s="53">
        <v>36</v>
      </c>
      <c r="Q165" s="54">
        <v>10.6</v>
      </c>
      <c r="R165" s="55">
        <v>0</v>
      </c>
      <c r="S165" s="55">
        <v>5.4</v>
      </c>
      <c r="T165" s="57">
        <v>2.5</v>
      </c>
      <c r="U165" s="56">
        <v>37</v>
      </c>
      <c r="V165" s="54">
        <v>10.6</v>
      </c>
      <c r="W165" s="55">
        <v>0</v>
      </c>
      <c r="X165" s="55">
        <v>6.8</v>
      </c>
      <c r="Y165" s="57">
        <v>12.5</v>
      </c>
      <c r="Z165" s="53">
        <v>36</v>
      </c>
      <c r="AA165" s="54">
        <v>10.5</v>
      </c>
      <c r="AB165" s="55">
        <v>0</v>
      </c>
      <c r="AC165" s="55">
        <v>5.7</v>
      </c>
      <c r="AD165" s="57">
        <v>11.25</v>
      </c>
      <c r="AE165" s="56">
        <v>35</v>
      </c>
      <c r="AF165" s="54">
        <v>10.5</v>
      </c>
      <c r="AG165" s="55">
        <v>0</v>
      </c>
      <c r="AH165" s="55">
        <v>6</v>
      </c>
      <c r="AI165" s="57">
        <v>11.25</v>
      </c>
      <c r="AJ165" s="56">
        <v>36</v>
      </c>
      <c r="AK165" s="54">
        <v>10.5</v>
      </c>
      <c r="AL165" s="54">
        <v>0</v>
      </c>
      <c r="AM165" s="54">
        <v>5.9</v>
      </c>
      <c r="AN165" s="57">
        <v>12.5</v>
      </c>
      <c r="AO165" s="53">
        <v>36</v>
      </c>
      <c r="AP165" s="54">
        <v>10.5</v>
      </c>
      <c r="AQ165" s="54">
        <v>160</v>
      </c>
      <c r="AR165" s="54">
        <v>6.2</v>
      </c>
      <c r="AS165" s="57">
        <v>18.75</v>
      </c>
      <c r="AT165" s="56">
        <v>30</v>
      </c>
      <c r="AU165" s="57">
        <v>120</v>
      </c>
      <c r="AV165" s="56">
        <v>95.056152339999997</v>
      </c>
      <c r="AW165" s="57">
        <v>228.6768190383911</v>
      </c>
      <c r="AX165" s="8"/>
      <c r="AZ165" s="1">
        <v>90</v>
      </c>
      <c r="BB165" s="82">
        <f t="shared" si="16"/>
        <v>30.387499999999999</v>
      </c>
    </row>
    <row r="166" spans="3:54" ht="15" customHeight="1" x14ac:dyDescent="0.25">
      <c r="C166" s="42"/>
      <c r="D166" s="43">
        <f>D160</f>
        <v>45760</v>
      </c>
      <c r="E166" s="44">
        <f t="shared" si="19"/>
        <v>12.750000000000021</v>
      </c>
      <c r="F166" s="45">
        <f t="shared" si="17"/>
        <v>45760.750000000364</v>
      </c>
      <c r="G166" s="52">
        <v>43</v>
      </c>
      <c r="H166" s="53">
        <v>43</v>
      </c>
      <c r="I166" s="54">
        <v>11.1</v>
      </c>
      <c r="J166" s="54">
        <v>400</v>
      </c>
      <c r="K166" s="55">
        <v>5.9</v>
      </c>
      <c r="L166" s="56">
        <v>40</v>
      </c>
      <c r="M166" s="54">
        <v>11.2</v>
      </c>
      <c r="N166" s="54">
        <v>650</v>
      </c>
      <c r="O166" s="57">
        <v>6.4</v>
      </c>
      <c r="P166" s="53">
        <v>39</v>
      </c>
      <c r="Q166" s="54">
        <v>10.8</v>
      </c>
      <c r="R166" s="55">
        <v>0</v>
      </c>
      <c r="S166" s="55">
        <v>5.7</v>
      </c>
      <c r="T166" s="57">
        <v>0</v>
      </c>
      <c r="U166" s="56">
        <v>38</v>
      </c>
      <c r="V166" s="54">
        <v>10.8</v>
      </c>
      <c r="W166" s="55">
        <v>0</v>
      </c>
      <c r="X166" s="55">
        <v>5.2</v>
      </c>
      <c r="Y166" s="57">
        <v>12.5</v>
      </c>
      <c r="Z166" s="53">
        <v>37</v>
      </c>
      <c r="AA166" s="54">
        <v>10.5</v>
      </c>
      <c r="AB166" s="55">
        <v>0</v>
      </c>
      <c r="AC166" s="55">
        <v>5.4</v>
      </c>
      <c r="AD166" s="57">
        <v>11.25</v>
      </c>
      <c r="AE166" s="56">
        <v>37</v>
      </c>
      <c r="AF166" s="54">
        <v>10.5</v>
      </c>
      <c r="AG166" s="55">
        <v>0</v>
      </c>
      <c r="AH166" s="55">
        <v>6.1</v>
      </c>
      <c r="AI166" s="57">
        <v>11.25</v>
      </c>
      <c r="AJ166" s="56">
        <v>36</v>
      </c>
      <c r="AK166" s="54">
        <v>10.5</v>
      </c>
      <c r="AL166" s="54">
        <v>0</v>
      </c>
      <c r="AM166" s="54">
        <v>5.7</v>
      </c>
      <c r="AN166" s="57">
        <v>12.5</v>
      </c>
      <c r="AO166" s="53">
        <v>36</v>
      </c>
      <c r="AP166" s="54">
        <v>10.4</v>
      </c>
      <c r="AQ166" s="54">
        <v>170</v>
      </c>
      <c r="AR166" s="54">
        <v>6</v>
      </c>
      <c r="AS166" s="57">
        <v>18.75</v>
      </c>
      <c r="AT166" s="56">
        <v>29</v>
      </c>
      <c r="AU166" s="57">
        <v>140</v>
      </c>
      <c r="AV166" s="56">
        <v>95.056152339999997</v>
      </c>
      <c r="AW166" s="57">
        <v>228.85416768391931</v>
      </c>
      <c r="AX166" s="8"/>
      <c r="AZ166" s="1">
        <v>90</v>
      </c>
      <c r="BB166" s="82">
        <f t="shared" si="16"/>
        <v>29.282499999999999</v>
      </c>
    </row>
    <row r="167" spans="3:54" ht="15" customHeight="1" x14ac:dyDescent="0.25">
      <c r="C167" s="42"/>
      <c r="D167" s="43">
        <f>D160</f>
        <v>45760</v>
      </c>
      <c r="E167" s="44">
        <f t="shared" si="19"/>
        <v>12.833333333333355</v>
      </c>
      <c r="F167" s="45">
        <f t="shared" si="17"/>
        <v>45760.8333333337</v>
      </c>
      <c r="G167" s="52">
        <v>39</v>
      </c>
      <c r="H167" s="53">
        <v>39</v>
      </c>
      <c r="I167" s="54">
        <v>11.2</v>
      </c>
      <c r="J167" s="54">
        <v>500</v>
      </c>
      <c r="K167" s="55">
        <v>6.1</v>
      </c>
      <c r="L167" s="56">
        <v>39</v>
      </c>
      <c r="M167" s="54">
        <v>11.2</v>
      </c>
      <c r="N167" s="54">
        <v>550</v>
      </c>
      <c r="O167" s="57">
        <v>6.9</v>
      </c>
      <c r="P167" s="53">
        <v>36</v>
      </c>
      <c r="Q167" s="54">
        <v>11</v>
      </c>
      <c r="R167" s="55">
        <v>0</v>
      </c>
      <c r="S167" s="55">
        <v>5.9</v>
      </c>
      <c r="T167" s="57">
        <v>4.5</v>
      </c>
      <c r="U167" s="56">
        <v>36</v>
      </c>
      <c r="V167" s="54">
        <v>10.8</v>
      </c>
      <c r="W167" s="55">
        <v>0</v>
      </c>
      <c r="X167" s="55">
        <v>5.6</v>
      </c>
      <c r="Y167" s="57">
        <v>13.75</v>
      </c>
      <c r="Z167" s="53">
        <v>36</v>
      </c>
      <c r="AA167" s="54">
        <v>10.6</v>
      </c>
      <c r="AB167" s="55">
        <v>0</v>
      </c>
      <c r="AC167" s="55">
        <v>6</v>
      </c>
      <c r="AD167" s="57">
        <v>13</v>
      </c>
      <c r="AE167" s="56">
        <v>37</v>
      </c>
      <c r="AF167" s="54">
        <v>10.4</v>
      </c>
      <c r="AG167" s="55">
        <v>0</v>
      </c>
      <c r="AH167" s="55">
        <v>5.8</v>
      </c>
      <c r="AI167" s="57">
        <v>12.5</v>
      </c>
      <c r="AJ167" s="56">
        <v>36</v>
      </c>
      <c r="AK167" s="54">
        <v>10.4</v>
      </c>
      <c r="AL167" s="54">
        <v>0</v>
      </c>
      <c r="AM167" s="54">
        <v>6.5</v>
      </c>
      <c r="AN167" s="57">
        <v>14.5</v>
      </c>
      <c r="AO167" s="53">
        <v>36</v>
      </c>
      <c r="AP167" s="54">
        <v>10.3</v>
      </c>
      <c r="AQ167" s="54">
        <v>0</v>
      </c>
      <c r="AR167" s="54">
        <v>5.8</v>
      </c>
      <c r="AS167" s="57">
        <v>21.25</v>
      </c>
      <c r="AT167" s="56">
        <v>3</v>
      </c>
      <c r="AU167" s="57">
        <v>140</v>
      </c>
      <c r="AV167" s="56">
        <v>95.096839900000006</v>
      </c>
      <c r="AW167" s="57">
        <v>234.34618479410807</v>
      </c>
      <c r="AX167" s="8"/>
      <c r="AZ167" s="1">
        <v>90</v>
      </c>
      <c r="BB167" s="82">
        <f t="shared" si="16"/>
        <v>35.139000000000003</v>
      </c>
    </row>
    <row r="168" spans="3:54" ht="15" customHeight="1" x14ac:dyDescent="0.25">
      <c r="C168" s="42"/>
      <c r="D168" s="43">
        <f>D160</f>
        <v>45760</v>
      </c>
      <c r="E168" s="44">
        <f t="shared" si="19"/>
        <v>12.916666666666689</v>
      </c>
      <c r="F168" s="45">
        <f t="shared" si="17"/>
        <v>45760.916666667035</v>
      </c>
      <c r="G168" s="52">
        <v>39</v>
      </c>
      <c r="H168" s="53">
        <v>37</v>
      </c>
      <c r="I168" s="54">
        <v>10.5</v>
      </c>
      <c r="J168" s="54">
        <v>500</v>
      </c>
      <c r="K168" s="55">
        <v>6.3</v>
      </c>
      <c r="L168" s="56">
        <v>38</v>
      </c>
      <c r="M168" s="54">
        <v>11.1</v>
      </c>
      <c r="N168" s="54">
        <v>500</v>
      </c>
      <c r="O168" s="57">
        <v>6</v>
      </c>
      <c r="P168" s="53">
        <v>37</v>
      </c>
      <c r="Q168" s="54">
        <v>10.9</v>
      </c>
      <c r="R168" s="55">
        <v>0</v>
      </c>
      <c r="S168" s="55">
        <v>6.1</v>
      </c>
      <c r="T168" s="57">
        <v>6.25</v>
      </c>
      <c r="U168" s="56">
        <v>38</v>
      </c>
      <c r="V168" s="54">
        <v>10.8</v>
      </c>
      <c r="W168" s="55">
        <v>0</v>
      </c>
      <c r="X168" s="55">
        <v>5.7</v>
      </c>
      <c r="Y168" s="57">
        <v>12.5</v>
      </c>
      <c r="Z168" s="53">
        <v>37</v>
      </c>
      <c r="AA168" s="54">
        <v>10.7</v>
      </c>
      <c r="AB168" s="55">
        <v>0</v>
      </c>
      <c r="AC168" s="55">
        <v>6.1</v>
      </c>
      <c r="AD168" s="57">
        <v>7.5</v>
      </c>
      <c r="AE168" s="56">
        <v>37</v>
      </c>
      <c r="AF168" s="54">
        <v>10.4</v>
      </c>
      <c r="AG168" s="55">
        <v>0</v>
      </c>
      <c r="AH168" s="55">
        <v>5.9</v>
      </c>
      <c r="AI168" s="57">
        <v>12.5</v>
      </c>
      <c r="AJ168" s="56">
        <v>36</v>
      </c>
      <c r="AK168" s="54">
        <v>10.5</v>
      </c>
      <c r="AL168" s="54">
        <v>0</v>
      </c>
      <c r="AM168" s="54">
        <v>6.3</v>
      </c>
      <c r="AN168" s="57">
        <v>13.75</v>
      </c>
      <c r="AO168" s="53">
        <v>35</v>
      </c>
      <c r="AP168" s="54">
        <v>10.3</v>
      </c>
      <c r="AQ168" s="54">
        <v>0</v>
      </c>
      <c r="AR168" s="54">
        <v>5.9</v>
      </c>
      <c r="AS168" s="57">
        <v>23.75</v>
      </c>
      <c r="AT168" s="56">
        <v>30</v>
      </c>
      <c r="AU168" s="57">
        <v>140</v>
      </c>
      <c r="AV168" s="56">
        <v>94.978836060000006</v>
      </c>
      <c r="AW168" s="57">
        <v>233.70141201019288</v>
      </c>
      <c r="AX168" s="8"/>
      <c r="AZ168" s="1">
        <v>90</v>
      </c>
      <c r="BB168" s="82">
        <f t="shared" si="16"/>
        <v>33.702500000000001</v>
      </c>
    </row>
    <row r="169" spans="3:54" ht="15" customHeight="1" x14ac:dyDescent="0.25">
      <c r="C169" s="42"/>
      <c r="D169" s="43">
        <f>D160</f>
        <v>45760</v>
      </c>
      <c r="E169" s="44">
        <f t="shared" si="19"/>
        <v>13.000000000000023</v>
      </c>
      <c r="F169" s="45">
        <f t="shared" si="17"/>
        <v>45761.000000000371</v>
      </c>
      <c r="G169" s="52">
        <v>41</v>
      </c>
      <c r="H169" s="53">
        <v>36</v>
      </c>
      <c r="I169" s="54">
        <v>10.8</v>
      </c>
      <c r="J169" s="54">
        <v>500</v>
      </c>
      <c r="K169" s="55">
        <v>6.2</v>
      </c>
      <c r="L169" s="56">
        <v>36</v>
      </c>
      <c r="M169" s="54">
        <v>10.8</v>
      </c>
      <c r="N169" s="54">
        <v>500</v>
      </c>
      <c r="O169" s="57">
        <v>6.7</v>
      </c>
      <c r="P169" s="53">
        <v>37</v>
      </c>
      <c r="Q169" s="54">
        <v>10.8</v>
      </c>
      <c r="R169" s="55">
        <v>0</v>
      </c>
      <c r="S169" s="55">
        <v>6.3</v>
      </c>
      <c r="T169" s="57">
        <v>8.75</v>
      </c>
      <c r="U169" s="56">
        <v>37</v>
      </c>
      <c r="V169" s="54">
        <v>10.8</v>
      </c>
      <c r="W169" s="55">
        <v>0</v>
      </c>
      <c r="X169" s="55">
        <v>5.9</v>
      </c>
      <c r="Y169" s="57">
        <v>12.5</v>
      </c>
      <c r="Z169" s="53">
        <v>37</v>
      </c>
      <c r="AA169" s="54">
        <v>10.7</v>
      </c>
      <c r="AB169" s="55">
        <v>0</v>
      </c>
      <c r="AC169" s="55">
        <v>6.2</v>
      </c>
      <c r="AD169" s="57">
        <v>7.5</v>
      </c>
      <c r="AE169" s="56">
        <v>36</v>
      </c>
      <c r="AF169" s="54">
        <v>10.4</v>
      </c>
      <c r="AG169" s="55">
        <v>0</v>
      </c>
      <c r="AH169" s="55">
        <v>5.8</v>
      </c>
      <c r="AI169" s="57">
        <v>12.25</v>
      </c>
      <c r="AJ169" s="56">
        <v>36</v>
      </c>
      <c r="AK169" s="54">
        <v>10.5</v>
      </c>
      <c r="AL169" s="54">
        <v>0</v>
      </c>
      <c r="AM169" s="54">
        <v>6.4</v>
      </c>
      <c r="AN169" s="57">
        <v>22.5</v>
      </c>
      <c r="AO169" s="53">
        <v>35</v>
      </c>
      <c r="AP169" s="54">
        <v>10.3</v>
      </c>
      <c r="AQ169" s="54">
        <v>0</v>
      </c>
      <c r="AR169" s="54">
        <v>5.9</v>
      </c>
      <c r="AS169" s="57">
        <v>17</v>
      </c>
      <c r="AT169" s="56">
        <v>30</v>
      </c>
      <c r="AU169" s="57">
        <v>130</v>
      </c>
      <c r="AV169" s="56">
        <v>94.962562559999995</v>
      </c>
      <c r="AW169" s="57">
        <v>230.91543598175051</v>
      </c>
      <c r="AX169" s="8"/>
      <c r="AZ169" s="1">
        <v>90</v>
      </c>
      <c r="BB169" s="82">
        <f t="shared" si="16"/>
        <v>35.581000000000003</v>
      </c>
    </row>
    <row r="170" spans="3:54" ht="15" customHeight="1" x14ac:dyDescent="0.25">
      <c r="C170" s="42"/>
      <c r="D170" s="43">
        <f>D160</f>
        <v>45760</v>
      </c>
      <c r="E170" s="44">
        <f t="shared" si="19"/>
        <v>13.083333333333357</v>
      </c>
      <c r="F170" s="45">
        <f t="shared" si="17"/>
        <v>45761.083333333707</v>
      </c>
      <c r="G170" s="52">
        <v>40</v>
      </c>
      <c r="H170" s="53">
        <v>36</v>
      </c>
      <c r="I170" s="54">
        <v>10.8</v>
      </c>
      <c r="J170" s="54">
        <v>500</v>
      </c>
      <c r="K170" s="55">
        <v>6.3</v>
      </c>
      <c r="L170" s="56">
        <v>35</v>
      </c>
      <c r="M170" s="54">
        <v>10.7</v>
      </c>
      <c r="N170" s="54">
        <v>500</v>
      </c>
      <c r="O170" s="57">
        <v>6</v>
      </c>
      <c r="P170" s="53">
        <v>37</v>
      </c>
      <c r="Q170" s="54">
        <v>10.9</v>
      </c>
      <c r="R170" s="55">
        <v>0</v>
      </c>
      <c r="S170" s="55">
        <v>6.1</v>
      </c>
      <c r="T170" s="57">
        <v>12.5</v>
      </c>
      <c r="U170" s="56">
        <v>38</v>
      </c>
      <c r="V170" s="54">
        <v>10.8</v>
      </c>
      <c r="W170" s="55">
        <v>0</v>
      </c>
      <c r="X170" s="55">
        <v>5.7</v>
      </c>
      <c r="Y170" s="57">
        <v>10</v>
      </c>
      <c r="Z170" s="53">
        <v>37</v>
      </c>
      <c r="AA170" s="54">
        <v>10.7</v>
      </c>
      <c r="AB170" s="55">
        <v>0</v>
      </c>
      <c r="AC170" s="55">
        <v>6.1</v>
      </c>
      <c r="AD170" s="57">
        <v>8.75</v>
      </c>
      <c r="AE170" s="56">
        <v>35</v>
      </c>
      <c r="AF170" s="54">
        <v>10.199999999999999</v>
      </c>
      <c r="AG170" s="55">
        <v>0</v>
      </c>
      <c r="AH170" s="55">
        <v>5.9</v>
      </c>
      <c r="AI170" s="57">
        <v>18.75</v>
      </c>
      <c r="AJ170" s="56">
        <v>35</v>
      </c>
      <c r="AK170" s="54">
        <v>10.5</v>
      </c>
      <c r="AL170" s="54">
        <v>0</v>
      </c>
      <c r="AM170" s="54">
        <v>6.3</v>
      </c>
      <c r="AN170" s="57">
        <v>13.75</v>
      </c>
      <c r="AO170" s="53">
        <v>35</v>
      </c>
      <c r="AP170" s="54">
        <v>10.5</v>
      </c>
      <c r="AQ170" s="54">
        <v>0</v>
      </c>
      <c r="AR170" s="54">
        <v>5.8</v>
      </c>
      <c r="AS170" s="57">
        <v>16.25</v>
      </c>
      <c r="AT170" s="56">
        <v>30</v>
      </c>
      <c r="AU170" s="57">
        <v>140</v>
      </c>
      <c r="AV170" s="56">
        <v>94.991043090000005</v>
      </c>
      <c r="AW170" s="57">
        <v>232.57281977335614</v>
      </c>
      <c r="AX170" s="8"/>
      <c r="AZ170" s="1">
        <v>90</v>
      </c>
      <c r="BB170" s="82">
        <f t="shared" si="16"/>
        <v>35.36</v>
      </c>
    </row>
    <row r="171" spans="3:54" ht="15" customHeight="1" x14ac:dyDescent="0.25">
      <c r="C171" s="42"/>
      <c r="D171" s="69">
        <f>D160</f>
        <v>45760</v>
      </c>
      <c r="E171" s="70">
        <f t="shared" si="19"/>
        <v>13.166666666666691</v>
      </c>
      <c r="F171" s="71">
        <f t="shared" si="17"/>
        <v>45761.166666667043</v>
      </c>
      <c r="G171" s="60">
        <v>42</v>
      </c>
      <c r="H171" s="61">
        <v>36</v>
      </c>
      <c r="I171" s="62">
        <v>10.7</v>
      </c>
      <c r="J171" s="62">
        <v>500</v>
      </c>
      <c r="K171" s="63">
        <v>6.3</v>
      </c>
      <c r="L171" s="64">
        <v>36</v>
      </c>
      <c r="M171" s="62">
        <v>10.6</v>
      </c>
      <c r="N171" s="62">
        <v>500</v>
      </c>
      <c r="O171" s="65">
        <v>6.7</v>
      </c>
      <c r="P171" s="61">
        <v>37</v>
      </c>
      <c r="Q171" s="62">
        <v>10.8</v>
      </c>
      <c r="R171" s="63">
        <v>0</v>
      </c>
      <c r="S171" s="63">
        <v>5.9</v>
      </c>
      <c r="T171" s="65">
        <v>15</v>
      </c>
      <c r="U171" s="64">
        <v>38</v>
      </c>
      <c r="V171" s="62">
        <v>10.8</v>
      </c>
      <c r="W171" s="63">
        <v>0</v>
      </c>
      <c r="X171" s="63">
        <v>6.2</v>
      </c>
      <c r="Y171" s="65">
        <v>12.5</v>
      </c>
      <c r="Z171" s="61">
        <v>37</v>
      </c>
      <c r="AA171" s="62">
        <v>10.7</v>
      </c>
      <c r="AB171" s="63">
        <v>0</v>
      </c>
      <c r="AC171" s="63">
        <v>5.9</v>
      </c>
      <c r="AD171" s="65">
        <v>10</v>
      </c>
      <c r="AE171" s="64">
        <v>36</v>
      </c>
      <c r="AF171" s="62">
        <v>10.199999999999999</v>
      </c>
      <c r="AG171" s="63">
        <v>0</v>
      </c>
      <c r="AH171" s="63">
        <v>6.2</v>
      </c>
      <c r="AI171" s="65">
        <v>14.5</v>
      </c>
      <c r="AJ171" s="64">
        <v>35</v>
      </c>
      <c r="AK171" s="62">
        <v>10.5</v>
      </c>
      <c r="AL171" s="62">
        <v>0</v>
      </c>
      <c r="AM171" s="62">
        <v>6.5</v>
      </c>
      <c r="AN171" s="65">
        <v>13.75</v>
      </c>
      <c r="AO171" s="61">
        <v>35</v>
      </c>
      <c r="AP171" s="62">
        <v>10.5</v>
      </c>
      <c r="AQ171" s="62">
        <v>0</v>
      </c>
      <c r="AR171" s="62">
        <v>5.9</v>
      </c>
      <c r="AS171" s="65">
        <v>16.5</v>
      </c>
      <c r="AT171" s="64">
        <v>30</v>
      </c>
      <c r="AU171" s="65">
        <v>140</v>
      </c>
      <c r="AV171" s="64">
        <v>95.023597719999998</v>
      </c>
      <c r="AW171" s="65">
        <v>229.79733435312906</v>
      </c>
      <c r="AX171" s="8"/>
      <c r="AZ171" s="1">
        <v>90</v>
      </c>
      <c r="BB171" s="82">
        <f t="shared" si="16"/>
        <v>36.354500000000002</v>
      </c>
    </row>
    <row r="172" spans="3:54" ht="15" customHeight="1" x14ac:dyDescent="0.25">
      <c r="C172" s="42">
        <f>C160+1</f>
        <v>14</v>
      </c>
      <c r="D172" s="66">
        <f>DATE([4]Dash!$F$3,VLOOKUP([4]Dash!$E$3,[4]Abb!$C$3:$D$14,2,FALSE),C172)</f>
        <v>45761</v>
      </c>
      <c r="E172" s="67">
        <f>E171+2/24</f>
        <v>13.250000000000025</v>
      </c>
      <c r="F172" s="68">
        <f t="shared" si="17"/>
        <v>45761.250000000378</v>
      </c>
      <c r="G172" s="46">
        <v>44</v>
      </c>
      <c r="H172" s="47">
        <v>37</v>
      </c>
      <c r="I172" s="48">
        <v>10.7</v>
      </c>
      <c r="J172" s="48">
        <v>550</v>
      </c>
      <c r="K172" s="49">
        <v>6.2</v>
      </c>
      <c r="L172" s="50">
        <v>36</v>
      </c>
      <c r="M172" s="48">
        <v>10.6</v>
      </c>
      <c r="N172" s="48">
        <v>500</v>
      </c>
      <c r="O172" s="51">
        <v>6.3</v>
      </c>
      <c r="P172" s="47">
        <v>37</v>
      </c>
      <c r="Q172" s="48">
        <v>10.8</v>
      </c>
      <c r="R172" s="49">
        <v>0</v>
      </c>
      <c r="S172" s="49">
        <v>6.2</v>
      </c>
      <c r="T172" s="51">
        <v>15</v>
      </c>
      <c r="U172" s="50">
        <v>38</v>
      </c>
      <c r="V172" s="48">
        <v>10.8</v>
      </c>
      <c r="W172" s="49">
        <v>0</v>
      </c>
      <c r="X172" s="49">
        <v>5.9</v>
      </c>
      <c r="Y172" s="51">
        <v>13</v>
      </c>
      <c r="Z172" s="47">
        <v>37</v>
      </c>
      <c r="AA172" s="48">
        <v>10.7</v>
      </c>
      <c r="AB172" s="49">
        <v>0</v>
      </c>
      <c r="AC172" s="49">
        <v>6.2</v>
      </c>
      <c r="AD172" s="51">
        <v>10.5</v>
      </c>
      <c r="AE172" s="50">
        <v>36</v>
      </c>
      <c r="AF172" s="48">
        <v>10.199999999999999</v>
      </c>
      <c r="AG172" s="49">
        <v>0</v>
      </c>
      <c r="AH172" s="49">
        <v>6.4</v>
      </c>
      <c r="AI172" s="51">
        <v>15</v>
      </c>
      <c r="AJ172" s="50">
        <v>35</v>
      </c>
      <c r="AK172" s="48">
        <v>10.5</v>
      </c>
      <c r="AL172" s="48">
        <v>0</v>
      </c>
      <c r="AM172" s="48">
        <v>6.3</v>
      </c>
      <c r="AN172" s="51">
        <v>15</v>
      </c>
      <c r="AO172" s="47">
        <v>34</v>
      </c>
      <c r="AP172" s="48">
        <v>10.5</v>
      </c>
      <c r="AQ172" s="48">
        <v>0</v>
      </c>
      <c r="AR172" s="48">
        <v>6</v>
      </c>
      <c r="AS172" s="51">
        <v>15.5</v>
      </c>
      <c r="AT172" s="50">
        <v>30</v>
      </c>
      <c r="AU172" s="51">
        <v>130</v>
      </c>
      <c r="AV172" s="50">
        <v>94.974769589999994</v>
      </c>
      <c r="AW172" s="51">
        <v>228.84271138509115</v>
      </c>
      <c r="AX172" s="8"/>
      <c r="AZ172" s="1">
        <v>90</v>
      </c>
      <c r="BB172" s="82">
        <f t="shared" si="16"/>
        <v>37.128</v>
      </c>
    </row>
    <row r="173" spans="3:54" ht="15" customHeight="1" x14ac:dyDescent="0.25">
      <c r="C173" s="42"/>
      <c r="D173" s="43">
        <f>D172</f>
        <v>45761</v>
      </c>
      <c r="E173" s="44">
        <f>E172+2/24</f>
        <v>13.333333333333359</v>
      </c>
      <c r="F173" s="45">
        <f t="shared" si="17"/>
        <v>45761.333333333714</v>
      </c>
      <c r="G173" s="52">
        <v>3.9</v>
      </c>
      <c r="H173" s="53">
        <v>36</v>
      </c>
      <c r="I173" s="54">
        <v>11.1</v>
      </c>
      <c r="J173" s="54">
        <v>600</v>
      </c>
      <c r="K173" s="55">
        <v>5.7</v>
      </c>
      <c r="L173" s="56">
        <v>37</v>
      </c>
      <c r="M173" s="54">
        <v>10.6</v>
      </c>
      <c r="N173" s="54">
        <v>550</v>
      </c>
      <c r="O173" s="57">
        <v>5.6</v>
      </c>
      <c r="P173" s="53">
        <v>38</v>
      </c>
      <c r="Q173" s="54">
        <v>10.6</v>
      </c>
      <c r="R173" s="55">
        <v>0</v>
      </c>
      <c r="S173" s="55">
        <v>5.4</v>
      </c>
      <c r="T173" s="57">
        <v>13.25</v>
      </c>
      <c r="U173" s="56">
        <v>36</v>
      </c>
      <c r="V173" s="54">
        <v>10.5</v>
      </c>
      <c r="W173" s="55">
        <v>0</v>
      </c>
      <c r="X173" s="55">
        <v>5.2</v>
      </c>
      <c r="Y173" s="57">
        <v>12.5</v>
      </c>
      <c r="Z173" s="53">
        <v>36</v>
      </c>
      <c r="AA173" s="54">
        <v>10.7</v>
      </c>
      <c r="AB173" s="55">
        <v>0</v>
      </c>
      <c r="AC173" s="55">
        <v>5.0999999999999996</v>
      </c>
      <c r="AD173" s="57">
        <v>9.25</v>
      </c>
      <c r="AE173" s="56">
        <v>37</v>
      </c>
      <c r="AF173" s="54">
        <v>10.5</v>
      </c>
      <c r="AG173" s="55">
        <v>0</v>
      </c>
      <c r="AH173" s="55">
        <v>5</v>
      </c>
      <c r="AI173" s="57">
        <v>13.75</v>
      </c>
      <c r="AJ173" s="56">
        <v>35</v>
      </c>
      <c r="AK173" s="54">
        <v>10.5</v>
      </c>
      <c r="AL173" s="54">
        <v>0</v>
      </c>
      <c r="AM173" s="54">
        <v>5.3</v>
      </c>
      <c r="AN173" s="57">
        <v>12.5</v>
      </c>
      <c r="AO173" s="53">
        <v>35</v>
      </c>
      <c r="AP173" s="54">
        <v>10.6</v>
      </c>
      <c r="AQ173" s="54">
        <v>220</v>
      </c>
      <c r="AR173" s="54">
        <v>5.2</v>
      </c>
      <c r="AS173" s="57">
        <v>13.25</v>
      </c>
      <c r="AT173" s="56">
        <v>29</v>
      </c>
      <c r="AU173" s="57">
        <v>180</v>
      </c>
      <c r="AV173" s="56">
        <v>94.946289059999998</v>
      </c>
      <c r="AW173" s="57">
        <v>230.47562306833333</v>
      </c>
      <c r="AX173" s="8"/>
      <c r="AZ173" s="1">
        <v>90</v>
      </c>
      <c r="BB173" s="82">
        <f t="shared" si="16"/>
        <v>32.929000000000002</v>
      </c>
    </row>
    <row r="174" spans="3:54" ht="15" customHeight="1" x14ac:dyDescent="0.25">
      <c r="C174" s="42"/>
      <c r="D174" s="43">
        <f>D172</f>
        <v>45761</v>
      </c>
      <c r="E174" s="44">
        <f t="shared" ref="E174:E183" si="20">E173+2/24</f>
        <v>13.416666666666693</v>
      </c>
      <c r="F174" s="45">
        <f t="shared" si="17"/>
        <v>45761.41666666705</v>
      </c>
      <c r="G174" s="52">
        <v>4</v>
      </c>
      <c r="H174" s="53">
        <v>38</v>
      </c>
      <c r="I174" s="54">
        <v>11.3</v>
      </c>
      <c r="J174" s="54">
        <v>600</v>
      </c>
      <c r="K174" s="55">
        <v>5.9</v>
      </c>
      <c r="L174" s="56">
        <v>38</v>
      </c>
      <c r="M174" s="54">
        <v>10.8</v>
      </c>
      <c r="N174" s="54">
        <v>500</v>
      </c>
      <c r="O174" s="57">
        <v>5.6</v>
      </c>
      <c r="P174" s="53">
        <v>37</v>
      </c>
      <c r="Q174" s="54">
        <v>10.5</v>
      </c>
      <c r="R174" s="55">
        <v>0</v>
      </c>
      <c r="S174" s="55">
        <v>5.4</v>
      </c>
      <c r="T174" s="57">
        <v>15</v>
      </c>
      <c r="U174" s="56">
        <v>36</v>
      </c>
      <c r="V174" s="54">
        <v>10.5</v>
      </c>
      <c r="W174" s="55">
        <v>0</v>
      </c>
      <c r="X174" s="55">
        <v>5</v>
      </c>
      <c r="Y174" s="57">
        <v>10</v>
      </c>
      <c r="Z174" s="53">
        <v>36</v>
      </c>
      <c r="AA174" s="54">
        <v>10.6</v>
      </c>
      <c r="AB174" s="55">
        <v>0</v>
      </c>
      <c r="AC174" s="55">
        <v>5.3</v>
      </c>
      <c r="AD174" s="57">
        <v>8.25</v>
      </c>
      <c r="AE174" s="56">
        <v>36</v>
      </c>
      <c r="AF174" s="54">
        <v>10.5</v>
      </c>
      <c r="AG174" s="55">
        <v>0</v>
      </c>
      <c r="AH174" s="55">
        <v>5.6</v>
      </c>
      <c r="AI174" s="57">
        <v>14</v>
      </c>
      <c r="AJ174" s="56">
        <v>36</v>
      </c>
      <c r="AK174" s="54">
        <v>10.5</v>
      </c>
      <c r="AL174" s="54">
        <v>0</v>
      </c>
      <c r="AM174" s="54">
        <v>5.0999999999999996</v>
      </c>
      <c r="AN174" s="57">
        <v>13.75</v>
      </c>
      <c r="AO174" s="53">
        <v>37</v>
      </c>
      <c r="AP174" s="54">
        <v>10.6</v>
      </c>
      <c r="AQ174" s="54">
        <v>220</v>
      </c>
      <c r="AR174" s="54">
        <v>5.4</v>
      </c>
      <c r="AS174" s="57">
        <v>14</v>
      </c>
      <c r="AT174" s="56">
        <v>30</v>
      </c>
      <c r="AU174" s="57">
        <v>110</v>
      </c>
      <c r="AV174" s="56">
        <v>95.088699340000005</v>
      </c>
      <c r="AW174" s="57">
        <v>228.50344835666655</v>
      </c>
      <c r="AX174" s="8"/>
      <c r="AZ174" s="1">
        <v>90</v>
      </c>
      <c r="BB174" s="82">
        <f t="shared" si="16"/>
        <v>33.15</v>
      </c>
    </row>
    <row r="175" spans="3:54" ht="15" customHeight="1" x14ac:dyDescent="0.25">
      <c r="C175" s="42"/>
      <c r="D175" s="43">
        <f>D172</f>
        <v>45761</v>
      </c>
      <c r="E175" s="44">
        <f t="shared" si="20"/>
        <v>13.500000000000027</v>
      </c>
      <c r="F175" s="45">
        <f t="shared" si="17"/>
        <v>45761.500000000386</v>
      </c>
      <c r="G175" s="52">
        <v>3.8</v>
      </c>
      <c r="H175" s="53">
        <v>37</v>
      </c>
      <c r="I175" s="54">
        <v>9.9</v>
      </c>
      <c r="J175" s="54">
        <v>550</v>
      </c>
      <c r="K175" s="55">
        <v>6.1</v>
      </c>
      <c r="L175" s="56">
        <v>38</v>
      </c>
      <c r="M175" s="54">
        <v>10.3</v>
      </c>
      <c r="N175" s="54">
        <v>550</v>
      </c>
      <c r="O175" s="57">
        <v>5.7</v>
      </c>
      <c r="P175" s="53">
        <v>37</v>
      </c>
      <c r="Q175" s="54">
        <v>10.7</v>
      </c>
      <c r="R175" s="55">
        <v>0</v>
      </c>
      <c r="S175" s="55">
        <v>5.7</v>
      </c>
      <c r="T175" s="57">
        <v>18.75</v>
      </c>
      <c r="U175" s="56">
        <v>37</v>
      </c>
      <c r="V175" s="54">
        <v>10.7</v>
      </c>
      <c r="W175" s="55">
        <v>0</v>
      </c>
      <c r="X175" s="55">
        <v>5.5</v>
      </c>
      <c r="Y175" s="57">
        <v>8.75</v>
      </c>
      <c r="Z175" s="53">
        <v>37</v>
      </c>
      <c r="AA175" s="54">
        <v>10.6</v>
      </c>
      <c r="AB175" s="55">
        <v>0</v>
      </c>
      <c r="AC175" s="55">
        <v>5.5</v>
      </c>
      <c r="AD175" s="57">
        <v>6.35</v>
      </c>
      <c r="AE175" s="56">
        <v>36</v>
      </c>
      <c r="AF175" s="54">
        <v>10.6</v>
      </c>
      <c r="AG175" s="55">
        <v>0</v>
      </c>
      <c r="AH175" s="55">
        <v>5.5</v>
      </c>
      <c r="AI175" s="57">
        <v>15</v>
      </c>
      <c r="AJ175" s="56">
        <v>37</v>
      </c>
      <c r="AK175" s="54">
        <v>10.6</v>
      </c>
      <c r="AL175" s="54">
        <v>0</v>
      </c>
      <c r="AM175" s="54">
        <v>5.4</v>
      </c>
      <c r="AN175" s="57">
        <v>15</v>
      </c>
      <c r="AO175" s="53">
        <v>36</v>
      </c>
      <c r="AP175" s="54">
        <v>10.6</v>
      </c>
      <c r="AQ175" s="54">
        <v>230</v>
      </c>
      <c r="AR175" s="54">
        <v>5.6</v>
      </c>
      <c r="AS175" s="57">
        <v>15</v>
      </c>
      <c r="AT175" s="56">
        <v>28</v>
      </c>
      <c r="AU175" s="57">
        <v>190</v>
      </c>
      <c r="AV175" s="56">
        <v>95.166015630000004</v>
      </c>
      <c r="AW175" s="57">
        <v>226.16512324083337</v>
      </c>
      <c r="AX175" s="8"/>
      <c r="AZ175" s="1">
        <v>90</v>
      </c>
      <c r="BB175" s="82">
        <f t="shared" si="16"/>
        <v>34.851699999999994</v>
      </c>
    </row>
    <row r="176" spans="3:54" ht="15" customHeight="1" x14ac:dyDescent="0.25">
      <c r="C176" s="42"/>
      <c r="D176" s="43">
        <f>D172</f>
        <v>45761</v>
      </c>
      <c r="E176" s="44">
        <f t="shared" si="20"/>
        <v>13.583333333333361</v>
      </c>
      <c r="F176" s="45">
        <f t="shared" si="17"/>
        <v>45761.583333333721</v>
      </c>
      <c r="G176" s="52">
        <v>0</v>
      </c>
      <c r="H176" s="53">
        <v>38</v>
      </c>
      <c r="I176" s="54">
        <v>10.1</v>
      </c>
      <c r="J176" s="54">
        <v>600</v>
      </c>
      <c r="K176" s="55">
        <v>5.8</v>
      </c>
      <c r="L176" s="56">
        <v>38</v>
      </c>
      <c r="M176" s="54">
        <v>10.3</v>
      </c>
      <c r="N176" s="54">
        <v>550</v>
      </c>
      <c r="O176" s="57">
        <v>5.5</v>
      </c>
      <c r="P176" s="53">
        <v>36</v>
      </c>
      <c r="Q176" s="54">
        <v>10.7</v>
      </c>
      <c r="R176" s="55">
        <v>0</v>
      </c>
      <c r="S176" s="55">
        <v>5.7</v>
      </c>
      <c r="T176" s="57">
        <v>19</v>
      </c>
      <c r="U176" s="56">
        <v>37</v>
      </c>
      <c r="V176" s="54">
        <v>10.7</v>
      </c>
      <c r="W176" s="55">
        <v>0</v>
      </c>
      <c r="X176" s="55">
        <v>5.8</v>
      </c>
      <c r="Y176" s="57">
        <v>19</v>
      </c>
      <c r="Z176" s="53">
        <v>37</v>
      </c>
      <c r="AA176" s="54">
        <v>10.6</v>
      </c>
      <c r="AB176" s="55">
        <v>0</v>
      </c>
      <c r="AC176" s="55">
        <v>5.4</v>
      </c>
      <c r="AD176" s="57">
        <v>8.75</v>
      </c>
      <c r="AE176" s="56">
        <v>36</v>
      </c>
      <c r="AF176" s="54">
        <v>10.6</v>
      </c>
      <c r="AG176" s="55">
        <v>0</v>
      </c>
      <c r="AH176" s="55">
        <v>5.2</v>
      </c>
      <c r="AI176" s="57">
        <v>13.75</v>
      </c>
      <c r="AJ176" s="56">
        <v>35</v>
      </c>
      <c r="AK176" s="54">
        <v>10.5</v>
      </c>
      <c r="AL176" s="54">
        <v>0</v>
      </c>
      <c r="AM176" s="54">
        <v>5.7</v>
      </c>
      <c r="AN176" s="57">
        <v>14.25</v>
      </c>
      <c r="AO176" s="53">
        <v>35</v>
      </c>
      <c r="AP176" s="54">
        <v>10.6</v>
      </c>
      <c r="AQ176" s="54">
        <v>230</v>
      </c>
      <c r="AR176" s="54">
        <v>6</v>
      </c>
      <c r="AS176" s="57">
        <v>15.25</v>
      </c>
      <c r="AT176" s="56">
        <v>0</v>
      </c>
      <c r="AU176" s="57">
        <v>0</v>
      </c>
      <c r="AV176" s="56">
        <v>95.092773440000002</v>
      </c>
      <c r="AW176" s="57">
        <v>223.95459607666672</v>
      </c>
      <c r="AX176" s="8"/>
      <c r="AZ176" s="1">
        <v>90</v>
      </c>
      <c r="BB176" s="82">
        <f t="shared" si="16"/>
        <v>39.78</v>
      </c>
    </row>
    <row r="177" spans="3:54" ht="15" customHeight="1" x14ac:dyDescent="0.25">
      <c r="C177" s="42"/>
      <c r="D177" s="43">
        <f>D172</f>
        <v>45761</v>
      </c>
      <c r="E177" s="44">
        <f t="shared" si="20"/>
        <v>13.666666666666694</v>
      </c>
      <c r="F177" s="45">
        <f t="shared" si="17"/>
        <v>45761.666666667057</v>
      </c>
      <c r="G177" s="52">
        <v>0</v>
      </c>
      <c r="H177" s="53">
        <v>38</v>
      </c>
      <c r="I177" s="54">
        <v>10.3</v>
      </c>
      <c r="J177" s="54">
        <v>600</v>
      </c>
      <c r="K177" s="55">
        <v>5.6</v>
      </c>
      <c r="L177" s="56">
        <v>37</v>
      </c>
      <c r="M177" s="54">
        <v>10.4</v>
      </c>
      <c r="N177" s="54">
        <v>600</v>
      </c>
      <c r="O177" s="57">
        <v>5.4</v>
      </c>
      <c r="P177" s="53">
        <v>37</v>
      </c>
      <c r="Q177" s="54">
        <v>10.7</v>
      </c>
      <c r="R177" s="55">
        <v>0</v>
      </c>
      <c r="S177" s="55">
        <v>5.6</v>
      </c>
      <c r="T177" s="57">
        <v>18.25</v>
      </c>
      <c r="U177" s="56">
        <v>36</v>
      </c>
      <c r="V177" s="54">
        <v>10.7</v>
      </c>
      <c r="W177" s="55">
        <v>0</v>
      </c>
      <c r="X177" s="55">
        <v>5.3</v>
      </c>
      <c r="Y177" s="57">
        <v>18.25</v>
      </c>
      <c r="Z177" s="53">
        <v>36</v>
      </c>
      <c r="AA177" s="54">
        <v>10.6</v>
      </c>
      <c r="AB177" s="55">
        <v>0</v>
      </c>
      <c r="AC177" s="55">
        <v>5.7</v>
      </c>
      <c r="AD177" s="57">
        <v>8.25</v>
      </c>
      <c r="AE177" s="56">
        <v>35</v>
      </c>
      <c r="AF177" s="54">
        <v>10.6</v>
      </c>
      <c r="AG177" s="55">
        <v>0</v>
      </c>
      <c r="AH177" s="55">
        <v>5.0999999999999996</v>
      </c>
      <c r="AI177" s="57">
        <v>13.75</v>
      </c>
      <c r="AJ177" s="56">
        <v>35</v>
      </c>
      <c r="AK177" s="54">
        <v>10.5</v>
      </c>
      <c r="AL177" s="54">
        <v>0</v>
      </c>
      <c r="AM177" s="54">
        <v>5.6</v>
      </c>
      <c r="AN177" s="57">
        <v>14.75</v>
      </c>
      <c r="AO177" s="53">
        <v>36</v>
      </c>
      <c r="AP177" s="54">
        <v>10.5</v>
      </c>
      <c r="AQ177" s="54">
        <v>220</v>
      </c>
      <c r="AR177" s="54">
        <v>5.8</v>
      </c>
      <c r="AS177" s="57">
        <v>15</v>
      </c>
      <c r="AT177" s="56">
        <v>0</v>
      </c>
      <c r="AU177" s="57">
        <v>0</v>
      </c>
      <c r="AV177" s="56">
        <v>75.244140630000004</v>
      </c>
      <c r="AW177" s="57">
        <v>149.15135531633331</v>
      </c>
      <c r="AX177" s="8"/>
      <c r="AZ177" s="1">
        <v>90</v>
      </c>
      <c r="BB177" s="82">
        <f t="shared" si="16"/>
        <v>39.006500000000003</v>
      </c>
    </row>
    <row r="178" spans="3:54" ht="15" customHeight="1" x14ac:dyDescent="0.25">
      <c r="C178" s="42"/>
      <c r="D178" s="43">
        <f>D172</f>
        <v>45761</v>
      </c>
      <c r="E178" s="44">
        <f t="shared" si="20"/>
        <v>13.750000000000028</v>
      </c>
      <c r="F178" s="45">
        <f t="shared" si="17"/>
        <v>45761.750000000393</v>
      </c>
      <c r="G178" s="52">
        <v>4.3</v>
      </c>
      <c r="H178" s="53">
        <v>40</v>
      </c>
      <c r="I178" s="54">
        <v>10.6</v>
      </c>
      <c r="J178" s="54">
        <v>550</v>
      </c>
      <c r="K178" s="55">
        <v>6</v>
      </c>
      <c r="L178" s="56">
        <v>38</v>
      </c>
      <c r="M178" s="54">
        <v>10.5</v>
      </c>
      <c r="N178" s="54">
        <v>600</v>
      </c>
      <c r="O178" s="57">
        <v>5.9</v>
      </c>
      <c r="P178" s="53">
        <v>38</v>
      </c>
      <c r="Q178" s="54">
        <v>10.6</v>
      </c>
      <c r="R178" s="55">
        <v>0</v>
      </c>
      <c r="S178" s="55">
        <v>5.4</v>
      </c>
      <c r="T178" s="57">
        <v>18.25</v>
      </c>
      <c r="U178" s="56">
        <v>37</v>
      </c>
      <c r="V178" s="54">
        <v>10.6</v>
      </c>
      <c r="W178" s="55">
        <v>0</v>
      </c>
      <c r="X178" s="55">
        <v>5.3</v>
      </c>
      <c r="Y178" s="57">
        <v>12.25</v>
      </c>
      <c r="Z178" s="53">
        <v>37</v>
      </c>
      <c r="AA178" s="54">
        <v>10.5</v>
      </c>
      <c r="AB178" s="55">
        <v>0</v>
      </c>
      <c r="AC178" s="55">
        <v>5.2</v>
      </c>
      <c r="AD178" s="57">
        <v>8.25</v>
      </c>
      <c r="AE178" s="56">
        <v>36</v>
      </c>
      <c r="AF178" s="54">
        <v>10.5</v>
      </c>
      <c r="AG178" s="55">
        <v>0</v>
      </c>
      <c r="AH178" s="55">
        <v>5.6</v>
      </c>
      <c r="AI178" s="57">
        <v>13.25</v>
      </c>
      <c r="AJ178" s="56">
        <v>35</v>
      </c>
      <c r="AK178" s="54">
        <v>10.5</v>
      </c>
      <c r="AL178" s="54">
        <v>0</v>
      </c>
      <c r="AM178" s="54">
        <v>5.5</v>
      </c>
      <c r="AN178" s="57">
        <v>13.75</v>
      </c>
      <c r="AO178" s="53">
        <v>36</v>
      </c>
      <c r="AP178" s="54">
        <v>10.5</v>
      </c>
      <c r="AQ178" s="54">
        <v>230</v>
      </c>
      <c r="AR178" s="54">
        <v>5.4</v>
      </c>
      <c r="AS178" s="57">
        <v>15.75</v>
      </c>
      <c r="AT178" s="56">
        <v>30</v>
      </c>
      <c r="AU178" s="57">
        <v>180</v>
      </c>
      <c r="AV178" s="56">
        <v>93.546546939999999</v>
      </c>
      <c r="AW178" s="57">
        <v>280.85069486704168</v>
      </c>
      <c r="AX178" s="8"/>
      <c r="AZ178" s="1">
        <v>90</v>
      </c>
      <c r="BB178" s="82">
        <f t="shared" si="16"/>
        <v>36.023000000000003</v>
      </c>
    </row>
    <row r="179" spans="3:54" ht="15" customHeight="1" x14ac:dyDescent="0.25">
      <c r="C179" s="42"/>
      <c r="D179" s="43">
        <f>D172</f>
        <v>45761</v>
      </c>
      <c r="E179" s="44">
        <f t="shared" si="20"/>
        <v>13.833333333333362</v>
      </c>
      <c r="F179" s="45">
        <f t="shared" si="17"/>
        <v>45761.833333333729</v>
      </c>
      <c r="G179" s="52">
        <v>48</v>
      </c>
      <c r="H179" s="53">
        <v>38</v>
      </c>
      <c r="I179" s="54">
        <v>11.7</v>
      </c>
      <c r="J179" s="54">
        <v>750</v>
      </c>
      <c r="K179" s="55">
        <v>6.4</v>
      </c>
      <c r="L179" s="56">
        <v>37</v>
      </c>
      <c r="M179" s="54">
        <v>11.4</v>
      </c>
      <c r="N179" s="54">
        <v>650</v>
      </c>
      <c r="O179" s="57">
        <v>6.9</v>
      </c>
      <c r="P179" s="53">
        <v>36</v>
      </c>
      <c r="Q179" s="54">
        <v>10.5</v>
      </c>
      <c r="R179" s="55">
        <v>0</v>
      </c>
      <c r="S179" s="55">
        <v>6</v>
      </c>
      <c r="T179" s="57">
        <v>18.75</v>
      </c>
      <c r="U179" s="56">
        <v>35</v>
      </c>
      <c r="V179" s="54">
        <v>10.5</v>
      </c>
      <c r="W179" s="55">
        <v>0</v>
      </c>
      <c r="X179" s="55">
        <v>5.9</v>
      </c>
      <c r="Y179" s="57">
        <v>11.25</v>
      </c>
      <c r="Z179" s="53">
        <v>36</v>
      </c>
      <c r="AA179" s="54">
        <v>10.4</v>
      </c>
      <c r="AB179" s="55">
        <v>0</v>
      </c>
      <c r="AC179" s="55">
        <v>5.5</v>
      </c>
      <c r="AD179" s="57">
        <v>8.75</v>
      </c>
      <c r="AE179" s="56">
        <v>32</v>
      </c>
      <c r="AF179" s="54">
        <v>10.5</v>
      </c>
      <c r="AG179" s="55">
        <v>0</v>
      </c>
      <c r="AH179" s="55">
        <v>5.9</v>
      </c>
      <c r="AI179" s="57">
        <v>7.5</v>
      </c>
      <c r="AJ179" s="56">
        <v>33</v>
      </c>
      <c r="AK179" s="54">
        <v>10.6</v>
      </c>
      <c r="AL179" s="54">
        <v>0</v>
      </c>
      <c r="AM179" s="54">
        <v>6</v>
      </c>
      <c r="AN179" s="57">
        <v>13.75</v>
      </c>
      <c r="AO179" s="53">
        <v>33</v>
      </c>
      <c r="AP179" s="54">
        <v>10.6</v>
      </c>
      <c r="AQ179" s="54">
        <v>190</v>
      </c>
      <c r="AR179" s="54">
        <v>6.1</v>
      </c>
      <c r="AS179" s="57">
        <v>15</v>
      </c>
      <c r="AT179" s="56">
        <v>29</v>
      </c>
      <c r="AU179" s="57">
        <v>160</v>
      </c>
      <c r="AV179" s="56">
        <v>93.330886840000005</v>
      </c>
      <c r="AW179" s="57">
        <v>288.59362771634176</v>
      </c>
      <c r="AX179" s="8"/>
      <c r="AZ179" s="1">
        <v>90</v>
      </c>
      <c r="BB179" s="82">
        <f t="shared" si="16"/>
        <v>33.15</v>
      </c>
    </row>
    <row r="180" spans="3:54" ht="15" customHeight="1" x14ac:dyDescent="0.25">
      <c r="C180" s="42"/>
      <c r="D180" s="43">
        <f>D172</f>
        <v>45761</v>
      </c>
      <c r="E180" s="44">
        <f t="shared" si="20"/>
        <v>13.916666666666696</v>
      </c>
      <c r="F180" s="45">
        <f t="shared" si="17"/>
        <v>45761.916666667064</v>
      </c>
      <c r="G180" s="52">
        <v>44</v>
      </c>
      <c r="H180" s="53">
        <v>38</v>
      </c>
      <c r="I180" s="54">
        <v>11.6</v>
      </c>
      <c r="J180" s="54">
        <v>700</v>
      </c>
      <c r="K180" s="55">
        <v>6.7</v>
      </c>
      <c r="L180" s="56">
        <v>38</v>
      </c>
      <c r="M180" s="54">
        <v>11.3</v>
      </c>
      <c r="N180" s="54">
        <v>650</v>
      </c>
      <c r="O180" s="57">
        <v>6.4</v>
      </c>
      <c r="P180" s="53">
        <v>36</v>
      </c>
      <c r="Q180" s="54">
        <v>10.7</v>
      </c>
      <c r="R180" s="55">
        <v>0</v>
      </c>
      <c r="S180" s="55">
        <v>6.1</v>
      </c>
      <c r="T180" s="57">
        <v>18.75</v>
      </c>
      <c r="U180" s="56">
        <v>36</v>
      </c>
      <c r="V180" s="54">
        <v>10.6</v>
      </c>
      <c r="W180" s="55">
        <v>0</v>
      </c>
      <c r="X180" s="55">
        <v>6.1</v>
      </c>
      <c r="Y180" s="57">
        <v>11.25</v>
      </c>
      <c r="Z180" s="53">
        <v>37</v>
      </c>
      <c r="AA180" s="54">
        <v>10.5</v>
      </c>
      <c r="AB180" s="55">
        <v>0</v>
      </c>
      <c r="AC180" s="55">
        <v>5.9</v>
      </c>
      <c r="AD180" s="57">
        <v>7.5</v>
      </c>
      <c r="AE180" s="56">
        <v>33</v>
      </c>
      <c r="AF180" s="54">
        <v>10.6</v>
      </c>
      <c r="AG180" s="55">
        <v>0</v>
      </c>
      <c r="AH180" s="55">
        <v>6.1</v>
      </c>
      <c r="AI180" s="57">
        <v>8.75</v>
      </c>
      <c r="AJ180" s="56">
        <v>33</v>
      </c>
      <c r="AK180" s="54">
        <v>10.6</v>
      </c>
      <c r="AL180" s="54">
        <v>0</v>
      </c>
      <c r="AM180" s="54">
        <v>6.3</v>
      </c>
      <c r="AN180" s="57">
        <v>13.75</v>
      </c>
      <c r="AO180" s="53">
        <v>33</v>
      </c>
      <c r="AP180" s="54">
        <v>10.6</v>
      </c>
      <c r="AQ180" s="54">
        <v>200</v>
      </c>
      <c r="AR180" s="54">
        <v>6.2</v>
      </c>
      <c r="AS180" s="57">
        <v>15</v>
      </c>
      <c r="AT180" s="56">
        <v>29</v>
      </c>
      <c r="AU180" s="57">
        <v>160</v>
      </c>
      <c r="AV180" s="56">
        <v>92.919921880000004</v>
      </c>
      <c r="AW180" s="57">
        <v>285.10356398803339</v>
      </c>
      <c r="AX180" s="8"/>
      <c r="AZ180" s="1">
        <v>90</v>
      </c>
      <c r="BB180" s="82">
        <f t="shared" si="16"/>
        <v>33.15</v>
      </c>
    </row>
    <row r="181" spans="3:54" ht="15" customHeight="1" x14ac:dyDescent="0.25">
      <c r="C181" s="42"/>
      <c r="D181" s="43">
        <f>D172</f>
        <v>45761</v>
      </c>
      <c r="E181" s="44">
        <f t="shared" si="20"/>
        <v>14.00000000000003</v>
      </c>
      <c r="F181" s="45">
        <f t="shared" si="17"/>
        <v>45762.0000000004</v>
      </c>
      <c r="G181" s="52">
        <v>41</v>
      </c>
      <c r="H181" s="53">
        <v>38</v>
      </c>
      <c r="I181" s="54">
        <v>11.5</v>
      </c>
      <c r="J181" s="54">
        <v>650</v>
      </c>
      <c r="K181" s="55">
        <v>6.3</v>
      </c>
      <c r="L181" s="56">
        <v>38</v>
      </c>
      <c r="M181" s="54">
        <v>11.3</v>
      </c>
      <c r="N181" s="54">
        <v>650</v>
      </c>
      <c r="O181" s="57">
        <v>6.7</v>
      </c>
      <c r="P181" s="53">
        <v>36</v>
      </c>
      <c r="Q181" s="54">
        <v>11</v>
      </c>
      <c r="R181" s="55">
        <v>0</v>
      </c>
      <c r="S181" s="55">
        <v>5.9</v>
      </c>
      <c r="T181" s="57">
        <v>18.75</v>
      </c>
      <c r="U181" s="56">
        <v>36</v>
      </c>
      <c r="V181" s="54">
        <v>10.6</v>
      </c>
      <c r="W181" s="55">
        <v>0</v>
      </c>
      <c r="X181" s="55">
        <v>6</v>
      </c>
      <c r="Y181" s="57">
        <v>10.75</v>
      </c>
      <c r="Z181" s="53">
        <v>37</v>
      </c>
      <c r="AA181" s="54">
        <v>10.7</v>
      </c>
      <c r="AB181" s="55">
        <v>0</v>
      </c>
      <c r="AC181" s="55">
        <v>6</v>
      </c>
      <c r="AD181" s="57">
        <v>8.75</v>
      </c>
      <c r="AE181" s="56">
        <v>35</v>
      </c>
      <c r="AF181" s="54">
        <v>10.7</v>
      </c>
      <c r="AG181" s="55">
        <v>0</v>
      </c>
      <c r="AH181" s="55">
        <v>5.8</v>
      </c>
      <c r="AI181" s="57">
        <v>8.75</v>
      </c>
      <c r="AJ181" s="56">
        <v>34</v>
      </c>
      <c r="AK181" s="54">
        <v>10.7</v>
      </c>
      <c r="AL181" s="54">
        <v>0</v>
      </c>
      <c r="AM181" s="54">
        <v>6.1</v>
      </c>
      <c r="AN181" s="57">
        <v>13.75</v>
      </c>
      <c r="AO181" s="53">
        <v>33</v>
      </c>
      <c r="AP181" s="54">
        <v>10.7</v>
      </c>
      <c r="AQ181" s="54">
        <v>200</v>
      </c>
      <c r="AR181" s="54">
        <v>5.9</v>
      </c>
      <c r="AS181" s="57">
        <v>15</v>
      </c>
      <c r="AT181" s="56">
        <v>29</v>
      </c>
      <c r="AU181" s="57">
        <v>170</v>
      </c>
      <c r="AV181" s="56">
        <v>93.45703125</v>
      </c>
      <c r="AW181" s="57">
        <v>289.70172578147492</v>
      </c>
      <c r="AX181" s="8"/>
      <c r="AZ181" s="1">
        <v>90</v>
      </c>
      <c r="BB181" s="82">
        <f t="shared" si="16"/>
        <v>33.481499999999997</v>
      </c>
    </row>
    <row r="182" spans="3:54" ht="15" customHeight="1" x14ac:dyDescent="0.25">
      <c r="C182" s="42"/>
      <c r="D182" s="43">
        <f>D172</f>
        <v>45761</v>
      </c>
      <c r="E182" s="44">
        <f t="shared" si="20"/>
        <v>14.083333333333364</v>
      </c>
      <c r="F182" s="45">
        <f t="shared" si="17"/>
        <v>45762.083333333736</v>
      </c>
      <c r="G182" s="52">
        <v>42</v>
      </c>
      <c r="H182" s="53">
        <v>38</v>
      </c>
      <c r="I182" s="54">
        <v>11.4</v>
      </c>
      <c r="J182" s="54">
        <v>650</v>
      </c>
      <c r="K182" s="55">
        <v>6.4</v>
      </c>
      <c r="L182" s="56">
        <v>38</v>
      </c>
      <c r="M182" s="54">
        <v>11.4</v>
      </c>
      <c r="N182" s="54">
        <v>650</v>
      </c>
      <c r="O182" s="57">
        <v>6.9</v>
      </c>
      <c r="P182" s="53">
        <v>37</v>
      </c>
      <c r="Q182" s="54">
        <v>11</v>
      </c>
      <c r="R182" s="55">
        <v>0</v>
      </c>
      <c r="S182" s="55">
        <v>6.1</v>
      </c>
      <c r="T182" s="57">
        <v>17.75</v>
      </c>
      <c r="U182" s="56">
        <v>36</v>
      </c>
      <c r="V182" s="54">
        <v>10.8</v>
      </c>
      <c r="W182" s="55">
        <v>0</v>
      </c>
      <c r="X182" s="55">
        <v>5.9</v>
      </c>
      <c r="Y182" s="57">
        <v>10.25</v>
      </c>
      <c r="Z182" s="53">
        <v>37</v>
      </c>
      <c r="AA182" s="54">
        <v>10.8</v>
      </c>
      <c r="AB182" s="55">
        <v>0</v>
      </c>
      <c r="AC182" s="55">
        <v>5.7</v>
      </c>
      <c r="AD182" s="57">
        <v>8.75</v>
      </c>
      <c r="AE182" s="56">
        <v>35</v>
      </c>
      <c r="AF182" s="54">
        <v>10.8</v>
      </c>
      <c r="AG182" s="55">
        <v>0</v>
      </c>
      <c r="AH182" s="55">
        <v>5.9</v>
      </c>
      <c r="AI182" s="57">
        <v>8.75</v>
      </c>
      <c r="AJ182" s="56">
        <v>34</v>
      </c>
      <c r="AK182" s="54">
        <v>10.7</v>
      </c>
      <c r="AL182" s="54">
        <v>0</v>
      </c>
      <c r="AM182" s="54">
        <v>6</v>
      </c>
      <c r="AN182" s="57">
        <v>13.75</v>
      </c>
      <c r="AO182" s="53">
        <v>33</v>
      </c>
      <c r="AP182" s="54">
        <v>10.6</v>
      </c>
      <c r="AQ182" s="54">
        <v>190</v>
      </c>
      <c r="AR182" s="54">
        <v>6.1</v>
      </c>
      <c r="AS182" s="57">
        <v>14.75</v>
      </c>
      <c r="AT182" s="56">
        <v>30</v>
      </c>
      <c r="AU182" s="57">
        <v>160</v>
      </c>
      <c r="AV182" s="56">
        <v>94.478347780000007</v>
      </c>
      <c r="AW182" s="57">
        <v>290.84683629498329</v>
      </c>
      <c r="AX182" s="8"/>
      <c r="AZ182" s="1">
        <v>90</v>
      </c>
      <c r="BB182" s="82">
        <f t="shared" si="16"/>
        <v>32.707999999999998</v>
      </c>
    </row>
    <row r="183" spans="3:54" ht="15" customHeight="1" x14ac:dyDescent="0.25">
      <c r="C183" s="42"/>
      <c r="D183" s="69">
        <f>D172</f>
        <v>45761</v>
      </c>
      <c r="E183" s="70">
        <f t="shared" si="20"/>
        <v>14.166666666666698</v>
      </c>
      <c r="F183" s="71">
        <f t="shared" si="17"/>
        <v>45762.166666667072</v>
      </c>
      <c r="G183" s="60">
        <v>44</v>
      </c>
      <c r="H183" s="61">
        <v>38</v>
      </c>
      <c r="I183" s="62">
        <v>11.4</v>
      </c>
      <c r="J183" s="62">
        <v>650</v>
      </c>
      <c r="K183" s="63">
        <v>6.7</v>
      </c>
      <c r="L183" s="64">
        <v>37</v>
      </c>
      <c r="M183" s="62">
        <v>11.4</v>
      </c>
      <c r="N183" s="62">
        <v>650</v>
      </c>
      <c r="O183" s="65">
        <v>6.4</v>
      </c>
      <c r="P183" s="61">
        <v>37</v>
      </c>
      <c r="Q183" s="62">
        <v>11.1</v>
      </c>
      <c r="R183" s="63">
        <v>0</v>
      </c>
      <c r="S183" s="63">
        <v>6</v>
      </c>
      <c r="T183" s="65">
        <v>17.5</v>
      </c>
      <c r="U183" s="64">
        <v>36</v>
      </c>
      <c r="V183" s="62">
        <v>10.9</v>
      </c>
      <c r="W183" s="63">
        <v>0</v>
      </c>
      <c r="X183" s="63">
        <v>6.1</v>
      </c>
      <c r="Y183" s="65">
        <v>10.25</v>
      </c>
      <c r="Z183" s="61">
        <v>36</v>
      </c>
      <c r="AA183" s="62">
        <v>10.8</v>
      </c>
      <c r="AB183" s="63">
        <v>0</v>
      </c>
      <c r="AC183" s="63">
        <v>5.9</v>
      </c>
      <c r="AD183" s="65">
        <v>8.75</v>
      </c>
      <c r="AE183" s="64">
        <v>35</v>
      </c>
      <c r="AF183" s="62">
        <v>10.8</v>
      </c>
      <c r="AG183" s="63">
        <v>0</v>
      </c>
      <c r="AH183" s="63">
        <v>6</v>
      </c>
      <c r="AI183" s="65">
        <v>8.75</v>
      </c>
      <c r="AJ183" s="64">
        <v>34</v>
      </c>
      <c r="AK183" s="62">
        <v>10.7</v>
      </c>
      <c r="AL183" s="62">
        <v>0</v>
      </c>
      <c r="AM183" s="62">
        <v>5.9</v>
      </c>
      <c r="AN183" s="65">
        <v>13.75</v>
      </c>
      <c r="AO183" s="61">
        <v>33</v>
      </c>
      <c r="AP183" s="62">
        <v>10.6</v>
      </c>
      <c r="AQ183" s="62">
        <v>190</v>
      </c>
      <c r="AR183" s="62">
        <v>6.3</v>
      </c>
      <c r="AS183" s="65">
        <v>14.75</v>
      </c>
      <c r="AT183" s="64">
        <v>29</v>
      </c>
      <c r="AU183" s="65">
        <v>160</v>
      </c>
      <c r="AV183" s="64">
        <v>94.181312559999995</v>
      </c>
      <c r="AW183" s="65">
        <v>286.47641825759172</v>
      </c>
      <c r="AX183" s="8"/>
      <c r="AZ183" s="1">
        <v>90</v>
      </c>
      <c r="BB183" s="82">
        <f t="shared" si="16"/>
        <v>32.597499999999997</v>
      </c>
    </row>
    <row r="184" spans="3:54" ht="15" customHeight="1" x14ac:dyDescent="0.25">
      <c r="C184" s="42">
        <f>C172+1</f>
        <v>15</v>
      </c>
      <c r="D184" s="66">
        <f>DATE([4]Dash!$F$3,VLOOKUP([4]Dash!$E$3,[4]Abb!$C$3:$D$14,2,FALSE),C184)</f>
        <v>45762</v>
      </c>
      <c r="E184" s="67">
        <f>E183+2/24</f>
        <v>14.250000000000032</v>
      </c>
      <c r="F184" s="68">
        <f t="shared" si="17"/>
        <v>45762.250000000407</v>
      </c>
      <c r="G184" s="46">
        <v>42</v>
      </c>
      <c r="H184" s="47">
        <v>38</v>
      </c>
      <c r="I184" s="48">
        <v>11.3</v>
      </c>
      <c r="J184" s="48">
        <v>650</v>
      </c>
      <c r="K184" s="49">
        <v>6.3</v>
      </c>
      <c r="L184" s="50">
        <v>38</v>
      </c>
      <c r="M184" s="48">
        <v>11.4</v>
      </c>
      <c r="N184" s="48">
        <v>650</v>
      </c>
      <c r="O184" s="51">
        <v>6.4</v>
      </c>
      <c r="P184" s="47">
        <v>37</v>
      </c>
      <c r="Q184" s="48">
        <v>11</v>
      </c>
      <c r="R184" s="49">
        <v>0</v>
      </c>
      <c r="S184" s="49">
        <v>5.9</v>
      </c>
      <c r="T184" s="51">
        <v>18.75</v>
      </c>
      <c r="U184" s="50">
        <v>36</v>
      </c>
      <c r="V184" s="48">
        <v>10.9</v>
      </c>
      <c r="W184" s="49">
        <v>0</v>
      </c>
      <c r="X184" s="49">
        <v>6</v>
      </c>
      <c r="Y184" s="51">
        <v>11.25</v>
      </c>
      <c r="Z184" s="47">
        <v>36</v>
      </c>
      <c r="AA184" s="48">
        <v>10.8</v>
      </c>
      <c r="AB184" s="49">
        <v>0</v>
      </c>
      <c r="AC184" s="49">
        <v>6</v>
      </c>
      <c r="AD184" s="51">
        <v>7.5</v>
      </c>
      <c r="AE184" s="50">
        <v>35</v>
      </c>
      <c r="AF184" s="48">
        <v>10.8</v>
      </c>
      <c r="AG184" s="49">
        <v>0</v>
      </c>
      <c r="AH184" s="49">
        <v>5.8</v>
      </c>
      <c r="AI184" s="51">
        <v>7.5</v>
      </c>
      <c r="AJ184" s="50">
        <v>34</v>
      </c>
      <c r="AK184" s="48">
        <v>10.7</v>
      </c>
      <c r="AL184" s="48">
        <v>0</v>
      </c>
      <c r="AM184" s="48">
        <v>6.1</v>
      </c>
      <c r="AN184" s="51">
        <v>13.75</v>
      </c>
      <c r="AO184" s="47">
        <v>33</v>
      </c>
      <c r="AP184" s="48">
        <v>10.7</v>
      </c>
      <c r="AQ184" s="48">
        <v>190</v>
      </c>
      <c r="AR184" s="48">
        <v>6.1</v>
      </c>
      <c r="AS184" s="51">
        <v>15</v>
      </c>
      <c r="AT184" s="50">
        <v>29</v>
      </c>
      <c r="AU184" s="51">
        <v>160</v>
      </c>
      <c r="AV184" s="50">
        <v>94.783523560000006</v>
      </c>
      <c r="AW184" s="51">
        <v>284.58260988266659</v>
      </c>
      <c r="AX184" s="8"/>
      <c r="AZ184" s="1">
        <v>90</v>
      </c>
      <c r="BB184" s="82">
        <f t="shared" si="16"/>
        <v>32.597499999999997</v>
      </c>
    </row>
    <row r="185" spans="3:54" ht="15" customHeight="1" x14ac:dyDescent="0.25">
      <c r="C185" s="42"/>
      <c r="D185" s="43">
        <f>D184</f>
        <v>45762</v>
      </c>
      <c r="E185" s="44">
        <f>E184+2/24</f>
        <v>14.333333333333366</v>
      </c>
      <c r="F185" s="45">
        <f t="shared" si="17"/>
        <v>45762.333333333743</v>
      </c>
      <c r="G185" s="52">
        <v>40</v>
      </c>
      <c r="H185" s="53">
        <v>40</v>
      </c>
      <c r="I185" s="54">
        <v>11.4</v>
      </c>
      <c r="J185" s="54">
        <v>550</v>
      </c>
      <c r="K185" s="55">
        <v>7.1</v>
      </c>
      <c r="L185" s="56">
        <v>41</v>
      </c>
      <c r="M185" s="54">
        <v>11.2</v>
      </c>
      <c r="N185" s="54">
        <v>550</v>
      </c>
      <c r="O185" s="57">
        <v>6.8</v>
      </c>
      <c r="P185" s="53">
        <v>40</v>
      </c>
      <c r="Q185" s="54">
        <v>11.3</v>
      </c>
      <c r="R185" s="55">
        <v>0</v>
      </c>
      <c r="S185" s="55">
        <v>6.2</v>
      </c>
      <c r="T185" s="57">
        <v>18.75</v>
      </c>
      <c r="U185" s="56">
        <v>39</v>
      </c>
      <c r="V185" s="54">
        <v>11.2</v>
      </c>
      <c r="W185" s="55">
        <v>0</v>
      </c>
      <c r="X185" s="55">
        <v>6</v>
      </c>
      <c r="Y185" s="57">
        <v>10</v>
      </c>
      <c r="Z185" s="53">
        <v>39</v>
      </c>
      <c r="AA185" s="54">
        <v>11.2</v>
      </c>
      <c r="AB185" s="55">
        <v>0</v>
      </c>
      <c r="AC185" s="55">
        <v>5.8</v>
      </c>
      <c r="AD185" s="57">
        <v>10</v>
      </c>
      <c r="AE185" s="56">
        <v>37</v>
      </c>
      <c r="AF185" s="54">
        <v>10.9</v>
      </c>
      <c r="AG185" s="55">
        <v>0</v>
      </c>
      <c r="AH185" s="55">
        <v>5.3</v>
      </c>
      <c r="AI185" s="57">
        <v>9.25</v>
      </c>
      <c r="AJ185" s="56">
        <v>36</v>
      </c>
      <c r="AK185" s="54">
        <v>10.8</v>
      </c>
      <c r="AL185" s="54">
        <v>0</v>
      </c>
      <c r="AM185" s="54">
        <v>5.9</v>
      </c>
      <c r="AN185" s="57">
        <v>15</v>
      </c>
      <c r="AO185" s="53">
        <v>36</v>
      </c>
      <c r="AP185" s="54">
        <v>10.7</v>
      </c>
      <c r="AQ185" s="54">
        <v>200</v>
      </c>
      <c r="AR185" s="54">
        <v>5.8</v>
      </c>
      <c r="AS185" s="57">
        <v>15</v>
      </c>
      <c r="AT185" s="56">
        <v>30</v>
      </c>
      <c r="AU185" s="57">
        <v>160</v>
      </c>
      <c r="AV185" s="56">
        <v>93.265785219999998</v>
      </c>
      <c r="AW185" s="57">
        <v>230.42088580315843</v>
      </c>
      <c r="AX185" s="8"/>
      <c r="AZ185" s="1">
        <v>90</v>
      </c>
      <c r="BB185" s="82">
        <f t="shared" si="16"/>
        <v>34.475999999999999</v>
      </c>
    </row>
    <row r="186" spans="3:54" ht="15" customHeight="1" x14ac:dyDescent="0.25">
      <c r="C186" s="42"/>
      <c r="D186" s="43">
        <f>D184</f>
        <v>45762</v>
      </c>
      <c r="E186" s="44">
        <f t="shared" ref="E186:E195" si="21">E185+2/24</f>
        <v>14.4166666666667</v>
      </c>
      <c r="F186" s="45">
        <f t="shared" si="17"/>
        <v>45762.416666667079</v>
      </c>
      <c r="G186" s="52">
        <v>41</v>
      </c>
      <c r="H186" s="53">
        <v>40</v>
      </c>
      <c r="I186" s="54">
        <v>11.2</v>
      </c>
      <c r="J186" s="54">
        <v>550</v>
      </c>
      <c r="K186" s="55">
        <v>7.3</v>
      </c>
      <c r="L186" s="56">
        <v>40</v>
      </c>
      <c r="M186" s="54">
        <v>11.2</v>
      </c>
      <c r="N186" s="54">
        <v>550</v>
      </c>
      <c r="O186" s="57">
        <v>7</v>
      </c>
      <c r="P186" s="53">
        <v>39</v>
      </c>
      <c r="Q186" s="54">
        <v>11.2</v>
      </c>
      <c r="R186" s="55">
        <v>0</v>
      </c>
      <c r="S186" s="55">
        <v>6.4</v>
      </c>
      <c r="T186" s="57">
        <v>18.25</v>
      </c>
      <c r="U186" s="56">
        <v>39</v>
      </c>
      <c r="V186" s="54">
        <v>11.2</v>
      </c>
      <c r="W186" s="55">
        <v>0</v>
      </c>
      <c r="X186" s="55">
        <v>6.2</v>
      </c>
      <c r="Y186" s="57">
        <v>11.25</v>
      </c>
      <c r="Z186" s="53">
        <v>38</v>
      </c>
      <c r="AA186" s="54">
        <v>11.2</v>
      </c>
      <c r="AB186" s="55">
        <v>0</v>
      </c>
      <c r="AC186" s="55">
        <v>5.9</v>
      </c>
      <c r="AD186" s="57">
        <v>10.75</v>
      </c>
      <c r="AE186" s="56">
        <v>37</v>
      </c>
      <c r="AF186" s="54">
        <v>10.8</v>
      </c>
      <c r="AG186" s="55">
        <v>0</v>
      </c>
      <c r="AH186" s="55">
        <v>5.0999999999999996</v>
      </c>
      <c r="AI186" s="57">
        <v>8</v>
      </c>
      <c r="AJ186" s="56">
        <v>35</v>
      </c>
      <c r="AK186" s="54">
        <v>10.8</v>
      </c>
      <c r="AL186" s="54">
        <v>0</v>
      </c>
      <c r="AM186" s="54">
        <v>5.7</v>
      </c>
      <c r="AN186" s="57">
        <v>13.75</v>
      </c>
      <c r="AO186" s="53">
        <v>36</v>
      </c>
      <c r="AP186" s="54">
        <v>10.7</v>
      </c>
      <c r="AQ186" s="54">
        <v>200</v>
      </c>
      <c r="AR186" s="54">
        <v>5.6</v>
      </c>
      <c r="AS186" s="57">
        <v>15.5</v>
      </c>
      <c r="AT186" s="56">
        <v>29</v>
      </c>
      <c r="AU186" s="57">
        <v>160</v>
      </c>
      <c r="AV186" s="56">
        <v>94.266761779999996</v>
      </c>
      <c r="AW186" s="57">
        <v>282.13843056726671</v>
      </c>
      <c r="AX186" s="8"/>
      <c r="AZ186" s="1">
        <v>90</v>
      </c>
      <c r="BB186" s="82">
        <f t="shared" si="16"/>
        <v>34.255000000000003</v>
      </c>
    </row>
    <row r="187" spans="3:54" ht="15" customHeight="1" x14ac:dyDescent="0.25">
      <c r="C187" s="42"/>
      <c r="D187" s="43">
        <f>D184</f>
        <v>45762</v>
      </c>
      <c r="E187" s="44">
        <f t="shared" si="21"/>
        <v>14.500000000000034</v>
      </c>
      <c r="F187" s="45">
        <f t="shared" si="17"/>
        <v>45762.500000000415</v>
      </c>
      <c r="G187" s="52">
        <v>39</v>
      </c>
      <c r="H187" s="53">
        <v>40</v>
      </c>
      <c r="I187" s="54">
        <v>10.9</v>
      </c>
      <c r="J187" s="54">
        <v>500</v>
      </c>
      <c r="K187" s="55">
        <v>7.2</v>
      </c>
      <c r="L187" s="56">
        <v>39</v>
      </c>
      <c r="M187" s="54">
        <v>11</v>
      </c>
      <c r="N187" s="54">
        <v>550</v>
      </c>
      <c r="O187" s="57">
        <v>7.1</v>
      </c>
      <c r="P187" s="53">
        <v>38</v>
      </c>
      <c r="Q187" s="54">
        <v>11.1</v>
      </c>
      <c r="R187" s="55">
        <v>0</v>
      </c>
      <c r="S187" s="55">
        <v>6.5</v>
      </c>
      <c r="T187" s="57">
        <v>18.75</v>
      </c>
      <c r="U187" s="56">
        <v>39</v>
      </c>
      <c r="V187" s="54">
        <v>11.1</v>
      </c>
      <c r="W187" s="55">
        <v>0</v>
      </c>
      <c r="X187" s="55">
        <v>6.4</v>
      </c>
      <c r="Y187" s="57">
        <v>11.25</v>
      </c>
      <c r="Z187" s="53">
        <v>38</v>
      </c>
      <c r="AA187" s="54">
        <v>11.1</v>
      </c>
      <c r="AB187" s="55">
        <v>0</v>
      </c>
      <c r="AC187" s="55">
        <v>5.6</v>
      </c>
      <c r="AD187" s="57">
        <v>10</v>
      </c>
      <c r="AE187" s="56">
        <v>37</v>
      </c>
      <c r="AF187" s="54">
        <v>11.1</v>
      </c>
      <c r="AG187" s="55">
        <v>0</v>
      </c>
      <c r="AH187" s="55">
        <v>5.2</v>
      </c>
      <c r="AI187" s="57">
        <v>8.75</v>
      </c>
      <c r="AJ187" s="56">
        <v>37</v>
      </c>
      <c r="AK187" s="54">
        <v>11</v>
      </c>
      <c r="AL187" s="54">
        <v>0</v>
      </c>
      <c r="AM187" s="54">
        <v>5.7</v>
      </c>
      <c r="AN187" s="57">
        <v>14.25</v>
      </c>
      <c r="AO187" s="53">
        <v>37</v>
      </c>
      <c r="AP187" s="54">
        <v>10.7</v>
      </c>
      <c r="AQ187" s="54">
        <v>210</v>
      </c>
      <c r="AR187" s="54">
        <v>5.7</v>
      </c>
      <c r="AS187" s="57">
        <v>15</v>
      </c>
      <c r="AT187" s="56">
        <v>29</v>
      </c>
      <c r="AU187" s="57">
        <v>170</v>
      </c>
      <c r="AV187" s="56">
        <v>94.323730470000001</v>
      </c>
      <c r="AW187" s="57">
        <v>282.14542369514163</v>
      </c>
      <c r="AX187" s="8"/>
      <c r="AZ187" s="1">
        <v>90</v>
      </c>
      <c r="BB187" s="82">
        <f t="shared" si="16"/>
        <v>34.475999999999999</v>
      </c>
    </row>
    <row r="188" spans="3:54" ht="15" customHeight="1" x14ac:dyDescent="0.25">
      <c r="C188" s="42"/>
      <c r="D188" s="43">
        <f>D184</f>
        <v>45762</v>
      </c>
      <c r="E188" s="44">
        <f t="shared" si="21"/>
        <v>14.583333333333368</v>
      </c>
      <c r="F188" s="45">
        <f t="shared" si="17"/>
        <v>45762.58333333375</v>
      </c>
      <c r="G188" s="52">
        <v>40</v>
      </c>
      <c r="H188" s="53">
        <v>40</v>
      </c>
      <c r="I188" s="54">
        <v>10.5</v>
      </c>
      <c r="J188" s="54">
        <v>500</v>
      </c>
      <c r="K188" s="55">
        <v>7.2</v>
      </c>
      <c r="L188" s="56">
        <v>40</v>
      </c>
      <c r="M188" s="54">
        <v>10.9</v>
      </c>
      <c r="N188" s="54">
        <v>550</v>
      </c>
      <c r="O188" s="57">
        <v>7</v>
      </c>
      <c r="P188" s="53">
        <v>39</v>
      </c>
      <c r="Q188" s="54">
        <v>11</v>
      </c>
      <c r="R188" s="55">
        <v>0</v>
      </c>
      <c r="S188" s="55">
        <v>6.4</v>
      </c>
      <c r="T188" s="57">
        <v>19.25</v>
      </c>
      <c r="U188" s="56">
        <v>39</v>
      </c>
      <c r="V188" s="54">
        <v>11.1</v>
      </c>
      <c r="W188" s="55">
        <v>0</v>
      </c>
      <c r="X188" s="55">
        <v>6.4</v>
      </c>
      <c r="Y188" s="57">
        <v>10</v>
      </c>
      <c r="Z188" s="53">
        <v>38</v>
      </c>
      <c r="AA188" s="54">
        <v>11.1</v>
      </c>
      <c r="AB188" s="55">
        <v>0</v>
      </c>
      <c r="AC188" s="55">
        <v>5.4</v>
      </c>
      <c r="AD188" s="57">
        <v>10</v>
      </c>
      <c r="AE188" s="56">
        <v>37</v>
      </c>
      <c r="AF188" s="54">
        <v>11</v>
      </c>
      <c r="AG188" s="55">
        <v>0</v>
      </c>
      <c r="AH188" s="55">
        <v>5.3</v>
      </c>
      <c r="AI188" s="57">
        <v>8.25</v>
      </c>
      <c r="AJ188" s="56">
        <v>37</v>
      </c>
      <c r="AK188" s="54">
        <v>11</v>
      </c>
      <c r="AL188" s="54">
        <v>0</v>
      </c>
      <c r="AM188" s="54">
        <v>5.4</v>
      </c>
      <c r="AN188" s="57">
        <v>13.5</v>
      </c>
      <c r="AO188" s="53">
        <v>37</v>
      </c>
      <c r="AP188" s="54">
        <v>10.8</v>
      </c>
      <c r="AQ188" s="54">
        <v>210</v>
      </c>
      <c r="AR188" s="54">
        <v>5.8</v>
      </c>
      <c r="AS188" s="57">
        <v>15</v>
      </c>
      <c r="AT188" s="56">
        <v>30</v>
      </c>
      <c r="AU188" s="57">
        <v>160</v>
      </c>
      <c r="AV188" s="56">
        <v>92.765296939999999</v>
      </c>
      <c r="AW188" s="57">
        <v>280.45331753741664</v>
      </c>
      <c r="AX188" s="8"/>
      <c r="AZ188" s="1">
        <v>90</v>
      </c>
      <c r="BB188" s="82">
        <f t="shared" si="16"/>
        <v>33.591999999999999</v>
      </c>
    </row>
    <row r="189" spans="3:54" ht="15" customHeight="1" x14ac:dyDescent="0.25">
      <c r="C189" s="42"/>
      <c r="D189" s="43">
        <f>D184</f>
        <v>45762</v>
      </c>
      <c r="E189" s="44">
        <f t="shared" si="21"/>
        <v>14.666666666666702</v>
      </c>
      <c r="F189" s="45">
        <f t="shared" si="17"/>
        <v>45762.666666667086</v>
      </c>
      <c r="G189" s="52">
        <v>42</v>
      </c>
      <c r="H189" s="53">
        <v>40</v>
      </c>
      <c r="I189" s="54">
        <v>10.1</v>
      </c>
      <c r="J189" s="54">
        <v>400</v>
      </c>
      <c r="K189" s="55">
        <v>7.1</v>
      </c>
      <c r="L189" s="56">
        <v>40</v>
      </c>
      <c r="M189" s="54">
        <v>10.7</v>
      </c>
      <c r="N189" s="54">
        <v>500</v>
      </c>
      <c r="O189" s="57">
        <v>7.3</v>
      </c>
      <c r="P189" s="53">
        <v>38</v>
      </c>
      <c r="Q189" s="54">
        <v>10.9</v>
      </c>
      <c r="R189" s="55">
        <v>0</v>
      </c>
      <c r="S189" s="55">
        <v>6.5</v>
      </c>
      <c r="T189" s="57">
        <v>18.25</v>
      </c>
      <c r="U189" s="56">
        <v>39</v>
      </c>
      <c r="V189" s="54">
        <v>11.1</v>
      </c>
      <c r="W189" s="55">
        <v>0</v>
      </c>
      <c r="X189" s="55">
        <v>6.4</v>
      </c>
      <c r="Y189" s="57">
        <v>10</v>
      </c>
      <c r="Z189" s="53">
        <v>39</v>
      </c>
      <c r="AA189" s="54">
        <v>11.1</v>
      </c>
      <c r="AB189" s="55">
        <v>0</v>
      </c>
      <c r="AC189" s="55">
        <v>5.2</v>
      </c>
      <c r="AD189" s="57">
        <v>8.75</v>
      </c>
      <c r="AE189" s="56">
        <v>37</v>
      </c>
      <c r="AF189" s="54">
        <v>11</v>
      </c>
      <c r="AG189" s="55">
        <v>0</v>
      </c>
      <c r="AH189" s="55">
        <v>5.4</v>
      </c>
      <c r="AI189" s="57">
        <v>9.25</v>
      </c>
      <c r="AJ189" s="56">
        <v>36</v>
      </c>
      <c r="AK189" s="54">
        <v>10.9</v>
      </c>
      <c r="AL189" s="54">
        <v>0</v>
      </c>
      <c r="AM189" s="54">
        <v>5.4</v>
      </c>
      <c r="AN189" s="57">
        <v>15</v>
      </c>
      <c r="AO189" s="53">
        <v>35</v>
      </c>
      <c r="AP189" s="54">
        <v>10.8</v>
      </c>
      <c r="AQ189" s="54">
        <v>220</v>
      </c>
      <c r="AR189" s="54">
        <v>5.5</v>
      </c>
      <c r="AS189" s="57">
        <v>13.75</v>
      </c>
      <c r="AT189" s="56">
        <v>28</v>
      </c>
      <c r="AU189" s="57">
        <v>160</v>
      </c>
      <c r="AV189" s="56">
        <v>84.842933650000006</v>
      </c>
      <c r="AW189" s="57">
        <v>243.34165063175001</v>
      </c>
      <c r="AX189" s="8"/>
      <c r="AZ189" s="1">
        <v>90</v>
      </c>
      <c r="BB189" s="82">
        <f t="shared" si="16"/>
        <v>33.15</v>
      </c>
    </row>
    <row r="190" spans="3:54" ht="15" customHeight="1" x14ac:dyDescent="0.25">
      <c r="C190" s="42"/>
      <c r="D190" s="43">
        <f>D184</f>
        <v>45762</v>
      </c>
      <c r="E190" s="44">
        <f t="shared" si="21"/>
        <v>14.750000000000036</v>
      </c>
      <c r="F190" s="45">
        <f t="shared" si="17"/>
        <v>45762.750000000422</v>
      </c>
      <c r="G190" s="52">
        <v>41</v>
      </c>
      <c r="H190" s="53">
        <v>41</v>
      </c>
      <c r="I190" s="54">
        <v>10.5</v>
      </c>
      <c r="J190" s="54">
        <v>550</v>
      </c>
      <c r="K190" s="55">
        <v>7.4</v>
      </c>
      <c r="L190" s="56">
        <v>39</v>
      </c>
      <c r="M190" s="54">
        <v>10.9</v>
      </c>
      <c r="N190" s="54">
        <v>500</v>
      </c>
      <c r="O190" s="57">
        <v>7</v>
      </c>
      <c r="P190" s="53">
        <v>38</v>
      </c>
      <c r="Q190" s="54">
        <v>10.9</v>
      </c>
      <c r="R190" s="55">
        <v>0</v>
      </c>
      <c r="S190" s="55">
        <v>6.1</v>
      </c>
      <c r="T190" s="57">
        <v>18.75</v>
      </c>
      <c r="U190" s="56">
        <v>38</v>
      </c>
      <c r="V190" s="54">
        <v>11.1</v>
      </c>
      <c r="W190" s="55">
        <v>0</v>
      </c>
      <c r="X190" s="55">
        <v>6.9</v>
      </c>
      <c r="Y190" s="57">
        <v>11.25</v>
      </c>
      <c r="Z190" s="53">
        <v>38</v>
      </c>
      <c r="AA190" s="54">
        <v>11</v>
      </c>
      <c r="AB190" s="55">
        <v>0</v>
      </c>
      <c r="AC190" s="55">
        <v>6</v>
      </c>
      <c r="AD190" s="57">
        <v>9.75</v>
      </c>
      <c r="AE190" s="56">
        <v>36</v>
      </c>
      <c r="AF190" s="54">
        <v>11</v>
      </c>
      <c r="AG190" s="55">
        <v>0</v>
      </c>
      <c r="AH190" s="55">
        <v>5.8</v>
      </c>
      <c r="AI190" s="57">
        <v>9.25</v>
      </c>
      <c r="AJ190" s="56">
        <v>36</v>
      </c>
      <c r="AK190" s="54">
        <v>10.9</v>
      </c>
      <c r="AL190" s="54">
        <v>0</v>
      </c>
      <c r="AM190" s="54">
        <v>5.2</v>
      </c>
      <c r="AN190" s="57">
        <v>13.5</v>
      </c>
      <c r="AO190" s="53">
        <v>35</v>
      </c>
      <c r="AP190" s="54">
        <v>10.9</v>
      </c>
      <c r="AQ190" s="54">
        <v>220</v>
      </c>
      <c r="AR190" s="54">
        <v>5.7</v>
      </c>
      <c r="AS190" s="57">
        <v>14.25</v>
      </c>
      <c r="AT190" s="56">
        <v>29</v>
      </c>
      <c r="AU190" s="57">
        <v>180</v>
      </c>
      <c r="AV190" s="56">
        <v>94.405105590000005</v>
      </c>
      <c r="AW190" s="57">
        <v>258.11511204491671</v>
      </c>
      <c r="AX190" s="8"/>
      <c r="AZ190" s="1">
        <v>90</v>
      </c>
      <c r="BB190" s="82">
        <f t="shared" si="16"/>
        <v>33.923499999999997</v>
      </c>
    </row>
    <row r="191" spans="3:54" ht="15" customHeight="1" x14ac:dyDescent="0.25">
      <c r="C191" s="42"/>
      <c r="D191" s="43">
        <f>D184</f>
        <v>45762</v>
      </c>
      <c r="E191" s="44">
        <f t="shared" si="21"/>
        <v>14.833333333333369</v>
      </c>
      <c r="F191" s="45">
        <f t="shared" si="17"/>
        <v>45762.833333333758</v>
      </c>
      <c r="G191" s="52">
        <v>47</v>
      </c>
      <c r="H191" s="53">
        <v>38</v>
      </c>
      <c r="I191" s="54">
        <v>11.2</v>
      </c>
      <c r="J191" s="54">
        <v>500</v>
      </c>
      <c r="K191" s="55">
        <v>6.4</v>
      </c>
      <c r="L191" s="56">
        <v>37</v>
      </c>
      <c r="M191" s="54">
        <v>11</v>
      </c>
      <c r="N191" s="54">
        <v>550</v>
      </c>
      <c r="O191" s="57">
        <v>6.1</v>
      </c>
      <c r="P191" s="53">
        <v>37</v>
      </c>
      <c r="Q191" s="54">
        <v>10.6</v>
      </c>
      <c r="R191" s="55">
        <v>0</v>
      </c>
      <c r="S191" s="55">
        <v>5.7</v>
      </c>
      <c r="T191" s="57">
        <v>13.75</v>
      </c>
      <c r="U191" s="56">
        <v>36</v>
      </c>
      <c r="V191" s="54">
        <v>10.6</v>
      </c>
      <c r="W191" s="55">
        <v>0</v>
      </c>
      <c r="X191" s="55">
        <v>5.9</v>
      </c>
      <c r="Y191" s="57">
        <v>10</v>
      </c>
      <c r="Z191" s="53">
        <v>37</v>
      </c>
      <c r="AA191" s="54">
        <v>10.8</v>
      </c>
      <c r="AB191" s="55">
        <v>0</v>
      </c>
      <c r="AC191" s="55">
        <v>5.6</v>
      </c>
      <c r="AD191" s="57">
        <v>10</v>
      </c>
      <c r="AE191" s="56">
        <v>33</v>
      </c>
      <c r="AF191" s="54">
        <v>11</v>
      </c>
      <c r="AG191" s="55">
        <v>0</v>
      </c>
      <c r="AH191" s="55">
        <v>5.5</v>
      </c>
      <c r="AI191" s="57">
        <v>7.5</v>
      </c>
      <c r="AJ191" s="56">
        <v>36</v>
      </c>
      <c r="AK191" s="54">
        <v>10.8</v>
      </c>
      <c r="AL191" s="54">
        <v>0</v>
      </c>
      <c r="AM191" s="54">
        <v>5.8</v>
      </c>
      <c r="AN191" s="57">
        <v>13.75</v>
      </c>
      <c r="AO191" s="53">
        <v>36</v>
      </c>
      <c r="AP191" s="54">
        <v>10.9</v>
      </c>
      <c r="AQ191" s="54">
        <v>160</v>
      </c>
      <c r="AR191" s="54">
        <v>6.1</v>
      </c>
      <c r="AS191" s="57">
        <v>15</v>
      </c>
      <c r="AT191" s="56">
        <v>32</v>
      </c>
      <c r="AU191" s="57">
        <v>120</v>
      </c>
      <c r="AV191" s="56">
        <v>0</v>
      </c>
      <c r="AW191" s="57">
        <v>299.05852071648314</v>
      </c>
      <c r="AX191" s="8"/>
      <c r="AZ191" s="1">
        <v>90</v>
      </c>
      <c r="BB191" s="82">
        <f t="shared" si="16"/>
        <v>30.94</v>
      </c>
    </row>
    <row r="192" spans="3:54" ht="15" customHeight="1" x14ac:dyDescent="0.25">
      <c r="C192" s="42"/>
      <c r="D192" s="43">
        <f>D184</f>
        <v>45762</v>
      </c>
      <c r="E192" s="44">
        <f t="shared" si="21"/>
        <v>14.916666666666703</v>
      </c>
      <c r="F192" s="45">
        <f t="shared" si="17"/>
        <v>45762.916666667094</v>
      </c>
      <c r="G192" s="52">
        <v>46</v>
      </c>
      <c r="H192" s="53">
        <v>38</v>
      </c>
      <c r="I192" s="54">
        <v>11.2</v>
      </c>
      <c r="J192" s="54">
        <v>550</v>
      </c>
      <c r="K192" s="55">
        <v>5.9</v>
      </c>
      <c r="L192" s="56">
        <v>37</v>
      </c>
      <c r="M192" s="54">
        <v>11.2</v>
      </c>
      <c r="N192" s="54">
        <v>550</v>
      </c>
      <c r="O192" s="57">
        <v>6.3</v>
      </c>
      <c r="P192" s="53">
        <v>36</v>
      </c>
      <c r="Q192" s="54">
        <v>10.7</v>
      </c>
      <c r="R192" s="55">
        <v>0</v>
      </c>
      <c r="S192" s="55">
        <v>5.9</v>
      </c>
      <c r="T192" s="57">
        <v>6.75</v>
      </c>
      <c r="U192" s="56">
        <v>36</v>
      </c>
      <c r="V192" s="54">
        <v>10.7</v>
      </c>
      <c r="W192" s="55">
        <v>0</v>
      </c>
      <c r="X192" s="55">
        <v>5.9</v>
      </c>
      <c r="Y192" s="57">
        <v>10</v>
      </c>
      <c r="Z192" s="53">
        <v>36</v>
      </c>
      <c r="AA192" s="54">
        <v>10.9</v>
      </c>
      <c r="AB192" s="55">
        <v>0</v>
      </c>
      <c r="AC192" s="55">
        <v>5.7</v>
      </c>
      <c r="AD192" s="57">
        <v>8.75</v>
      </c>
      <c r="AE192" s="56">
        <v>34</v>
      </c>
      <c r="AF192" s="54">
        <v>10.9</v>
      </c>
      <c r="AG192" s="55">
        <v>0</v>
      </c>
      <c r="AH192" s="55">
        <v>5.4</v>
      </c>
      <c r="AI192" s="57">
        <v>8.75</v>
      </c>
      <c r="AJ192" s="56">
        <v>35</v>
      </c>
      <c r="AK192" s="54">
        <v>10.8</v>
      </c>
      <c r="AL192" s="54">
        <v>0</v>
      </c>
      <c r="AM192" s="54">
        <v>5.9</v>
      </c>
      <c r="AN192" s="57">
        <v>13.75</v>
      </c>
      <c r="AO192" s="53">
        <v>35</v>
      </c>
      <c r="AP192" s="54">
        <v>10.9</v>
      </c>
      <c r="AQ192" s="54">
        <v>180</v>
      </c>
      <c r="AR192" s="54">
        <v>6</v>
      </c>
      <c r="AS192" s="57">
        <v>14.75</v>
      </c>
      <c r="AT192" s="56">
        <v>31</v>
      </c>
      <c r="AU192" s="57">
        <v>130</v>
      </c>
      <c r="AV192" s="56">
        <v>94.063308719999995</v>
      </c>
      <c r="AW192" s="57">
        <v>275.97210091709997</v>
      </c>
      <c r="AX192" s="8"/>
      <c r="AZ192" s="1">
        <v>90</v>
      </c>
      <c r="BB192" s="82">
        <f t="shared" si="16"/>
        <v>27.735499999999998</v>
      </c>
    </row>
    <row r="193" spans="3:54" ht="15" customHeight="1" x14ac:dyDescent="0.25">
      <c r="C193" s="42"/>
      <c r="D193" s="43">
        <f>D184</f>
        <v>45762</v>
      </c>
      <c r="E193" s="44">
        <f t="shared" si="21"/>
        <v>15.000000000000037</v>
      </c>
      <c r="F193" s="45">
        <f t="shared" si="17"/>
        <v>45763.000000000429</v>
      </c>
      <c r="G193" s="52">
        <v>40</v>
      </c>
      <c r="H193" s="53">
        <v>38</v>
      </c>
      <c r="I193" s="54">
        <v>11.1</v>
      </c>
      <c r="J193" s="54">
        <v>550</v>
      </c>
      <c r="K193" s="55">
        <v>6.3</v>
      </c>
      <c r="L193" s="56">
        <v>38</v>
      </c>
      <c r="M193" s="54">
        <v>11.2</v>
      </c>
      <c r="N193" s="54">
        <v>500</v>
      </c>
      <c r="O193" s="57">
        <v>6.2</v>
      </c>
      <c r="P193" s="53">
        <v>34</v>
      </c>
      <c r="Q193" s="54">
        <v>10.9</v>
      </c>
      <c r="R193" s="55">
        <v>0</v>
      </c>
      <c r="S193" s="55">
        <v>6</v>
      </c>
      <c r="T193" s="57">
        <v>8.75</v>
      </c>
      <c r="U193" s="56">
        <v>36</v>
      </c>
      <c r="V193" s="54">
        <v>10.9</v>
      </c>
      <c r="W193" s="55">
        <v>0</v>
      </c>
      <c r="X193" s="55">
        <v>5.8</v>
      </c>
      <c r="Y193" s="57">
        <v>7.5</v>
      </c>
      <c r="Z193" s="53">
        <v>36</v>
      </c>
      <c r="AA193" s="54">
        <v>11</v>
      </c>
      <c r="AB193" s="55">
        <v>0</v>
      </c>
      <c r="AC193" s="55">
        <v>5.9</v>
      </c>
      <c r="AD193" s="57">
        <v>8.75</v>
      </c>
      <c r="AE193" s="56">
        <v>35</v>
      </c>
      <c r="AF193" s="54">
        <v>10.8</v>
      </c>
      <c r="AG193" s="55">
        <v>0</v>
      </c>
      <c r="AH193" s="55">
        <v>5.5</v>
      </c>
      <c r="AI193" s="57">
        <v>7.5</v>
      </c>
      <c r="AJ193" s="56">
        <v>33</v>
      </c>
      <c r="AK193" s="54">
        <v>10.8</v>
      </c>
      <c r="AL193" s="54">
        <v>0</v>
      </c>
      <c r="AM193" s="54">
        <v>5.8</v>
      </c>
      <c r="AN193" s="57">
        <v>12.5</v>
      </c>
      <c r="AO193" s="53">
        <v>33</v>
      </c>
      <c r="AP193" s="54">
        <v>10.9</v>
      </c>
      <c r="AQ193" s="54">
        <v>200</v>
      </c>
      <c r="AR193" s="54">
        <v>6.3</v>
      </c>
      <c r="AS193" s="57">
        <v>13.75</v>
      </c>
      <c r="AT193" s="56">
        <v>31</v>
      </c>
      <c r="AU193" s="57">
        <v>150</v>
      </c>
      <c r="AV193" s="56">
        <v>94.596351619999993</v>
      </c>
      <c r="AW193" s="57">
        <v>253.62654264414169</v>
      </c>
      <c r="AX193" s="8"/>
      <c r="AZ193" s="1">
        <v>90</v>
      </c>
      <c r="BB193" s="82">
        <f t="shared" si="16"/>
        <v>25.967500000000001</v>
      </c>
    </row>
    <row r="194" spans="3:54" ht="15" customHeight="1" x14ac:dyDescent="0.25">
      <c r="C194" s="42"/>
      <c r="D194" s="43">
        <f>D184</f>
        <v>45762</v>
      </c>
      <c r="E194" s="44">
        <f t="shared" si="21"/>
        <v>15.083333333333371</v>
      </c>
      <c r="F194" s="45">
        <f t="shared" si="17"/>
        <v>45763.083333333765</v>
      </c>
      <c r="G194" s="52">
        <v>41</v>
      </c>
      <c r="H194" s="53">
        <v>40</v>
      </c>
      <c r="I194" s="54">
        <v>10.7</v>
      </c>
      <c r="J194" s="54">
        <v>550</v>
      </c>
      <c r="K194" s="55">
        <v>6.1</v>
      </c>
      <c r="L194" s="56">
        <v>43</v>
      </c>
      <c r="M194" s="54">
        <v>11</v>
      </c>
      <c r="N194" s="54">
        <v>550</v>
      </c>
      <c r="O194" s="57">
        <v>5.9</v>
      </c>
      <c r="P194" s="53">
        <v>34</v>
      </c>
      <c r="Q194" s="54">
        <v>10.9</v>
      </c>
      <c r="R194" s="55">
        <v>0</v>
      </c>
      <c r="S194" s="55">
        <v>5.9</v>
      </c>
      <c r="T194" s="57">
        <v>15</v>
      </c>
      <c r="U194" s="56">
        <v>36</v>
      </c>
      <c r="V194" s="54">
        <v>10.9</v>
      </c>
      <c r="W194" s="55">
        <v>0</v>
      </c>
      <c r="X194" s="55">
        <v>5.7</v>
      </c>
      <c r="Y194" s="57">
        <v>0</v>
      </c>
      <c r="Z194" s="53">
        <v>36</v>
      </c>
      <c r="AA194" s="54">
        <v>11</v>
      </c>
      <c r="AB194" s="55">
        <v>0</v>
      </c>
      <c r="AC194" s="55">
        <v>6</v>
      </c>
      <c r="AD194" s="57">
        <v>6.75</v>
      </c>
      <c r="AE194" s="56">
        <v>35</v>
      </c>
      <c r="AF194" s="54">
        <v>10.8</v>
      </c>
      <c r="AG194" s="55">
        <v>0</v>
      </c>
      <c r="AH194" s="55">
        <v>5.4</v>
      </c>
      <c r="AI194" s="57">
        <v>7.5</v>
      </c>
      <c r="AJ194" s="56">
        <v>33</v>
      </c>
      <c r="AK194" s="54">
        <v>10.8</v>
      </c>
      <c r="AL194" s="54">
        <v>0</v>
      </c>
      <c r="AM194" s="54">
        <v>5.7</v>
      </c>
      <c r="AN194" s="57">
        <v>12.5</v>
      </c>
      <c r="AO194" s="53">
        <v>33</v>
      </c>
      <c r="AP194" s="54">
        <v>10.9</v>
      </c>
      <c r="AQ194" s="54">
        <v>200</v>
      </c>
      <c r="AR194" s="54" t="s">
        <v>48</v>
      </c>
      <c r="AS194" s="57">
        <v>13.75</v>
      </c>
      <c r="AT194" s="56">
        <v>31</v>
      </c>
      <c r="AU194" s="57">
        <v>150</v>
      </c>
      <c r="AV194" s="56">
        <v>93.306472780000007</v>
      </c>
      <c r="AW194" s="57">
        <v>290.05099706544172</v>
      </c>
      <c r="AX194" s="8"/>
      <c r="AZ194" s="1">
        <v>90</v>
      </c>
      <c r="BB194" s="82">
        <f t="shared" si="16"/>
        <v>24.530999999999999</v>
      </c>
    </row>
    <row r="195" spans="3:54" ht="15" customHeight="1" x14ac:dyDescent="0.25">
      <c r="C195" s="42"/>
      <c r="D195" s="69">
        <f>D184</f>
        <v>45762</v>
      </c>
      <c r="E195" s="70">
        <f t="shared" si="21"/>
        <v>15.166666666666705</v>
      </c>
      <c r="F195" s="71">
        <f t="shared" si="17"/>
        <v>45763.166666667101</v>
      </c>
      <c r="G195" s="60">
        <v>43</v>
      </c>
      <c r="H195" s="61">
        <v>38</v>
      </c>
      <c r="I195" s="62">
        <v>10</v>
      </c>
      <c r="J195" s="62">
        <v>550</v>
      </c>
      <c r="K195" s="63">
        <v>6.1</v>
      </c>
      <c r="L195" s="64">
        <v>38</v>
      </c>
      <c r="M195" s="62">
        <v>10.8</v>
      </c>
      <c r="N195" s="62">
        <v>550</v>
      </c>
      <c r="O195" s="65">
        <v>6.3</v>
      </c>
      <c r="P195" s="61">
        <v>34</v>
      </c>
      <c r="Q195" s="62">
        <v>10.9</v>
      </c>
      <c r="R195" s="63">
        <v>0</v>
      </c>
      <c r="S195" s="63">
        <v>6.2</v>
      </c>
      <c r="T195" s="65">
        <v>15.5</v>
      </c>
      <c r="U195" s="64">
        <v>36</v>
      </c>
      <c r="V195" s="62">
        <v>10.9</v>
      </c>
      <c r="W195" s="63">
        <v>0</v>
      </c>
      <c r="X195" s="63">
        <v>5.6</v>
      </c>
      <c r="Y195" s="65">
        <v>10</v>
      </c>
      <c r="Z195" s="61">
        <v>36</v>
      </c>
      <c r="AA195" s="62">
        <v>11</v>
      </c>
      <c r="AB195" s="63">
        <v>0</v>
      </c>
      <c r="AC195" s="63">
        <v>5.7</v>
      </c>
      <c r="AD195" s="65">
        <v>0</v>
      </c>
      <c r="AE195" s="64">
        <v>35</v>
      </c>
      <c r="AF195" s="62">
        <v>10.8</v>
      </c>
      <c r="AG195" s="63">
        <v>0</v>
      </c>
      <c r="AH195" s="63">
        <v>5.2</v>
      </c>
      <c r="AI195" s="65">
        <v>7.5</v>
      </c>
      <c r="AJ195" s="64">
        <v>33</v>
      </c>
      <c r="AK195" s="62">
        <v>10.8</v>
      </c>
      <c r="AL195" s="62">
        <v>0</v>
      </c>
      <c r="AM195" s="62">
        <v>5.5</v>
      </c>
      <c r="AN195" s="65">
        <v>13.25</v>
      </c>
      <c r="AO195" s="61">
        <v>33</v>
      </c>
      <c r="AP195" s="62">
        <v>10.9</v>
      </c>
      <c r="AQ195" s="62">
        <v>200</v>
      </c>
      <c r="AR195" s="62">
        <v>5.7</v>
      </c>
      <c r="AS195" s="65">
        <v>14.75</v>
      </c>
      <c r="AT195" s="64">
        <v>31</v>
      </c>
      <c r="AU195" s="65">
        <v>140</v>
      </c>
      <c r="AV195" s="64">
        <v>94.913734439999999</v>
      </c>
      <c r="AW195" s="65">
        <v>252.27406446345015</v>
      </c>
      <c r="AX195" s="8"/>
      <c r="AZ195" s="1">
        <v>90</v>
      </c>
      <c r="BB195" s="82">
        <f t="shared" si="16"/>
        <v>26.962</v>
      </c>
    </row>
    <row r="196" spans="3:54" ht="15" customHeight="1" x14ac:dyDescent="0.25">
      <c r="C196" s="42">
        <f>C184+1</f>
        <v>16</v>
      </c>
      <c r="D196" s="66">
        <f>DATE([4]Dash!$F$3,VLOOKUP([4]Dash!$E$3,[4]Abb!$C$3:$D$14,2,FALSE),C196)</f>
        <v>45763</v>
      </c>
      <c r="E196" s="67">
        <f>E195+2/24</f>
        <v>15.250000000000039</v>
      </c>
      <c r="F196" s="68">
        <f t="shared" si="17"/>
        <v>45763.250000000437</v>
      </c>
      <c r="G196" s="46">
        <v>42</v>
      </c>
      <c r="H196" s="47">
        <v>39</v>
      </c>
      <c r="I196" s="48">
        <v>10.5</v>
      </c>
      <c r="J196" s="48">
        <v>550</v>
      </c>
      <c r="K196" s="49">
        <v>6.2</v>
      </c>
      <c r="L196" s="50">
        <v>40</v>
      </c>
      <c r="M196" s="48">
        <v>10.9</v>
      </c>
      <c r="N196" s="48">
        <v>550</v>
      </c>
      <c r="O196" s="51">
        <v>6.4</v>
      </c>
      <c r="P196" s="47">
        <v>36</v>
      </c>
      <c r="Q196" s="48">
        <v>10.9</v>
      </c>
      <c r="R196" s="49">
        <v>0</v>
      </c>
      <c r="S196" s="49">
        <v>5.7</v>
      </c>
      <c r="T196" s="51">
        <v>17.5</v>
      </c>
      <c r="U196" s="50">
        <v>37</v>
      </c>
      <c r="V196" s="48">
        <v>10.8</v>
      </c>
      <c r="W196" s="49">
        <v>0</v>
      </c>
      <c r="X196" s="49">
        <v>5.5</v>
      </c>
      <c r="Y196" s="51">
        <v>6.25</v>
      </c>
      <c r="Z196" s="47">
        <v>37</v>
      </c>
      <c r="AA196" s="48">
        <v>10.8</v>
      </c>
      <c r="AB196" s="49">
        <v>0</v>
      </c>
      <c r="AC196" s="49">
        <v>5.2</v>
      </c>
      <c r="AD196" s="51">
        <v>9.25</v>
      </c>
      <c r="AE196" s="50">
        <v>35</v>
      </c>
      <c r="AF196" s="48">
        <v>10.8</v>
      </c>
      <c r="AG196" s="49">
        <v>0</v>
      </c>
      <c r="AH196" s="49">
        <v>5.0999999999999996</v>
      </c>
      <c r="AI196" s="51">
        <v>7</v>
      </c>
      <c r="AJ196" s="50">
        <v>34</v>
      </c>
      <c r="AK196" s="48">
        <v>10.8</v>
      </c>
      <c r="AL196" s="48">
        <v>0</v>
      </c>
      <c r="AM196" s="48">
        <v>5.4</v>
      </c>
      <c r="AN196" s="51">
        <v>13.25</v>
      </c>
      <c r="AO196" s="47">
        <v>34</v>
      </c>
      <c r="AP196" s="48">
        <v>10.9</v>
      </c>
      <c r="AQ196" s="48">
        <v>200</v>
      </c>
      <c r="AR196" s="48">
        <v>5.2</v>
      </c>
      <c r="AS196" s="51">
        <v>14.75</v>
      </c>
      <c r="AT196" s="50">
        <v>28</v>
      </c>
      <c r="AU196" s="51">
        <v>150</v>
      </c>
      <c r="AV196" s="50">
        <v>93.680824279999996</v>
      </c>
      <c r="AW196" s="51">
        <v>255.19651706024169</v>
      </c>
      <c r="AX196" s="8"/>
      <c r="AZ196" s="1">
        <v>90</v>
      </c>
      <c r="BB196" s="82">
        <f t="shared" si="16"/>
        <v>30.056000000000001</v>
      </c>
    </row>
    <row r="197" spans="3:54" ht="15" customHeight="1" x14ac:dyDescent="0.25">
      <c r="C197" s="42"/>
      <c r="D197" s="43">
        <f>D196</f>
        <v>45763</v>
      </c>
      <c r="E197" s="44">
        <f>E196+2/24</f>
        <v>15.333333333333373</v>
      </c>
      <c r="F197" s="45">
        <f t="shared" si="17"/>
        <v>45763.333333333772</v>
      </c>
      <c r="G197" s="52">
        <v>43</v>
      </c>
      <c r="H197" s="53">
        <v>39</v>
      </c>
      <c r="I197" s="54">
        <v>11.6</v>
      </c>
      <c r="J197" s="54">
        <v>600</v>
      </c>
      <c r="K197" s="55">
        <v>6.1</v>
      </c>
      <c r="L197" s="56">
        <v>40</v>
      </c>
      <c r="M197" s="54">
        <v>11.6</v>
      </c>
      <c r="N197" s="54">
        <v>600</v>
      </c>
      <c r="O197" s="57">
        <v>6.1</v>
      </c>
      <c r="P197" s="53">
        <v>40</v>
      </c>
      <c r="Q197" s="54">
        <v>11</v>
      </c>
      <c r="R197" s="55">
        <v>0</v>
      </c>
      <c r="S197" s="55">
        <v>5.3</v>
      </c>
      <c r="T197" s="57">
        <v>16.25</v>
      </c>
      <c r="U197" s="56">
        <v>39</v>
      </c>
      <c r="V197" s="54">
        <v>11</v>
      </c>
      <c r="W197" s="55">
        <v>0</v>
      </c>
      <c r="X197" s="55">
        <v>5.5</v>
      </c>
      <c r="Y197" s="57">
        <v>6.25</v>
      </c>
      <c r="Z197" s="53">
        <v>36</v>
      </c>
      <c r="AA197" s="54">
        <v>11.1</v>
      </c>
      <c r="AB197" s="55">
        <v>0</v>
      </c>
      <c r="AC197" s="55">
        <v>5.5</v>
      </c>
      <c r="AD197" s="57">
        <v>7.5</v>
      </c>
      <c r="AE197" s="56">
        <v>35</v>
      </c>
      <c r="AF197" s="54">
        <v>11.1</v>
      </c>
      <c r="AG197" s="55">
        <v>0</v>
      </c>
      <c r="AH197" s="55">
        <v>5.4</v>
      </c>
      <c r="AI197" s="57">
        <v>5</v>
      </c>
      <c r="AJ197" s="56">
        <v>34</v>
      </c>
      <c r="AK197" s="54">
        <v>11.1</v>
      </c>
      <c r="AL197" s="54">
        <v>0</v>
      </c>
      <c r="AM197" s="54">
        <v>6.4</v>
      </c>
      <c r="AN197" s="57">
        <v>12.5</v>
      </c>
      <c r="AO197" s="53">
        <v>36</v>
      </c>
      <c r="AP197" s="54">
        <v>11.1</v>
      </c>
      <c r="AQ197" s="54">
        <v>160</v>
      </c>
      <c r="AR197" s="54">
        <v>6.6</v>
      </c>
      <c r="AS197" s="57">
        <v>13.75</v>
      </c>
      <c r="AT197" s="56">
        <v>29</v>
      </c>
      <c r="AU197" s="57">
        <v>100</v>
      </c>
      <c r="AV197" s="56">
        <v>91.654457089999994</v>
      </c>
      <c r="AW197" s="57">
        <v>296.50631738824995</v>
      </c>
      <c r="AX197" s="8"/>
      <c r="AZ197" s="1">
        <v>90</v>
      </c>
      <c r="BB197" s="82">
        <f t="shared" si="16"/>
        <v>27.072500000000002</v>
      </c>
    </row>
    <row r="198" spans="3:54" ht="15" customHeight="1" x14ac:dyDescent="0.25">
      <c r="C198" s="42"/>
      <c r="D198" s="43">
        <f>D196</f>
        <v>45763</v>
      </c>
      <c r="E198" s="44">
        <f t="shared" ref="E198:E207" si="22">E197+2/24</f>
        <v>15.416666666666707</v>
      </c>
      <c r="F198" s="45">
        <f t="shared" si="17"/>
        <v>45763.416666667108</v>
      </c>
      <c r="G198" s="52">
        <v>46</v>
      </c>
      <c r="H198" s="53">
        <v>43</v>
      </c>
      <c r="I198" s="54">
        <v>11.6</v>
      </c>
      <c r="J198" s="54">
        <v>600</v>
      </c>
      <c r="K198" s="55">
        <v>6.5</v>
      </c>
      <c r="L198" s="56">
        <v>42</v>
      </c>
      <c r="M198" s="54">
        <v>11.6</v>
      </c>
      <c r="N198" s="54">
        <v>600</v>
      </c>
      <c r="O198" s="57">
        <v>6.2</v>
      </c>
      <c r="P198" s="53">
        <v>42</v>
      </c>
      <c r="Q198" s="54">
        <v>11</v>
      </c>
      <c r="R198" s="55">
        <v>0</v>
      </c>
      <c r="S198" s="55">
        <v>5.5</v>
      </c>
      <c r="T198" s="57">
        <v>17</v>
      </c>
      <c r="U198" s="56">
        <v>38</v>
      </c>
      <c r="V198" s="54">
        <v>11</v>
      </c>
      <c r="W198" s="55">
        <v>0</v>
      </c>
      <c r="X198" s="55">
        <v>5.4</v>
      </c>
      <c r="Y198" s="57">
        <v>10</v>
      </c>
      <c r="Z198" s="53">
        <v>37</v>
      </c>
      <c r="AA198" s="54">
        <v>11</v>
      </c>
      <c r="AB198" s="55">
        <v>0</v>
      </c>
      <c r="AC198" s="55">
        <v>5.3</v>
      </c>
      <c r="AD198" s="57">
        <v>6.5</v>
      </c>
      <c r="AE198" s="56">
        <v>37</v>
      </c>
      <c r="AF198" s="54">
        <v>11.1</v>
      </c>
      <c r="AG198" s="55">
        <v>0</v>
      </c>
      <c r="AH198" s="55">
        <v>5.7</v>
      </c>
      <c r="AI198" s="57">
        <v>10</v>
      </c>
      <c r="AJ198" s="56">
        <v>35</v>
      </c>
      <c r="AK198" s="54">
        <v>11.1</v>
      </c>
      <c r="AL198" s="54">
        <v>0</v>
      </c>
      <c r="AM198" s="54">
        <v>6.1</v>
      </c>
      <c r="AN198" s="57">
        <v>8.25</v>
      </c>
      <c r="AO198" s="53">
        <v>38</v>
      </c>
      <c r="AP198" s="54">
        <v>10.8</v>
      </c>
      <c r="AQ198" s="54">
        <v>160</v>
      </c>
      <c r="AR198" s="54">
        <v>6.7</v>
      </c>
      <c r="AS198" s="57">
        <v>13.5</v>
      </c>
      <c r="AT198" s="56">
        <v>28</v>
      </c>
      <c r="AU198" s="57">
        <v>100</v>
      </c>
      <c r="AV198" s="56">
        <v>94.913734439999999</v>
      </c>
      <c r="AW198" s="57">
        <v>256.46568810340824</v>
      </c>
      <c r="AX198" s="8"/>
      <c r="AZ198" s="1">
        <v>90</v>
      </c>
      <c r="BB198" s="82">
        <f t="shared" si="16"/>
        <v>28.840499999999999</v>
      </c>
    </row>
    <row r="199" spans="3:54" ht="15" customHeight="1" x14ac:dyDescent="0.25">
      <c r="C199" s="42"/>
      <c r="D199" s="43">
        <f>D196</f>
        <v>45763</v>
      </c>
      <c r="E199" s="44">
        <f t="shared" si="22"/>
        <v>15.500000000000041</v>
      </c>
      <c r="F199" s="45">
        <f t="shared" si="17"/>
        <v>45763.500000000444</v>
      </c>
      <c r="G199" s="52">
        <v>44</v>
      </c>
      <c r="H199" s="53">
        <v>38</v>
      </c>
      <c r="I199" s="54">
        <v>11.1</v>
      </c>
      <c r="J199" s="54">
        <v>450</v>
      </c>
      <c r="K199" s="55">
        <v>6.4</v>
      </c>
      <c r="L199" s="56">
        <v>39</v>
      </c>
      <c r="M199" s="54">
        <v>11.1</v>
      </c>
      <c r="N199" s="54">
        <v>500</v>
      </c>
      <c r="O199" s="57">
        <v>6.3</v>
      </c>
      <c r="P199" s="53">
        <v>39</v>
      </c>
      <c r="Q199" s="54">
        <v>11</v>
      </c>
      <c r="R199" s="55">
        <v>0</v>
      </c>
      <c r="S199" s="55">
        <v>5.0999999999999996</v>
      </c>
      <c r="T199" s="57">
        <v>15</v>
      </c>
      <c r="U199" s="56">
        <v>37</v>
      </c>
      <c r="V199" s="54">
        <v>11</v>
      </c>
      <c r="W199" s="55">
        <v>0</v>
      </c>
      <c r="X199" s="55">
        <v>5.6</v>
      </c>
      <c r="Y199" s="57">
        <v>11.5</v>
      </c>
      <c r="Z199" s="53">
        <v>38</v>
      </c>
      <c r="AA199" s="54">
        <v>11</v>
      </c>
      <c r="AB199" s="55">
        <v>0</v>
      </c>
      <c r="AC199" s="55">
        <v>5.4</v>
      </c>
      <c r="AD199" s="57">
        <v>6.25</v>
      </c>
      <c r="AE199" s="56">
        <v>37</v>
      </c>
      <c r="AF199" s="54">
        <v>11</v>
      </c>
      <c r="AG199" s="55">
        <v>0</v>
      </c>
      <c r="AH199" s="55">
        <v>5.3</v>
      </c>
      <c r="AI199" s="57">
        <v>12.5</v>
      </c>
      <c r="AJ199" s="56">
        <v>36</v>
      </c>
      <c r="AK199" s="54">
        <v>11</v>
      </c>
      <c r="AL199" s="54">
        <v>0</v>
      </c>
      <c r="AM199" s="54">
        <v>6.1</v>
      </c>
      <c r="AN199" s="57">
        <v>5</v>
      </c>
      <c r="AO199" s="53">
        <v>36</v>
      </c>
      <c r="AP199" s="54">
        <v>11.1</v>
      </c>
      <c r="AQ199" s="54">
        <v>190</v>
      </c>
      <c r="AR199" s="54">
        <v>6.3</v>
      </c>
      <c r="AS199" s="57">
        <v>12.5</v>
      </c>
      <c r="AT199" s="56">
        <v>30</v>
      </c>
      <c r="AU199" s="57">
        <v>130</v>
      </c>
      <c r="AV199" s="56">
        <v>90.360511779999996</v>
      </c>
      <c r="AW199" s="57">
        <v>269.29940565952495</v>
      </c>
      <c r="AX199" s="8"/>
      <c r="AZ199" s="1">
        <v>90</v>
      </c>
      <c r="BB199" s="82">
        <f t="shared" si="16"/>
        <v>27.735499999999998</v>
      </c>
    </row>
    <row r="200" spans="3:54" ht="15" customHeight="1" x14ac:dyDescent="0.25">
      <c r="C200" s="42"/>
      <c r="D200" s="43">
        <f>D196</f>
        <v>45763</v>
      </c>
      <c r="E200" s="44">
        <f t="shared" si="22"/>
        <v>15.583333333333375</v>
      </c>
      <c r="F200" s="45">
        <f t="shared" si="17"/>
        <v>45763.58333333378</v>
      </c>
      <c r="G200" s="52">
        <v>45</v>
      </c>
      <c r="H200" s="53">
        <v>40</v>
      </c>
      <c r="I200" s="54">
        <v>11</v>
      </c>
      <c r="J200" s="54">
        <v>600</v>
      </c>
      <c r="K200" s="55">
        <v>6.5</v>
      </c>
      <c r="L200" s="56">
        <v>39</v>
      </c>
      <c r="M200" s="54">
        <v>11</v>
      </c>
      <c r="N200" s="54">
        <v>750</v>
      </c>
      <c r="O200" s="57">
        <v>6.2</v>
      </c>
      <c r="P200" s="53">
        <v>38</v>
      </c>
      <c r="Q200" s="54">
        <v>11</v>
      </c>
      <c r="R200" s="55">
        <v>0</v>
      </c>
      <c r="S200" s="55">
        <v>5.4</v>
      </c>
      <c r="T200" s="57">
        <v>16.5</v>
      </c>
      <c r="U200" s="56">
        <v>38</v>
      </c>
      <c r="V200" s="54">
        <v>10.9</v>
      </c>
      <c r="W200" s="55">
        <v>0</v>
      </c>
      <c r="X200" s="55">
        <v>5.3</v>
      </c>
      <c r="Y200" s="57">
        <v>11.25</v>
      </c>
      <c r="Z200" s="53">
        <v>38</v>
      </c>
      <c r="AA200" s="54">
        <v>10.9</v>
      </c>
      <c r="AB200" s="55">
        <v>0</v>
      </c>
      <c r="AC200" s="55">
        <v>5.5</v>
      </c>
      <c r="AD200" s="57">
        <v>6.25</v>
      </c>
      <c r="AE200" s="56">
        <v>36</v>
      </c>
      <c r="AF200" s="54">
        <v>11</v>
      </c>
      <c r="AG200" s="55">
        <v>0</v>
      </c>
      <c r="AH200" s="55">
        <v>5.7</v>
      </c>
      <c r="AI200" s="57">
        <v>12.5</v>
      </c>
      <c r="AJ200" s="56">
        <v>36</v>
      </c>
      <c r="AK200" s="54">
        <v>11.2</v>
      </c>
      <c r="AL200" s="54">
        <v>0</v>
      </c>
      <c r="AM200" s="54">
        <v>6.3</v>
      </c>
      <c r="AN200" s="57">
        <v>5.25</v>
      </c>
      <c r="AO200" s="53">
        <v>36</v>
      </c>
      <c r="AP200" s="54">
        <v>10.9</v>
      </c>
      <c r="AQ200" s="54">
        <v>170</v>
      </c>
      <c r="AR200" s="54">
        <v>6.4</v>
      </c>
      <c r="AS200" s="57">
        <v>14.25</v>
      </c>
      <c r="AT200" s="56">
        <v>28</v>
      </c>
      <c r="AU200" s="57">
        <v>110</v>
      </c>
      <c r="AV200" s="56">
        <v>94.173171999999994</v>
      </c>
      <c r="AW200" s="57">
        <v>287.38811693246657</v>
      </c>
      <c r="AX200" s="8"/>
      <c r="AZ200" s="1">
        <v>90</v>
      </c>
      <c r="BB200" s="82">
        <f t="shared" si="16"/>
        <v>29.172000000000001</v>
      </c>
    </row>
    <row r="201" spans="3:54" ht="15" customHeight="1" x14ac:dyDescent="0.25">
      <c r="C201" s="42"/>
      <c r="D201" s="43">
        <f>D196</f>
        <v>45763</v>
      </c>
      <c r="E201" s="44">
        <f t="shared" si="22"/>
        <v>15.666666666666709</v>
      </c>
      <c r="F201" s="45">
        <f t="shared" si="17"/>
        <v>45763.666666667115</v>
      </c>
      <c r="G201" s="52">
        <v>0</v>
      </c>
      <c r="H201" s="53">
        <v>41</v>
      </c>
      <c r="I201" s="54">
        <v>10.6</v>
      </c>
      <c r="J201" s="54">
        <v>300</v>
      </c>
      <c r="K201" s="55">
        <v>6.3</v>
      </c>
      <c r="L201" s="56">
        <v>38</v>
      </c>
      <c r="M201" s="54">
        <v>10.6</v>
      </c>
      <c r="N201" s="54">
        <v>900</v>
      </c>
      <c r="O201" s="57">
        <v>6.4</v>
      </c>
      <c r="P201" s="53">
        <v>39</v>
      </c>
      <c r="Q201" s="54">
        <v>11</v>
      </c>
      <c r="R201" s="55">
        <v>0</v>
      </c>
      <c r="S201" s="55">
        <v>5.3</v>
      </c>
      <c r="T201" s="57">
        <v>16.25</v>
      </c>
      <c r="U201" s="56">
        <v>37</v>
      </c>
      <c r="V201" s="54">
        <v>11</v>
      </c>
      <c r="W201" s="55">
        <v>0</v>
      </c>
      <c r="X201" s="55">
        <v>5.4</v>
      </c>
      <c r="Y201" s="57">
        <v>7.5</v>
      </c>
      <c r="Z201" s="53">
        <v>36</v>
      </c>
      <c r="AA201" s="54">
        <v>10.9</v>
      </c>
      <c r="AB201" s="55">
        <v>0</v>
      </c>
      <c r="AC201" s="55">
        <v>5.3</v>
      </c>
      <c r="AD201" s="57">
        <v>7.5</v>
      </c>
      <c r="AE201" s="56">
        <v>36</v>
      </c>
      <c r="AF201" s="54">
        <v>11</v>
      </c>
      <c r="AG201" s="55">
        <v>0</v>
      </c>
      <c r="AH201" s="55">
        <v>5.4</v>
      </c>
      <c r="AI201" s="57">
        <v>11.25</v>
      </c>
      <c r="AJ201" s="56">
        <v>36</v>
      </c>
      <c r="AK201" s="54">
        <v>10.8</v>
      </c>
      <c r="AL201" s="54">
        <v>0</v>
      </c>
      <c r="AM201" s="54">
        <v>6.4</v>
      </c>
      <c r="AN201" s="57">
        <v>7.5</v>
      </c>
      <c r="AO201" s="53">
        <v>34</v>
      </c>
      <c r="AP201" s="54">
        <v>10.9</v>
      </c>
      <c r="AQ201" s="54">
        <v>210</v>
      </c>
      <c r="AR201" s="54">
        <v>6.7</v>
      </c>
      <c r="AS201" s="57">
        <v>15</v>
      </c>
      <c r="AT201" s="56">
        <v>14</v>
      </c>
      <c r="AU201" s="57">
        <v>110</v>
      </c>
      <c r="AV201" s="56">
        <v>92.171218872070298</v>
      </c>
      <c r="AW201" s="57">
        <v>272.71809886760201</v>
      </c>
      <c r="AX201" s="8"/>
      <c r="AZ201" s="1">
        <v>90</v>
      </c>
      <c r="BB201" s="82">
        <f t="shared" si="16"/>
        <v>28.73</v>
      </c>
    </row>
    <row r="202" spans="3:54" ht="15" customHeight="1" x14ac:dyDescent="0.25">
      <c r="C202" s="42"/>
      <c r="D202" s="43">
        <f>D196</f>
        <v>45763</v>
      </c>
      <c r="E202" s="44">
        <f t="shared" si="22"/>
        <v>15.750000000000043</v>
      </c>
      <c r="F202" s="45">
        <f t="shared" si="17"/>
        <v>45763.750000000451</v>
      </c>
      <c r="G202" s="52">
        <v>51</v>
      </c>
      <c r="H202" s="53">
        <v>39</v>
      </c>
      <c r="I202" s="54">
        <v>10.4</v>
      </c>
      <c r="J202" s="54">
        <v>350</v>
      </c>
      <c r="K202" s="55">
        <v>6.1</v>
      </c>
      <c r="L202" s="56">
        <v>39</v>
      </c>
      <c r="M202" s="54">
        <v>10.4</v>
      </c>
      <c r="N202" s="54">
        <v>850</v>
      </c>
      <c r="O202" s="57">
        <v>6.4</v>
      </c>
      <c r="P202" s="53">
        <v>39</v>
      </c>
      <c r="Q202" s="54">
        <v>11</v>
      </c>
      <c r="R202" s="55">
        <v>0</v>
      </c>
      <c r="S202" s="55">
        <v>5.7</v>
      </c>
      <c r="T202" s="57">
        <v>16.5</v>
      </c>
      <c r="U202" s="56">
        <v>37</v>
      </c>
      <c r="V202" s="54">
        <v>10.8</v>
      </c>
      <c r="W202" s="55">
        <v>0</v>
      </c>
      <c r="X202" s="55">
        <v>5.0999999999999996</v>
      </c>
      <c r="Y202" s="57">
        <v>11.5</v>
      </c>
      <c r="Z202" s="53">
        <v>36</v>
      </c>
      <c r="AA202" s="54">
        <v>10.9</v>
      </c>
      <c r="AB202" s="55">
        <v>0</v>
      </c>
      <c r="AC202" s="55">
        <v>5.5</v>
      </c>
      <c r="AD202" s="57">
        <v>7.5</v>
      </c>
      <c r="AE202" s="56">
        <v>37</v>
      </c>
      <c r="AF202" s="54">
        <v>10.9</v>
      </c>
      <c r="AG202" s="55">
        <v>0</v>
      </c>
      <c r="AH202" s="55">
        <v>5.4</v>
      </c>
      <c r="AI202" s="57">
        <v>12.5</v>
      </c>
      <c r="AJ202" s="56">
        <v>36</v>
      </c>
      <c r="AK202" s="54">
        <v>10.7</v>
      </c>
      <c r="AL202" s="54">
        <v>0</v>
      </c>
      <c r="AM202" s="54">
        <v>6.1</v>
      </c>
      <c r="AN202" s="57">
        <v>7.5</v>
      </c>
      <c r="AO202" s="53">
        <v>38</v>
      </c>
      <c r="AP202" s="54">
        <v>10.7</v>
      </c>
      <c r="AQ202" s="54">
        <v>200</v>
      </c>
      <c r="AR202" s="54">
        <v>6.5</v>
      </c>
      <c r="AS202" s="57">
        <v>14.75</v>
      </c>
      <c r="AT202" s="56">
        <v>28</v>
      </c>
      <c r="AU202" s="57">
        <v>100</v>
      </c>
      <c r="AV202" s="56">
        <v>89.742019653320298</v>
      </c>
      <c r="AW202" s="57">
        <v>245.19157469566755</v>
      </c>
      <c r="AX202" s="8"/>
      <c r="AZ202" s="1">
        <v>90</v>
      </c>
      <c r="BB202" s="82">
        <f t="shared" si="16"/>
        <v>31.0505</v>
      </c>
    </row>
    <row r="203" spans="3:54" ht="15" customHeight="1" x14ac:dyDescent="0.25">
      <c r="C203" s="42"/>
      <c r="D203" s="43">
        <f>D196</f>
        <v>45763</v>
      </c>
      <c r="E203" s="44">
        <f t="shared" si="22"/>
        <v>15.833333333333377</v>
      </c>
      <c r="F203" s="45">
        <f t="shared" si="17"/>
        <v>45763.833333333787</v>
      </c>
      <c r="G203" s="52">
        <v>36</v>
      </c>
      <c r="H203" s="53">
        <v>40</v>
      </c>
      <c r="I203" s="54">
        <v>11.8</v>
      </c>
      <c r="J203" s="54">
        <v>500</v>
      </c>
      <c r="K203" s="55">
        <v>6.2</v>
      </c>
      <c r="L203" s="56">
        <v>39</v>
      </c>
      <c r="M203" s="54">
        <v>11.6</v>
      </c>
      <c r="N203" s="54">
        <v>750</v>
      </c>
      <c r="O203" s="57">
        <v>5.9</v>
      </c>
      <c r="P203" s="53">
        <v>38</v>
      </c>
      <c r="Q203" s="54">
        <v>11</v>
      </c>
      <c r="R203" s="55">
        <v>0</v>
      </c>
      <c r="S203" s="55">
        <v>6</v>
      </c>
      <c r="T203" s="57">
        <v>17.5</v>
      </c>
      <c r="U203" s="56">
        <v>38</v>
      </c>
      <c r="V203" s="54">
        <v>11</v>
      </c>
      <c r="W203" s="55">
        <v>0</v>
      </c>
      <c r="X203" s="55">
        <v>6.4</v>
      </c>
      <c r="Y203" s="57">
        <v>10.5</v>
      </c>
      <c r="Z203" s="53">
        <v>38</v>
      </c>
      <c r="AA203" s="54">
        <v>11</v>
      </c>
      <c r="AB203" s="55">
        <v>0</v>
      </c>
      <c r="AC203" s="55">
        <v>5.6</v>
      </c>
      <c r="AD203" s="57">
        <v>6.75</v>
      </c>
      <c r="AE203" s="56">
        <v>37</v>
      </c>
      <c r="AF203" s="54">
        <v>10.9</v>
      </c>
      <c r="AG203" s="55">
        <v>0</v>
      </c>
      <c r="AH203" s="55">
        <v>5.8</v>
      </c>
      <c r="AI203" s="57">
        <v>7.5</v>
      </c>
      <c r="AJ203" s="56">
        <v>36</v>
      </c>
      <c r="AK203" s="54">
        <v>10.8</v>
      </c>
      <c r="AL203" s="54">
        <v>0</v>
      </c>
      <c r="AM203" s="54">
        <v>5.9</v>
      </c>
      <c r="AN203" s="57">
        <v>7.5</v>
      </c>
      <c r="AO203" s="53">
        <v>36</v>
      </c>
      <c r="AP203" s="54">
        <v>10.8</v>
      </c>
      <c r="AQ203" s="54">
        <v>230</v>
      </c>
      <c r="AR203" s="54">
        <v>6.5</v>
      </c>
      <c r="AS203" s="57">
        <v>21.25</v>
      </c>
      <c r="AT203" s="56">
        <v>29</v>
      </c>
      <c r="AU203" s="57">
        <v>180</v>
      </c>
      <c r="AV203" s="56">
        <v>88.037109375</v>
      </c>
      <c r="AW203" s="57">
        <v>263.44352838882094</v>
      </c>
      <c r="AX203" s="8"/>
      <c r="AZ203" s="1">
        <v>90</v>
      </c>
      <c r="BB203" s="82">
        <f t="shared" si="16"/>
        <v>31.382000000000001</v>
      </c>
    </row>
    <row r="204" spans="3:54" ht="15" customHeight="1" x14ac:dyDescent="0.25">
      <c r="C204" s="42"/>
      <c r="D204" s="43">
        <f>D196</f>
        <v>45763</v>
      </c>
      <c r="E204" s="44">
        <f t="shared" si="22"/>
        <v>15.91666666666671</v>
      </c>
      <c r="F204" s="45">
        <f t="shared" si="17"/>
        <v>45763.916666667123</v>
      </c>
      <c r="G204" s="52">
        <v>40</v>
      </c>
      <c r="H204" s="53">
        <v>40</v>
      </c>
      <c r="I204" s="54">
        <v>11.9</v>
      </c>
      <c r="J204" s="54">
        <v>500</v>
      </c>
      <c r="K204" s="55">
        <v>6.9</v>
      </c>
      <c r="L204" s="56">
        <v>38</v>
      </c>
      <c r="M204" s="54">
        <v>10.5</v>
      </c>
      <c r="N204" s="54">
        <v>650</v>
      </c>
      <c r="O204" s="57">
        <v>6.1</v>
      </c>
      <c r="P204" s="53">
        <v>37</v>
      </c>
      <c r="Q204" s="54">
        <v>11.2</v>
      </c>
      <c r="R204" s="55">
        <v>0</v>
      </c>
      <c r="S204" s="55">
        <v>5.5</v>
      </c>
      <c r="T204" s="57">
        <v>17.5</v>
      </c>
      <c r="U204" s="56">
        <v>37</v>
      </c>
      <c r="V204" s="54">
        <v>11.1</v>
      </c>
      <c r="W204" s="55">
        <v>0</v>
      </c>
      <c r="X204" s="55">
        <v>6.2</v>
      </c>
      <c r="Y204" s="57">
        <v>10.5</v>
      </c>
      <c r="Z204" s="53">
        <v>37</v>
      </c>
      <c r="AA204" s="54">
        <v>11</v>
      </c>
      <c r="AB204" s="55">
        <v>0</v>
      </c>
      <c r="AC204" s="55">
        <v>5.8</v>
      </c>
      <c r="AD204" s="57">
        <v>6.25</v>
      </c>
      <c r="AE204" s="56">
        <v>36</v>
      </c>
      <c r="AF204" s="54">
        <v>10.9</v>
      </c>
      <c r="AG204" s="55">
        <v>0</v>
      </c>
      <c r="AH204" s="55">
        <v>5.5</v>
      </c>
      <c r="AI204" s="57">
        <v>7.5</v>
      </c>
      <c r="AJ204" s="56">
        <v>37</v>
      </c>
      <c r="AK204" s="54">
        <v>10.9</v>
      </c>
      <c r="AL204" s="54">
        <v>0</v>
      </c>
      <c r="AM204" s="54">
        <v>6.6</v>
      </c>
      <c r="AN204" s="57">
        <v>13.75</v>
      </c>
      <c r="AO204" s="53">
        <v>36</v>
      </c>
      <c r="AP204" s="54">
        <v>10.8</v>
      </c>
      <c r="AQ204" s="54">
        <v>220</v>
      </c>
      <c r="AR204" s="54">
        <v>6.2</v>
      </c>
      <c r="AS204" s="57">
        <v>18</v>
      </c>
      <c r="AT204" s="56">
        <v>30</v>
      </c>
      <c r="AU204" s="57">
        <v>180</v>
      </c>
      <c r="AV204" s="56">
        <v>89.697265625</v>
      </c>
      <c r="AW204" s="57">
        <v>321.36176136496164</v>
      </c>
      <c r="AX204" s="8"/>
      <c r="AZ204" s="1">
        <v>90</v>
      </c>
      <c r="BB204" s="82">
        <f t="shared" si="16"/>
        <v>32.487000000000002</v>
      </c>
    </row>
    <row r="205" spans="3:54" ht="15" customHeight="1" x14ac:dyDescent="0.25">
      <c r="C205" s="42"/>
      <c r="D205" s="43">
        <f>D196</f>
        <v>45763</v>
      </c>
      <c r="E205" s="44">
        <f t="shared" si="22"/>
        <v>16.000000000000043</v>
      </c>
      <c r="F205" s="45">
        <f t="shared" si="17"/>
        <v>45764.000000000458</v>
      </c>
      <c r="G205" s="52">
        <v>37</v>
      </c>
      <c r="H205" s="53">
        <v>39</v>
      </c>
      <c r="I205" s="54">
        <v>11.5</v>
      </c>
      <c r="J205" s="54">
        <v>500</v>
      </c>
      <c r="K205" s="55">
        <v>6.5</v>
      </c>
      <c r="L205" s="56">
        <v>38</v>
      </c>
      <c r="M205" s="54">
        <v>11.5</v>
      </c>
      <c r="N205" s="54">
        <v>600</v>
      </c>
      <c r="O205" s="57">
        <v>6.4</v>
      </c>
      <c r="P205" s="53">
        <v>38</v>
      </c>
      <c r="Q205" s="54">
        <v>11.4</v>
      </c>
      <c r="R205" s="55">
        <v>0</v>
      </c>
      <c r="S205" s="55">
        <v>5.9</v>
      </c>
      <c r="T205" s="57">
        <v>16.5</v>
      </c>
      <c r="U205" s="56">
        <v>37</v>
      </c>
      <c r="V205" s="54">
        <v>11.2</v>
      </c>
      <c r="W205" s="55">
        <v>0</v>
      </c>
      <c r="X205" s="55">
        <v>5.5</v>
      </c>
      <c r="Y205" s="57">
        <v>10.75</v>
      </c>
      <c r="Z205" s="53">
        <v>38</v>
      </c>
      <c r="AA205" s="54">
        <v>11.1</v>
      </c>
      <c r="AB205" s="55">
        <v>0</v>
      </c>
      <c r="AC205" s="55">
        <v>5.4</v>
      </c>
      <c r="AD205" s="57">
        <v>6.75</v>
      </c>
      <c r="AE205" s="56">
        <v>36</v>
      </c>
      <c r="AF205" s="54">
        <v>10.9</v>
      </c>
      <c r="AG205" s="55">
        <v>0</v>
      </c>
      <c r="AH205" s="55">
        <v>5.7</v>
      </c>
      <c r="AI205" s="57">
        <v>8.75</v>
      </c>
      <c r="AJ205" s="56">
        <v>36</v>
      </c>
      <c r="AK205" s="54">
        <v>11</v>
      </c>
      <c r="AL205" s="54">
        <v>0</v>
      </c>
      <c r="AM205" s="54">
        <v>5.8</v>
      </c>
      <c r="AN205" s="57">
        <v>13.5</v>
      </c>
      <c r="AO205" s="53">
        <v>37</v>
      </c>
      <c r="AP205" s="54">
        <v>11</v>
      </c>
      <c r="AQ205" s="54">
        <v>200</v>
      </c>
      <c r="AR205" s="54">
        <v>6.3</v>
      </c>
      <c r="AS205" s="57">
        <v>18</v>
      </c>
      <c r="AT205" s="56">
        <v>29</v>
      </c>
      <c r="AU205" s="57">
        <v>170</v>
      </c>
      <c r="AV205" s="56">
        <v>89.66064453125</v>
      </c>
      <c r="AW205" s="57">
        <v>323.80967822838574</v>
      </c>
      <c r="AX205" s="8"/>
      <c r="AZ205" s="1">
        <v>90</v>
      </c>
      <c r="BB205" s="82">
        <f t="shared" si="16"/>
        <v>32.8185</v>
      </c>
    </row>
    <row r="206" spans="3:54" ht="15" customHeight="1" x14ac:dyDescent="0.25">
      <c r="C206" s="42"/>
      <c r="D206" s="43">
        <f>D196</f>
        <v>45763</v>
      </c>
      <c r="E206" s="44">
        <f t="shared" si="22"/>
        <v>16.083333333333375</v>
      </c>
      <c r="F206" s="45">
        <f t="shared" si="17"/>
        <v>45764.083333333794</v>
      </c>
      <c r="G206" s="52">
        <v>39</v>
      </c>
      <c r="H206" s="53">
        <v>40</v>
      </c>
      <c r="I206" s="54">
        <v>11.11</v>
      </c>
      <c r="J206" s="54">
        <v>550</v>
      </c>
      <c r="K206" s="55">
        <v>6.7</v>
      </c>
      <c r="L206" s="56">
        <v>40</v>
      </c>
      <c r="M206" s="54">
        <v>11.2</v>
      </c>
      <c r="N206" s="54">
        <v>600</v>
      </c>
      <c r="O206" s="57">
        <v>6.5</v>
      </c>
      <c r="P206" s="53">
        <v>39</v>
      </c>
      <c r="Q206" s="54">
        <v>11.4</v>
      </c>
      <c r="R206" s="55">
        <v>0</v>
      </c>
      <c r="S206" s="55">
        <v>5.5</v>
      </c>
      <c r="T206" s="57">
        <v>17.75</v>
      </c>
      <c r="U206" s="56">
        <v>38</v>
      </c>
      <c r="V206" s="54">
        <v>11.2</v>
      </c>
      <c r="W206" s="55">
        <v>0</v>
      </c>
      <c r="X206" s="55">
        <v>5.9</v>
      </c>
      <c r="Y206" s="57">
        <v>10.25</v>
      </c>
      <c r="Z206" s="53">
        <v>37</v>
      </c>
      <c r="AA206" s="54">
        <v>11.1</v>
      </c>
      <c r="AB206" s="55">
        <v>0</v>
      </c>
      <c r="AC206" s="55">
        <v>5.3</v>
      </c>
      <c r="AD206" s="57">
        <v>6.25</v>
      </c>
      <c r="AE206" s="56">
        <v>36</v>
      </c>
      <c r="AF206" s="54">
        <v>10.9</v>
      </c>
      <c r="AG206" s="55">
        <v>0</v>
      </c>
      <c r="AH206" s="55">
        <v>5.8</v>
      </c>
      <c r="AI206" s="57">
        <v>7.75</v>
      </c>
      <c r="AJ206" s="56">
        <v>35</v>
      </c>
      <c r="AK206" s="54">
        <v>11</v>
      </c>
      <c r="AL206" s="54">
        <v>0</v>
      </c>
      <c r="AM206" s="54">
        <v>5.9</v>
      </c>
      <c r="AN206" s="57">
        <v>13.3</v>
      </c>
      <c r="AO206" s="53">
        <v>35</v>
      </c>
      <c r="AP206" s="54">
        <v>11</v>
      </c>
      <c r="AQ206" s="54">
        <v>200</v>
      </c>
      <c r="AR206" s="54">
        <v>6.1</v>
      </c>
      <c r="AS206" s="57">
        <v>18.25</v>
      </c>
      <c r="AT206" s="56">
        <v>28</v>
      </c>
      <c r="AU206" s="57">
        <v>170</v>
      </c>
      <c r="AV206" s="56">
        <v>89.506019592285199</v>
      </c>
      <c r="AW206" s="57">
        <v>318.71286619516712</v>
      </c>
      <c r="AX206" s="8"/>
      <c r="AZ206" s="1">
        <v>90</v>
      </c>
      <c r="BB206" s="82">
        <f t="shared" si="16"/>
        <v>32.509099999999997</v>
      </c>
    </row>
    <row r="207" spans="3:54" ht="15" customHeight="1" x14ac:dyDescent="0.25">
      <c r="C207" s="42"/>
      <c r="D207" s="69">
        <f>D196</f>
        <v>45763</v>
      </c>
      <c r="E207" s="70">
        <f t="shared" si="22"/>
        <v>16.166666666666707</v>
      </c>
      <c r="F207" s="71">
        <f t="shared" si="17"/>
        <v>45764.16666666713</v>
      </c>
      <c r="G207" s="60">
        <v>37</v>
      </c>
      <c r="H207" s="61">
        <v>38</v>
      </c>
      <c r="I207" s="62">
        <v>10.8</v>
      </c>
      <c r="J207" s="62">
        <v>550</v>
      </c>
      <c r="K207" s="63">
        <v>7.8</v>
      </c>
      <c r="L207" s="64">
        <v>38</v>
      </c>
      <c r="M207" s="62">
        <v>11.1</v>
      </c>
      <c r="N207" s="62">
        <v>600</v>
      </c>
      <c r="O207" s="65">
        <v>6.8</v>
      </c>
      <c r="P207" s="61">
        <v>38</v>
      </c>
      <c r="Q207" s="62">
        <v>11.3</v>
      </c>
      <c r="R207" s="63">
        <v>0</v>
      </c>
      <c r="S207" s="63">
        <v>5.8</v>
      </c>
      <c r="T207" s="65">
        <v>17</v>
      </c>
      <c r="U207" s="64">
        <v>38</v>
      </c>
      <c r="V207" s="62">
        <v>11</v>
      </c>
      <c r="W207" s="63">
        <v>0</v>
      </c>
      <c r="X207" s="63">
        <v>6.1</v>
      </c>
      <c r="Y207" s="65">
        <v>10.5</v>
      </c>
      <c r="Z207" s="61">
        <v>38</v>
      </c>
      <c r="AA207" s="62">
        <v>11.1</v>
      </c>
      <c r="AB207" s="63">
        <v>0</v>
      </c>
      <c r="AC207" s="63">
        <v>5.0999999999999996</v>
      </c>
      <c r="AD207" s="65">
        <v>6.25</v>
      </c>
      <c r="AE207" s="64">
        <v>35</v>
      </c>
      <c r="AF207" s="62">
        <v>11</v>
      </c>
      <c r="AG207" s="63">
        <v>0</v>
      </c>
      <c r="AH207" s="63">
        <v>5.4</v>
      </c>
      <c r="AI207" s="65">
        <v>8.25</v>
      </c>
      <c r="AJ207" s="64">
        <v>36</v>
      </c>
      <c r="AK207" s="62">
        <v>11</v>
      </c>
      <c r="AL207" s="62">
        <v>0</v>
      </c>
      <c r="AM207" s="62">
        <v>5.6</v>
      </c>
      <c r="AN207" s="65">
        <v>13.25</v>
      </c>
      <c r="AO207" s="61">
        <v>35</v>
      </c>
      <c r="AP207" s="62">
        <v>10.9</v>
      </c>
      <c r="AQ207" s="62">
        <v>210</v>
      </c>
      <c r="AR207" s="62">
        <v>5.9</v>
      </c>
      <c r="AS207" s="65">
        <v>17.75</v>
      </c>
      <c r="AT207" s="64">
        <v>29</v>
      </c>
      <c r="AU207" s="65">
        <v>170</v>
      </c>
      <c r="AV207" s="64">
        <v>89.306640625</v>
      </c>
      <c r="AW207" s="65">
        <v>316.06276471208162</v>
      </c>
      <c r="AX207" s="8"/>
      <c r="AZ207" s="1">
        <v>90</v>
      </c>
      <c r="BB207" s="82">
        <f t="shared" si="16"/>
        <v>32.265999999999998</v>
      </c>
    </row>
    <row r="208" spans="3:54" ht="15" customHeight="1" x14ac:dyDescent="0.25">
      <c r="C208" s="42">
        <f>C196+1</f>
        <v>17</v>
      </c>
      <c r="D208" s="66">
        <f>DATE([4]Dash!$F$3,VLOOKUP([4]Dash!$E$3,[4]Abb!$C$3:$D$14,2,FALSE),C208)</f>
        <v>45764</v>
      </c>
      <c r="E208" s="67">
        <f>E207+2/24</f>
        <v>16.250000000000039</v>
      </c>
      <c r="F208" s="68">
        <f t="shared" si="17"/>
        <v>45764.250000000466</v>
      </c>
      <c r="G208" s="46">
        <v>41</v>
      </c>
      <c r="H208" s="47">
        <v>38</v>
      </c>
      <c r="I208" s="48">
        <v>10.7</v>
      </c>
      <c r="J208" s="48">
        <v>500</v>
      </c>
      <c r="K208" s="49">
        <v>6.9</v>
      </c>
      <c r="L208" s="50">
        <v>38</v>
      </c>
      <c r="M208" s="48">
        <v>11</v>
      </c>
      <c r="N208" s="48">
        <v>500</v>
      </c>
      <c r="O208" s="51">
        <v>6.4</v>
      </c>
      <c r="P208" s="47">
        <v>39</v>
      </c>
      <c r="Q208" s="48">
        <v>10.8</v>
      </c>
      <c r="R208" s="49">
        <v>0</v>
      </c>
      <c r="S208" s="49">
        <v>5.2</v>
      </c>
      <c r="T208" s="51">
        <v>17.25</v>
      </c>
      <c r="U208" s="50">
        <v>38</v>
      </c>
      <c r="V208" s="48">
        <v>10.8</v>
      </c>
      <c r="W208" s="49">
        <v>0</v>
      </c>
      <c r="X208" s="49">
        <v>5.2</v>
      </c>
      <c r="Y208" s="51">
        <v>10.5</v>
      </c>
      <c r="Z208" s="47">
        <v>36</v>
      </c>
      <c r="AA208" s="48">
        <v>10.8</v>
      </c>
      <c r="AB208" s="49">
        <v>0</v>
      </c>
      <c r="AC208" s="49">
        <v>5.8</v>
      </c>
      <c r="AD208" s="51">
        <v>7.75</v>
      </c>
      <c r="AE208" s="50">
        <v>36</v>
      </c>
      <c r="AF208" s="48">
        <v>10.199999999999999</v>
      </c>
      <c r="AG208" s="49">
        <v>0</v>
      </c>
      <c r="AH208" s="49">
        <v>5.9</v>
      </c>
      <c r="AI208" s="51">
        <v>7.75</v>
      </c>
      <c r="AJ208" s="50">
        <v>37</v>
      </c>
      <c r="AK208" s="48">
        <v>10.7</v>
      </c>
      <c r="AL208" s="48">
        <v>0</v>
      </c>
      <c r="AM208" s="48">
        <v>5.0999999999999996</v>
      </c>
      <c r="AN208" s="51">
        <v>12.25</v>
      </c>
      <c r="AO208" s="47">
        <v>36</v>
      </c>
      <c r="AP208" s="48">
        <v>10.7</v>
      </c>
      <c r="AQ208" s="48">
        <v>170</v>
      </c>
      <c r="AR208" s="48">
        <v>5.8</v>
      </c>
      <c r="AS208" s="51">
        <v>12</v>
      </c>
      <c r="AT208" s="50">
        <v>30</v>
      </c>
      <c r="AU208" s="51">
        <v>140</v>
      </c>
      <c r="AV208" s="50">
        <v>88.838699340820298</v>
      </c>
      <c r="AW208" s="51">
        <v>316.85088711843514</v>
      </c>
      <c r="AX208" s="8"/>
      <c r="AZ208" s="1">
        <v>90</v>
      </c>
      <c r="BB208" s="82">
        <f t="shared" si="16"/>
        <v>29.835000000000001</v>
      </c>
    </row>
    <row r="209" spans="3:54" ht="15" customHeight="1" x14ac:dyDescent="0.25">
      <c r="C209" s="42"/>
      <c r="D209" s="43">
        <f>D208</f>
        <v>45764</v>
      </c>
      <c r="E209" s="44">
        <f>E208+2/24</f>
        <v>16.333333333333371</v>
      </c>
      <c r="F209" s="45">
        <f t="shared" si="17"/>
        <v>45764.333333333801</v>
      </c>
      <c r="G209" s="52">
        <v>39</v>
      </c>
      <c r="H209" s="53">
        <v>34</v>
      </c>
      <c r="I209" s="54">
        <v>11.1</v>
      </c>
      <c r="J209" s="54">
        <v>450</v>
      </c>
      <c r="K209" s="55">
        <v>5.8</v>
      </c>
      <c r="L209" s="56">
        <v>35</v>
      </c>
      <c r="M209" s="54">
        <v>11.2</v>
      </c>
      <c r="N209" s="54">
        <v>500</v>
      </c>
      <c r="O209" s="57">
        <v>5.7</v>
      </c>
      <c r="P209" s="53">
        <v>36</v>
      </c>
      <c r="Q209" s="54">
        <v>11.2</v>
      </c>
      <c r="R209" s="55">
        <v>0</v>
      </c>
      <c r="S209" s="55">
        <v>5.5</v>
      </c>
      <c r="T209" s="57">
        <v>17.25</v>
      </c>
      <c r="U209" s="56">
        <v>37</v>
      </c>
      <c r="V209" s="54">
        <v>11.2</v>
      </c>
      <c r="W209" s="55">
        <v>0</v>
      </c>
      <c r="X209" s="55">
        <v>5.4</v>
      </c>
      <c r="Y209" s="57">
        <v>11.25</v>
      </c>
      <c r="Z209" s="53">
        <v>37</v>
      </c>
      <c r="AA209" s="54">
        <v>11.2</v>
      </c>
      <c r="AB209" s="55">
        <v>0</v>
      </c>
      <c r="AC209" s="55">
        <v>5.5</v>
      </c>
      <c r="AD209" s="57">
        <v>7.75</v>
      </c>
      <c r="AE209" s="56">
        <v>35</v>
      </c>
      <c r="AF209" s="54">
        <v>11.1</v>
      </c>
      <c r="AG209" s="55">
        <v>0</v>
      </c>
      <c r="AH209" s="55">
        <v>5.2</v>
      </c>
      <c r="AI209" s="57">
        <v>9.5</v>
      </c>
      <c r="AJ209" s="56">
        <v>36</v>
      </c>
      <c r="AK209" s="54">
        <v>11.1</v>
      </c>
      <c r="AL209" s="54">
        <v>0</v>
      </c>
      <c r="AM209" s="54">
        <v>5.6</v>
      </c>
      <c r="AN209" s="57">
        <v>14.25</v>
      </c>
      <c r="AO209" s="53">
        <v>36</v>
      </c>
      <c r="AP209" s="54">
        <v>11.1</v>
      </c>
      <c r="AQ209" s="54">
        <v>250</v>
      </c>
      <c r="AR209" s="54">
        <v>6.2</v>
      </c>
      <c r="AS209" s="57">
        <v>20</v>
      </c>
      <c r="AT209" s="56">
        <v>31</v>
      </c>
      <c r="AU209" s="57">
        <v>220</v>
      </c>
      <c r="AV209" s="56">
        <v>91.243484497070298</v>
      </c>
      <c r="AW209" s="57">
        <v>224.15039093053591</v>
      </c>
      <c r="AX209" s="8"/>
      <c r="AZ209" s="1">
        <v>90</v>
      </c>
      <c r="BB209" s="82">
        <f t="shared" ref="BB209:BB272" si="23">((T209*442)+(Y209*442)+(AD209*442)+(AI209*442)+(AN209*442)+(AS209*442))/1000</f>
        <v>35.36</v>
      </c>
    </row>
    <row r="210" spans="3:54" ht="15" customHeight="1" x14ac:dyDescent="0.25">
      <c r="C210" s="42"/>
      <c r="D210" s="43">
        <f>D208</f>
        <v>45764</v>
      </c>
      <c r="E210" s="44">
        <f t="shared" ref="E210:E219" si="24">E209+2/24</f>
        <v>16.416666666666703</v>
      </c>
      <c r="F210" s="45">
        <f t="shared" ref="F210:F273" si="25">F209+(E210-E209)</f>
        <v>45764.416666667137</v>
      </c>
      <c r="G210" s="52">
        <v>40</v>
      </c>
      <c r="H210" s="53">
        <v>37</v>
      </c>
      <c r="I210" s="54">
        <v>10.9</v>
      </c>
      <c r="J210" s="54">
        <v>500</v>
      </c>
      <c r="K210" s="55">
        <v>6.2</v>
      </c>
      <c r="L210" s="56">
        <v>38</v>
      </c>
      <c r="M210" s="54">
        <v>11.2</v>
      </c>
      <c r="N210" s="54">
        <v>500</v>
      </c>
      <c r="O210" s="57">
        <v>6.4</v>
      </c>
      <c r="P210" s="53">
        <v>37</v>
      </c>
      <c r="Q210" s="54">
        <v>11.1</v>
      </c>
      <c r="R210" s="55">
        <v>0</v>
      </c>
      <c r="S210" s="55">
        <v>5.7</v>
      </c>
      <c r="T210" s="57">
        <v>17.5</v>
      </c>
      <c r="U210" s="56">
        <v>38</v>
      </c>
      <c r="V210" s="54">
        <v>11.2</v>
      </c>
      <c r="W210" s="55">
        <v>0</v>
      </c>
      <c r="X210" s="55">
        <v>5.3</v>
      </c>
      <c r="Y210" s="57">
        <v>11.25</v>
      </c>
      <c r="Z210" s="53">
        <v>38</v>
      </c>
      <c r="AA210" s="54">
        <v>11.2</v>
      </c>
      <c r="AB210" s="55">
        <v>0</v>
      </c>
      <c r="AC210" s="55">
        <v>5.8</v>
      </c>
      <c r="AD210" s="57">
        <v>7.5</v>
      </c>
      <c r="AE210" s="56">
        <v>37</v>
      </c>
      <c r="AF210" s="54">
        <v>11.1</v>
      </c>
      <c r="AG210" s="55">
        <v>0</v>
      </c>
      <c r="AH210" s="55">
        <v>5.4</v>
      </c>
      <c r="AI210" s="57">
        <v>10</v>
      </c>
      <c r="AJ210" s="56">
        <v>37</v>
      </c>
      <c r="AK210" s="54">
        <v>11.1</v>
      </c>
      <c r="AL210" s="54">
        <v>0</v>
      </c>
      <c r="AM210" s="54">
        <v>5.9</v>
      </c>
      <c r="AN210" s="57">
        <v>15</v>
      </c>
      <c r="AO210" s="53">
        <v>37</v>
      </c>
      <c r="AP210" s="54">
        <v>10.9</v>
      </c>
      <c r="AQ210" s="54">
        <v>270</v>
      </c>
      <c r="AR210" s="54">
        <v>6.5</v>
      </c>
      <c r="AS210" s="57">
        <v>20</v>
      </c>
      <c r="AT210" s="56">
        <v>30</v>
      </c>
      <c r="AU210" s="57">
        <v>240</v>
      </c>
      <c r="AV210" s="56">
        <v>91.71142578125</v>
      </c>
      <c r="AW210" s="57">
        <v>297.97453738109522</v>
      </c>
      <c r="AX210" s="8"/>
      <c r="AZ210" s="1">
        <v>90</v>
      </c>
      <c r="BB210" s="82">
        <f t="shared" si="23"/>
        <v>35.912500000000001</v>
      </c>
    </row>
    <row r="211" spans="3:54" ht="15" customHeight="1" x14ac:dyDescent="0.25">
      <c r="C211" s="42"/>
      <c r="D211" s="43">
        <f>D208</f>
        <v>45764</v>
      </c>
      <c r="E211" s="44">
        <f t="shared" si="24"/>
        <v>16.500000000000036</v>
      </c>
      <c r="F211" s="45">
        <f t="shared" si="25"/>
        <v>45764.500000000473</v>
      </c>
      <c r="G211" s="52">
        <v>48</v>
      </c>
      <c r="H211" s="53">
        <v>39</v>
      </c>
      <c r="I211" s="54">
        <v>11.5</v>
      </c>
      <c r="J211" s="54">
        <v>550</v>
      </c>
      <c r="K211" s="55">
        <v>6.4</v>
      </c>
      <c r="L211" s="56">
        <v>38</v>
      </c>
      <c r="M211" s="54">
        <v>11.3</v>
      </c>
      <c r="N211" s="54">
        <v>500</v>
      </c>
      <c r="O211" s="57">
        <v>6.4</v>
      </c>
      <c r="P211" s="53">
        <v>37</v>
      </c>
      <c r="Q211" s="54">
        <v>11.3</v>
      </c>
      <c r="R211" s="55">
        <v>0</v>
      </c>
      <c r="S211" s="55">
        <v>6.1</v>
      </c>
      <c r="T211" s="57">
        <v>16.25</v>
      </c>
      <c r="U211" s="56">
        <v>35</v>
      </c>
      <c r="V211" s="54">
        <v>11.3</v>
      </c>
      <c r="W211" s="55">
        <v>0</v>
      </c>
      <c r="X211" s="55">
        <v>5.4</v>
      </c>
      <c r="Y211" s="57">
        <v>11.75</v>
      </c>
      <c r="Z211" s="53">
        <v>37</v>
      </c>
      <c r="AA211" s="54">
        <v>11.3</v>
      </c>
      <c r="AB211" s="55">
        <v>0</v>
      </c>
      <c r="AC211" s="55">
        <v>6.2</v>
      </c>
      <c r="AD211" s="57">
        <v>7.5</v>
      </c>
      <c r="AE211" s="56">
        <v>37</v>
      </c>
      <c r="AF211" s="54">
        <v>11.4</v>
      </c>
      <c r="AG211" s="55">
        <v>0</v>
      </c>
      <c r="AH211" s="55">
        <v>6</v>
      </c>
      <c r="AI211" s="57">
        <v>8.75</v>
      </c>
      <c r="AJ211" s="56">
        <v>36</v>
      </c>
      <c r="AK211" s="54">
        <v>11.3</v>
      </c>
      <c r="AL211" s="54">
        <v>0</v>
      </c>
      <c r="AM211" s="54">
        <v>6.3</v>
      </c>
      <c r="AN211" s="57">
        <v>13.75</v>
      </c>
      <c r="AO211" s="53">
        <v>35</v>
      </c>
      <c r="AP211" s="54">
        <v>11.2</v>
      </c>
      <c r="AQ211" s="54">
        <v>220</v>
      </c>
      <c r="AR211" s="54">
        <v>6.6</v>
      </c>
      <c r="AS211" s="57">
        <v>17.5</v>
      </c>
      <c r="AT211" s="56">
        <v>27</v>
      </c>
      <c r="AU211" s="57">
        <v>200</v>
      </c>
      <c r="AV211" s="56">
        <v>91.5771484375</v>
      </c>
      <c r="AW211" s="57">
        <v>293.59399071720742</v>
      </c>
      <c r="AX211" s="8"/>
      <c r="AZ211" s="1">
        <v>90</v>
      </c>
      <c r="BB211" s="82">
        <f t="shared" si="23"/>
        <v>33.371000000000002</v>
      </c>
    </row>
    <row r="212" spans="3:54" ht="15" customHeight="1" x14ac:dyDescent="0.25">
      <c r="C212" s="42"/>
      <c r="D212" s="43">
        <f>D208</f>
        <v>45764</v>
      </c>
      <c r="E212" s="44">
        <f t="shared" si="24"/>
        <v>16.583333333333368</v>
      </c>
      <c r="F212" s="45">
        <f t="shared" si="25"/>
        <v>45764.583333333809</v>
      </c>
      <c r="G212" s="52">
        <v>40</v>
      </c>
      <c r="H212" s="53">
        <v>39</v>
      </c>
      <c r="I212" s="54">
        <v>11.3</v>
      </c>
      <c r="J212" s="54">
        <v>500</v>
      </c>
      <c r="K212" s="55">
        <v>6.4</v>
      </c>
      <c r="L212" s="56">
        <v>39</v>
      </c>
      <c r="M212" s="54">
        <v>11.4</v>
      </c>
      <c r="N212" s="54">
        <v>500</v>
      </c>
      <c r="O212" s="57">
        <v>6.2</v>
      </c>
      <c r="P212" s="53">
        <v>38</v>
      </c>
      <c r="Q212" s="54">
        <v>11.4</v>
      </c>
      <c r="R212" s="55">
        <v>0</v>
      </c>
      <c r="S212" s="55">
        <v>6</v>
      </c>
      <c r="T212" s="57">
        <v>17</v>
      </c>
      <c r="U212" s="56">
        <v>37</v>
      </c>
      <c r="V212" s="54">
        <v>11.3</v>
      </c>
      <c r="W212" s="55">
        <v>0</v>
      </c>
      <c r="X212" s="55">
        <v>5.7</v>
      </c>
      <c r="Y212" s="57">
        <v>11.5</v>
      </c>
      <c r="Z212" s="53">
        <v>37</v>
      </c>
      <c r="AA212" s="54">
        <v>11.3</v>
      </c>
      <c r="AB212" s="55">
        <v>0</v>
      </c>
      <c r="AC212" s="55">
        <v>6</v>
      </c>
      <c r="AD212" s="57">
        <v>7.5</v>
      </c>
      <c r="AE212" s="56">
        <v>37</v>
      </c>
      <c r="AF212" s="54">
        <v>11.4</v>
      </c>
      <c r="AG212" s="55">
        <v>0</v>
      </c>
      <c r="AH212" s="55">
        <v>5.8</v>
      </c>
      <c r="AI212" s="57">
        <v>9.25</v>
      </c>
      <c r="AJ212" s="56">
        <v>36</v>
      </c>
      <c r="AK212" s="54">
        <v>11.3</v>
      </c>
      <c r="AL212" s="54">
        <v>0</v>
      </c>
      <c r="AM212" s="54">
        <v>6.2</v>
      </c>
      <c r="AN212" s="57">
        <v>14</v>
      </c>
      <c r="AO212" s="53">
        <v>36</v>
      </c>
      <c r="AP212" s="54">
        <v>11.2</v>
      </c>
      <c r="AQ212" s="54">
        <v>230</v>
      </c>
      <c r="AR212" s="54">
        <v>6.4</v>
      </c>
      <c r="AS212" s="57">
        <v>18.75</v>
      </c>
      <c r="AT212" s="56">
        <v>29</v>
      </c>
      <c r="AU212" s="57">
        <v>200</v>
      </c>
      <c r="AV212" s="56">
        <v>91.00341796875</v>
      </c>
      <c r="AW212" s="57">
        <v>300.19748225538058</v>
      </c>
      <c r="AX212" s="8"/>
      <c r="AZ212" s="1">
        <v>90</v>
      </c>
      <c r="BB212" s="82">
        <f t="shared" si="23"/>
        <v>34.475999999999999</v>
      </c>
    </row>
    <row r="213" spans="3:54" ht="15" customHeight="1" x14ac:dyDescent="0.25">
      <c r="C213" s="42"/>
      <c r="D213" s="43">
        <f>D208</f>
        <v>45764</v>
      </c>
      <c r="E213" s="44">
        <f t="shared" si="24"/>
        <v>16.6666666666667</v>
      </c>
      <c r="F213" s="45">
        <f t="shared" si="25"/>
        <v>45764.666666667144</v>
      </c>
      <c r="G213" s="52">
        <v>40</v>
      </c>
      <c r="H213" s="53">
        <v>38</v>
      </c>
      <c r="I213" s="54">
        <v>10.9</v>
      </c>
      <c r="J213" s="54">
        <v>500</v>
      </c>
      <c r="K213" s="55">
        <v>6.1</v>
      </c>
      <c r="L213" s="56">
        <v>37</v>
      </c>
      <c r="M213" s="54">
        <v>11</v>
      </c>
      <c r="N213" s="54">
        <v>500</v>
      </c>
      <c r="O213" s="57">
        <v>6.3</v>
      </c>
      <c r="P213" s="53">
        <v>36</v>
      </c>
      <c r="Q213" s="54">
        <v>11</v>
      </c>
      <c r="R213" s="55">
        <v>0</v>
      </c>
      <c r="S213" s="55">
        <v>5.8</v>
      </c>
      <c r="T213" s="57">
        <v>16.25</v>
      </c>
      <c r="U213" s="56">
        <v>36</v>
      </c>
      <c r="V213" s="54">
        <v>11.1</v>
      </c>
      <c r="W213" s="55">
        <v>0</v>
      </c>
      <c r="X213" s="55">
        <v>5.7</v>
      </c>
      <c r="Y213" s="57">
        <v>11.25</v>
      </c>
      <c r="Z213" s="53">
        <v>36</v>
      </c>
      <c r="AA213" s="54">
        <v>11.1</v>
      </c>
      <c r="AB213" s="55">
        <v>0</v>
      </c>
      <c r="AC213" s="55">
        <v>6</v>
      </c>
      <c r="AD213" s="57">
        <v>8.75</v>
      </c>
      <c r="AE213" s="56">
        <v>35</v>
      </c>
      <c r="AF213" s="54">
        <v>11</v>
      </c>
      <c r="AG213" s="55">
        <v>0</v>
      </c>
      <c r="AH213" s="55">
        <v>5.8</v>
      </c>
      <c r="AI213" s="57">
        <v>9.5</v>
      </c>
      <c r="AJ213" s="56">
        <v>36</v>
      </c>
      <c r="AK213" s="54">
        <v>11</v>
      </c>
      <c r="AL213" s="54">
        <v>0</v>
      </c>
      <c r="AM213" s="54">
        <v>7</v>
      </c>
      <c r="AN213" s="57">
        <v>15</v>
      </c>
      <c r="AO213" s="53">
        <v>36</v>
      </c>
      <c r="AP213" s="54">
        <v>10.9</v>
      </c>
      <c r="AQ213" s="54">
        <v>240</v>
      </c>
      <c r="AR213" s="54">
        <v>6.3</v>
      </c>
      <c r="AS213" s="57">
        <v>17.5</v>
      </c>
      <c r="AT213" s="56">
        <v>30</v>
      </c>
      <c r="AU213" s="57">
        <v>200</v>
      </c>
      <c r="AV213" s="56">
        <v>91.2353515625</v>
      </c>
      <c r="AW213" s="57">
        <v>308.43629403313003</v>
      </c>
      <c r="AX213" s="8"/>
      <c r="AZ213" s="1">
        <v>90</v>
      </c>
      <c r="BB213" s="82">
        <f t="shared" si="23"/>
        <v>34.586500000000001</v>
      </c>
    </row>
    <row r="214" spans="3:54" ht="15" customHeight="1" x14ac:dyDescent="0.25">
      <c r="C214" s="42"/>
      <c r="D214" s="43">
        <f>D208</f>
        <v>45764</v>
      </c>
      <c r="E214" s="44">
        <f t="shared" si="24"/>
        <v>16.750000000000032</v>
      </c>
      <c r="F214" s="45">
        <f t="shared" si="25"/>
        <v>45764.75000000048</v>
      </c>
      <c r="G214" s="52">
        <v>43</v>
      </c>
      <c r="H214" s="53">
        <v>39</v>
      </c>
      <c r="I214" s="54">
        <v>10.8</v>
      </c>
      <c r="J214" s="54">
        <v>500</v>
      </c>
      <c r="K214" s="55">
        <v>6.7</v>
      </c>
      <c r="L214" s="56">
        <v>38</v>
      </c>
      <c r="M214" s="54">
        <v>10.4</v>
      </c>
      <c r="N214" s="54">
        <v>500</v>
      </c>
      <c r="O214" s="57">
        <v>6.2</v>
      </c>
      <c r="P214" s="53">
        <v>35</v>
      </c>
      <c r="Q214" s="54">
        <v>11.1</v>
      </c>
      <c r="R214" s="55">
        <v>0</v>
      </c>
      <c r="S214" s="55">
        <v>5.8</v>
      </c>
      <c r="T214" s="57">
        <v>16.25</v>
      </c>
      <c r="U214" s="56">
        <v>36</v>
      </c>
      <c r="V214" s="54">
        <v>11.1</v>
      </c>
      <c r="W214" s="55">
        <v>0</v>
      </c>
      <c r="X214" s="55">
        <v>5.9</v>
      </c>
      <c r="Y214" s="57">
        <v>11.75</v>
      </c>
      <c r="Z214" s="53">
        <v>36</v>
      </c>
      <c r="AA214" s="54">
        <v>11.2</v>
      </c>
      <c r="AB214" s="55">
        <v>0</v>
      </c>
      <c r="AC214" s="55">
        <v>5.8</v>
      </c>
      <c r="AD214" s="57">
        <v>8.25</v>
      </c>
      <c r="AE214" s="56">
        <v>36</v>
      </c>
      <c r="AF214" s="54">
        <v>11.1</v>
      </c>
      <c r="AG214" s="55">
        <v>0</v>
      </c>
      <c r="AH214" s="55">
        <v>5.9</v>
      </c>
      <c r="AI214" s="57">
        <v>9.5</v>
      </c>
      <c r="AJ214" s="56">
        <v>36</v>
      </c>
      <c r="AK214" s="54">
        <v>11</v>
      </c>
      <c r="AL214" s="54">
        <v>0</v>
      </c>
      <c r="AM214" s="54">
        <v>6.8</v>
      </c>
      <c r="AN214" s="57">
        <v>15</v>
      </c>
      <c r="AO214" s="53">
        <v>36</v>
      </c>
      <c r="AP214" s="54">
        <v>10.9</v>
      </c>
      <c r="AQ214" s="54">
        <v>250</v>
      </c>
      <c r="AR214" s="54">
        <v>6.1</v>
      </c>
      <c r="AS214" s="57">
        <v>17.5</v>
      </c>
      <c r="AT214" s="56">
        <v>30</v>
      </c>
      <c r="AU214" s="57">
        <v>220</v>
      </c>
      <c r="AV214" s="56">
        <v>91.353347778320298</v>
      </c>
      <c r="AW214" s="57">
        <v>308.93988716127353</v>
      </c>
      <c r="AX214" s="8"/>
      <c r="AZ214" s="1">
        <v>90</v>
      </c>
      <c r="BB214" s="82">
        <f t="shared" si="23"/>
        <v>34.586500000000001</v>
      </c>
    </row>
    <row r="215" spans="3:54" ht="15" customHeight="1" x14ac:dyDescent="0.25">
      <c r="C215" s="42"/>
      <c r="D215" s="43">
        <f>D208</f>
        <v>45764</v>
      </c>
      <c r="E215" s="44">
        <f t="shared" si="24"/>
        <v>16.833333333333364</v>
      </c>
      <c r="F215" s="45">
        <f t="shared" si="25"/>
        <v>45764.833333333816</v>
      </c>
      <c r="G215" s="52">
        <v>41</v>
      </c>
      <c r="H215" s="53">
        <v>39</v>
      </c>
      <c r="I215" s="54">
        <v>11.1</v>
      </c>
      <c r="J215" s="54">
        <v>450</v>
      </c>
      <c r="K215" s="55">
        <v>6.1</v>
      </c>
      <c r="L215" s="56">
        <v>38</v>
      </c>
      <c r="M215" s="54">
        <v>10.9</v>
      </c>
      <c r="N215" s="54">
        <v>400</v>
      </c>
      <c r="O215" s="57">
        <v>6.2</v>
      </c>
      <c r="P215" s="53">
        <v>36</v>
      </c>
      <c r="Q215" s="54">
        <v>10.9</v>
      </c>
      <c r="R215" s="55">
        <v>0</v>
      </c>
      <c r="S215" s="55">
        <v>5.9</v>
      </c>
      <c r="T215" s="57">
        <v>17.5</v>
      </c>
      <c r="U215" s="56">
        <v>36</v>
      </c>
      <c r="V215" s="54">
        <v>10.9</v>
      </c>
      <c r="W215" s="55">
        <v>0</v>
      </c>
      <c r="X215" s="55">
        <v>5.6</v>
      </c>
      <c r="Y215" s="57">
        <v>10</v>
      </c>
      <c r="Z215" s="53">
        <v>35</v>
      </c>
      <c r="AA215" s="54">
        <v>10.9</v>
      </c>
      <c r="AB215" s="55">
        <v>0</v>
      </c>
      <c r="AC215" s="55">
        <v>5.7</v>
      </c>
      <c r="AD215" s="57">
        <v>7.5</v>
      </c>
      <c r="AE215" s="56">
        <v>36</v>
      </c>
      <c r="AF215" s="54">
        <v>10.8</v>
      </c>
      <c r="AG215" s="55">
        <v>0</v>
      </c>
      <c r="AH215" s="55">
        <v>5</v>
      </c>
      <c r="AI215" s="57">
        <v>8.75</v>
      </c>
      <c r="AJ215" s="56">
        <v>36</v>
      </c>
      <c r="AK215" s="54">
        <v>10.9</v>
      </c>
      <c r="AL215" s="54">
        <v>0</v>
      </c>
      <c r="AM215" s="54">
        <v>5.9</v>
      </c>
      <c r="AN215" s="57">
        <v>12.5</v>
      </c>
      <c r="AO215" s="53">
        <v>37</v>
      </c>
      <c r="AP215" s="54">
        <v>10.9</v>
      </c>
      <c r="AQ215" s="54">
        <v>200</v>
      </c>
      <c r="AR215" s="54">
        <v>6.4</v>
      </c>
      <c r="AS215" s="57">
        <v>18</v>
      </c>
      <c r="AT215" s="56">
        <v>34</v>
      </c>
      <c r="AU215" s="57">
        <v>160</v>
      </c>
      <c r="AV215" s="56">
        <v>91.015625</v>
      </c>
      <c r="AW215" s="57">
        <v>300.86733245992411</v>
      </c>
      <c r="AX215" s="8"/>
      <c r="AZ215" s="1">
        <v>90</v>
      </c>
      <c r="BB215" s="82">
        <f t="shared" si="23"/>
        <v>32.8185</v>
      </c>
    </row>
    <row r="216" spans="3:54" ht="15" customHeight="1" x14ac:dyDescent="0.25">
      <c r="C216" s="42"/>
      <c r="D216" s="43">
        <f>D208</f>
        <v>45764</v>
      </c>
      <c r="E216" s="44">
        <f t="shared" si="24"/>
        <v>16.916666666666696</v>
      </c>
      <c r="F216" s="45">
        <f t="shared" si="25"/>
        <v>45764.916666667152</v>
      </c>
      <c r="G216" s="52">
        <v>39</v>
      </c>
      <c r="H216" s="53">
        <v>43</v>
      </c>
      <c r="I216" s="54">
        <v>11.2</v>
      </c>
      <c r="J216" s="54">
        <v>450</v>
      </c>
      <c r="K216" s="55">
        <v>6.2</v>
      </c>
      <c r="L216" s="56">
        <v>42</v>
      </c>
      <c r="M216" s="54">
        <v>11.1</v>
      </c>
      <c r="N216" s="54">
        <v>450</v>
      </c>
      <c r="O216" s="57">
        <v>6.2</v>
      </c>
      <c r="P216" s="53">
        <v>37</v>
      </c>
      <c r="Q216" s="54">
        <v>10.9</v>
      </c>
      <c r="R216" s="55">
        <v>0</v>
      </c>
      <c r="S216" s="55">
        <v>5.7</v>
      </c>
      <c r="T216" s="57">
        <v>17.5</v>
      </c>
      <c r="U216" s="56">
        <v>38</v>
      </c>
      <c r="V216" s="54">
        <v>10.9</v>
      </c>
      <c r="W216" s="55">
        <v>0</v>
      </c>
      <c r="X216" s="55">
        <v>5.5</v>
      </c>
      <c r="Y216" s="57">
        <v>10</v>
      </c>
      <c r="Z216" s="53">
        <v>35</v>
      </c>
      <c r="AA216" s="54">
        <v>10.9</v>
      </c>
      <c r="AB216" s="55">
        <v>0</v>
      </c>
      <c r="AC216" s="55">
        <v>5.5</v>
      </c>
      <c r="AD216" s="57">
        <v>7.5</v>
      </c>
      <c r="AE216" s="56">
        <v>36</v>
      </c>
      <c r="AF216" s="54">
        <v>10.8</v>
      </c>
      <c r="AG216" s="55">
        <v>0</v>
      </c>
      <c r="AH216" s="55">
        <v>5.3</v>
      </c>
      <c r="AI216" s="57">
        <v>8.75</v>
      </c>
      <c r="AJ216" s="56">
        <v>37</v>
      </c>
      <c r="AK216" s="54">
        <v>10.8</v>
      </c>
      <c r="AL216" s="54">
        <v>0</v>
      </c>
      <c r="AM216" s="54">
        <v>5.6</v>
      </c>
      <c r="AN216" s="57">
        <v>12.75</v>
      </c>
      <c r="AO216" s="53">
        <v>37</v>
      </c>
      <c r="AP216" s="54">
        <v>10.9</v>
      </c>
      <c r="AQ216" s="54">
        <v>200</v>
      </c>
      <c r="AR216" s="54">
        <v>5.9</v>
      </c>
      <c r="AS216" s="57">
        <v>18</v>
      </c>
      <c r="AT216" s="56">
        <v>34</v>
      </c>
      <c r="AU216" s="57">
        <v>160</v>
      </c>
      <c r="AV216" s="56">
        <v>91.46728515625</v>
      </c>
      <c r="AW216" s="57">
        <v>309.4476992636919</v>
      </c>
      <c r="AX216" s="8"/>
      <c r="AZ216" s="1">
        <v>90</v>
      </c>
      <c r="BB216" s="82">
        <f t="shared" si="23"/>
        <v>32.929000000000002</v>
      </c>
    </row>
    <row r="217" spans="3:54" ht="15" customHeight="1" x14ac:dyDescent="0.25">
      <c r="C217" s="42"/>
      <c r="D217" s="43">
        <f>D208</f>
        <v>45764</v>
      </c>
      <c r="E217" s="44">
        <f t="shared" si="24"/>
        <v>17.000000000000028</v>
      </c>
      <c r="F217" s="45">
        <f t="shared" si="25"/>
        <v>45765.000000000487</v>
      </c>
      <c r="G217" s="52">
        <v>35</v>
      </c>
      <c r="H217" s="53">
        <v>41</v>
      </c>
      <c r="I217" s="54">
        <v>11.3</v>
      </c>
      <c r="J217" s="54">
        <v>500</v>
      </c>
      <c r="K217" s="55">
        <v>6</v>
      </c>
      <c r="L217" s="56">
        <v>42</v>
      </c>
      <c r="M217" s="54">
        <v>1.3</v>
      </c>
      <c r="N217" s="54">
        <v>450</v>
      </c>
      <c r="O217" s="57">
        <v>6</v>
      </c>
      <c r="P217" s="53">
        <v>38</v>
      </c>
      <c r="Q217" s="54">
        <v>11</v>
      </c>
      <c r="R217" s="55">
        <v>0</v>
      </c>
      <c r="S217" s="55">
        <v>5.6</v>
      </c>
      <c r="T217" s="57">
        <v>16.75</v>
      </c>
      <c r="U217" s="56">
        <v>38</v>
      </c>
      <c r="V217" s="54">
        <v>10.9</v>
      </c>
      <c r="W217" s="55">
        <v>0</v>
      </c>
      <c r="X217" s="55">
        <v>5.4</v>
      </c>
      <c r="Y217" s="57">
        <v>10</v>
      </c>
      <c r="Z217" s="53">
        <v>37</v>
      </c>
      <c r="AA217" s="54">
        <v>10.9</v>
      </c>
      <c r="AB217" s="55">
        <v>0</v>
      </c>
      <c r="AC217" s="55">
        <v>5.6</v>
      </c>
      <c r="AD217" s="57">
        <v>7.5</v>
      </c>
      <c r="AE217" s="56">
        <v>37</v>
      </c>
      <c r="AF217" s="54">
        <v>10.9</v>
      </c>
      <c r="AG217" s="55">
        <v>0</v>
      </c>
      <c r="AH217" s="55">
        <v>5.5</v>
      </c>
      <c r="AI217" s="57">
        <v>7.5</v>
      </c>
      <c r="AJ217" s="56">
        <v>37</v>
      </c>
      <c r="AK217" s="54">
        <v>10.8</v>
      </c>
      <c r="AL217" s="54">
        <v>0</v>
      </c>
      <c r="AM217" s="54">
        <v>5.4</v>
      </c>
      <c r="AN217" s="57">
        <v>12.5</v>
      </c>
      <c r="AO217" s="53">
        <v>37</v>
      </c>
      <c r="AP217" s="54">
        <v>10.8</v>
      </c>
      <c r="AQ217" s="54">
        <v>180</v>
      </c>
      <c r="AR217" s="54">
        <v>5.7</v>
      </c>
      <c r="AS217" s="57">
        <v>17</v>
      </c>
      <c r="AT217" s="56">
        <v>32</v>
      </c>
      <c r="AU217" s="57">
        <v>150</v>
      </c>
      <c r="AV217" s="56">
        <v>91.792800903320298</v>
      </c>
      <c r="AW217" s="57">
        <v>307.05174576599774</v>
      </c>
      <c r="AX217" s="8"/>
      <c r="AZ217" s="1">
        <v>90</v>
      </c>
      <c r="BB217" s="82">
        <f t="shared" si="23"/>
        <v>31.4925</v>
      </c>
    </row>
    <row r="218" spans="3:54" ht="15" customHeight="1" x14ac:dyDescent="0.25">
      <c r="C218" s="42"/>
      <c r="D218" s="43">
        <f>D208</f>
        <v>45764</v>
      </c>
      <c r="E218" s="44">
        <f t="shared" si="24"/>
        <v>17.083333333333361</v>
      </c>
      <c r="F218" s="45">
        <f t="shared" si="25"/>
        <v>45765.083333333823</v>
      </c>
      <c r="G218" s="52">
        <v>30</v>
      </c>
      <c r="H218" s="53">
        <v>40</v>
      </c>
      <c r="I218" s="54">
        <v>11.1</v>
      </c>
      <c r="J218" s="54">
        <v>500</v>
      </c>
      <c r="K218" s="55">
        <v>6.2</v>
      </c>
      <c r="L218" s="56">
        <v>40</v>
      </c>
      <c r="M218" s="54">
        <v>11</v>
      </c>
      <c r="N218" s="54">
        <v>450</v>
      </c>
      <c r="O218" s="57">
        <v>6.2</v>
      </c>
      <c r="P218" s="53">
        <v>37</v>
      </c>
      <c r="Q218" s="54">
        <v>10.9</v>
      </c>
      <c r="R218" s="55">
        <v>0</v>
      </c>
      <c r="S218" s="55">
        <v>5.9</v>
      </c>
      <c r="T218" s="57">
        <v>16.75</v>
      </c>
      <c r="U218" s="56">
        <v>37</v>
      </c>
      <c r="V218" s="54">
        <v>10.9</v>
      </c>
      <c r="W218" s="55">
        <v>0</v>
      </c>
      <c r="X218" s="55">
        <v>5.5</v>
      </c>
      <c r="Y218" s="57">
        <v>10.25</v>
      </c>
      <c r="Z218" s="53">
        <v>36</v>
      </c>
      <c r="AA218" s="54">
        <v>10.9</v>
      </c>
      <c r="AB218" s="55">
        <v>0</v>
      </c>
      <c r="AC218" s="55">
        <v>5.7</v>
      </c>
      <c r="AD218" s="57">
        <v>7.5</v>
      </c>
      <c r="AE218" s="56">
        <v>36</v>
      </c>
      <c r="AF218" s="54">
        <v>10.7</v>
      </c>
      <c r="AG218" s="55">
        <v>0</v>
      </c>
      <c r="AH218" s="55">
        <v>5.7</v>
      </c>
      <c r="AI218" s="57">
        <v>7.5</v>
      </c>
      <c r="AJ218" s="56">
        <v>37</v>
      </c>
      <c r="AK218" s="54">
        <v>10.7</v>
      </c>
      <c r="AL218" s="54">
        <v>0</v>
      </c>
      <c r="AM218" s="54">
        <v>5.4</v>
      </c>
      <c r="AN218" s="57">
        <v>12.5</v>
      </c>
      <c r="AO218" s="53">
        <v>37</v>
      </c>
      <c r="AP218" s="54">
        <v>10.8</v>
      </c>
      <c r="AQ218" s="54">
        <v>170</v>
      </c>
      <c r="AR218" s="54">
        <v>5.6</v>
      </c>
      <c r="AS218" s="57">
        <v>17.25</v>
      </c>
      <c r="AT218" s="56">
        <v>29</v>
      </c>
      <c r="AU218" s="57">
        <v>150</v>
      </c>
      <c r="AV218" s="56">
        <v>91.605628967285199</v>
      </c>
      <c r="AW218" s="57">
        <v>306.27170149375064</v>
      </c>
      <c r="AX218" s="8"/>
      <c r="AZ218" s="1">
        <v>90</v>
      </c>
      <c r="BB218" s="82">
        <f t="shared" si="23"/>
        <v>31.7135</v>
      </c>
    </row>
    <row r="219" spans="3:54" ht="15" customHeight="1" x14ac:dyDescent="0.25">
      <c r="C219" s="42"/>
      <c r="D219" s="69">
        <f>D208</f>
        <v>45764</v>
      </c>
      <c r="E219" s="70">
        <f t="shared" si="24"/>
        <v>17.166666666666693</v>
      </c>
      <c r="F219" s="71">
        <f t="shared" si="25"/>
        <v>45765.166666667159</v>
      </c>
      <c r="G219" s="60">
        <v>39</v>
      </c>
      <c r="H219" s="61">
        <v>37</v>
      </c>
      <c r="I219" s="62">
        <v>10.8</v>
      </c>
      <c r="J219" s="62">
        <v>450</v>
      </c>
      <c r="K219" s="63">
        <v>6</v>
      </c>
      <c r="L219" s="64">
        <v>39</v>
      </c>
      <c r="M219" s="62">
        <v>10.9</v>
      </c>
      <c r="N219" s="62">
        <v>400</v>
      </c>
      <c r="O219" s="65">
        <v>6</v>
      </c>
      <c r="P219" s="61">
        <v>39</v>
      </c>
      <c r="Q219" s="62">
        <v>10.8</v>
      </c>
      <c r="R219" s="63">
        <v>0</v>
      </c>
      <c r="S219" s="63">
        <v>5.7</v>
      </c>
      <c r="T219" s="65">
        <v>16.5</v>
      </c>
      <c r="U219" s="64">
        <v>37</v>
      </c>
      <c r="V219" s="62">
        <v>10.8</v>
      </c>
      <c r="W219" s="63">
        <v>0</v>
      </c>
      <c r="X219" s="63">
        <v>5.4</v>
      </c>
      <c r="Y219" s="65">
        <v>10.25</v>
      </c>
      <c r="Z219" s="61">
        <v>36</v>
      </c>
      <c r="AA219" s="62">
        <v>10.8</v>
      </c>
      <c r="AB219" s="63">
        <v>0</v>
      </c>
      <c r="AC219" s="63">
        <v>5.9</v>
      </c>
      <c r="AD219" s="65">
        <v>7.5</v>
      </c>
      <c r="AE219" s="64">
        <v>38</v>
      </c>
      <c r="AF219" s="62">
        <v>10.6</v>
      </c>
      <c r="AG219" s="63">
        <v>0</v>
      </c>
      <c r="AH219" s="63">
        <v>5.8</v>
      </c>
      <c r="AI219" s="65">
        <v>7.5</v>
      </c>
      <c r="AJ219" s="64">
        <v>37</v>
      </c>
      <c r="AK219" s="62">
        <v>10.7</v>
      </c>
      <c r="AL219" s="62">
        <v>0</v>
      </c>
      <c r="AM219" s="62">
        <v>5.3</v>
      </c>
      <c r="AN219" s="65">
        <v>12.5</v>
      </c>
      <c r="AO219" s="61">
        <v>37</v>
      </c>
      <c r="AP219" s="62">
        <v>10.7</v>
      </c>
      <c r="AQ219" s="62">
        <v>170</v>
      </c>
      <c r="AR219" s="62">
        <v>5.4</v>
      </c>
      <c r="AS219" s="65">
        <v>17.5</v>
      </c>
      <c r="AT219" s="64">
        <v>29</v>
      </c>
      <c r="AU219" s="65">
        <v>140</v>
      </c>
      <c r="AV219" s="64">
        <v>91.569007873535199</v>
      </c>
      <c r="AW219" s="65">
        <v>306.30558025568411</v>
      </c>
      <c r="AX219" s="8"/>
      <c r="AZ219" s="1">
        <v>90</v>
      </c>
      <c r="BB219" s="82">
        <f t="shared" si="23"/>
        <v>31.7135</v>
      </c>
    </row>
    <row r="220" spans="3:54" ht="15" customHeight="1" x14ac:dyDescent="0.25">
      <c r="C220" s="42">
        <f>C208+1</f>
        <v>18</v>
      </c>
      <c r="D220" s="66">
        <f>DATE([4]Dash!$F$3,VLOOKUP([4]Dash!$E$3,[4]Abb!$C$3:$D$14,2,FALSE),C220)</f>
        <v>45765</v>
      </c>
      <c r="E220" s="67">
        <f>E219+2/24</f>
        <v>17.250000000000025</v>
      </c>
      <c r="F220" s="68">
        <f t="shared" si="25"/>
        <v>45765.250000000495</v>
      </c>
      <c r="G220" s="46">
        <v>41</v>
      </c>
      <c r="H220" s="47">
        <v>38</v>
      </c>
      <c r="I220" s="48">
        <v>10.7</v>
      </c>
      <c r="J220" s="48">
        <v>500</v>
      </c>
      <c r="K220" s="49">
        <v>6.9</v>
      </c>
      <c r="L220" s="50">
        <v>38</v>
      </c>
      <c r="M220" s="48">
        <v>11</v>
      </c>
      <c r="N220" s="48">
        <v>500</v>
      </c>
      <c r="O220" s="51">
        <v>6.4</v>
      </c>
      <c r="P220" s="47">
        <v>39</v>
      </c>
      <c r="Q220" s="48">
        <v>10.8</v>
      </c>
      <c r="R220" s="49">
        <v>0</v>
      </c>
      <c r="S220" s="49">
        <v>5.2</v>
      </c>
      <c r="T220" s="51">
        <v>17.25</v>
      </c>
      <c r="U220" s="50">
        <v>38</v>
      </c>
      <c r="V220" s="48">
        <v>10.8</v>
      </c>
      <c r="W220" s="49">
        <v>0</v>
      </c>
      <c r="X220" s="49">
        <v>5.2</v>
      </c>
      <c r="Y220" s="51">
        <v>10.5</v>
      </c>
      <c r="Z220" s="47">
        <v>36</v>
      </c>
      <c r="AA220" s="48">
        <v>10.8</v>
      </c>
      <c r="AB220" s="49">
        <v>0</v>
      </c>
      <c r="AC220" s="49">
        <v>5.8</v>
      </c>
      <c r="AD220" s="51">
        <v>7.75</v>
      </c>
      <c r="AE220" s="50">
        <v>36</v>
      </c>
      <c r="AF220" s="48">
        <v>10.199999999999999</v>
      </c>
      <c r="AG220" s="49">
        <v>0</v>
      </c>
      <c r="AH220" s="49">
        <v>5.9</v>
      </c>
      <c r="AI220" s="51">
        <v>7.75</v>
      </c>
      <c r="AJ220" s="50">
        <v>37</v>
      </c>
      <c r="AK220" s="48">
        <v>10.7</v>
      </c>
      <c r="AL220" s="48">
        <v>0</v>
      </c>
      <c r="AM220" s="48">
        <v>5.0999999999999996</v>
      </c>
      <c r="AN220" s="51">
        <v>12.25</v>
      </c>
      <c r="AO220" s="47">
        <v>36</v>
      </c>
      <c r="AP220" s="48">
        <v>10.7</v>
      </c>
      <c r="AQ220" s="48">
        <v>170</v>
      </c>
      <c r="AR220" s="48">
        <v>5.8</v>
      </c>
      <c r="AS220" s="51">
        <v>12</v>
      </c>
      <c r="AT220" s="50">
        <v>30</v>
      </c>
      <c r="AU220" s="51">
        <v>140</v>
      </c>
      <c r="AV220" s="50">
        <v>91.605628967285199</v>
      </c>
      <c r="AW220" s="51">
        <v>307.27129233678181</v>
      </c>
      <c r="AX220" s="8"/>
      <c r="AZ220" s="1">
        <v>90</v>
      </c>
      <c r="BB220" s="82">
        <f t="shared" si="23"/>
        <v>29.835000000000001</v>
      </c>
    </row>
    <row r="221" spans="3:54" ht="15" customHeight="1" x14ac:dyDescent="0.25">
      <c r="C221" s="42"/>
      <c r="D221" s="43">
        <f>D220</f>
        <v>45765</v>
      </c>
      <c r="E221" s="44">
        <f>E220+2/24</f>
        <v>17.333333333333357</v>
      </c>
      <c r="F221" s="45">
        <f t="shared" si="25"/>
        <v>45765.333333333831</v>
      </c>
      <c r="G221" s="52">
        <v>42</v>
      </c>
      <c r="H221" s="53">
        <v>38</v>
      </c>
      <c r="I221" s="54">
        <v>10.9</v>
      </c>
      <c r="J221" s="54">
        <v>500</v>
      </c>
      <c r="K221" s="55">
        <v>6.6</v>
      </c>
      <c r="L221" s="56">
        <v>38</v>
      </c>
      <c r="M221" s="54">
        <v>10.9</v>
      </c>
      <c r="N221" s="54">
        <v>350</v>
      </c>
      <c r="O221" s="57">
        <v>7</v>
      </c>
      <c r="P221" s="53">
        <v>37</v>
      </c>
      <c r="Q221" s="54">
        <v>10.9</v>
      </c>
      <c r="R221" s="55">
        <v>0</v>
      </c>
      <c r="S221" s="55">
        <v>6.4</v>
      </c>
      <c r="T221" s="57">
        <v>17</v>
      </c>
      <c r="U221" s="56">
        <v>35</v>
      </c>
      <c r="V221" s="54">
        <v>10.9</v>
      </c>
      <c r="W221" s="55">
        <v>0</v>
      </c>
      <c r="X221" s="55">
        <v>6.1</v>
      </c>
      <c r="Y221" s="57">
        <v>12</v>
      </c>
      <c r="Z221" s="53">
        <v>36</v>
      </c>
      <c r="AA221" s="54">
        <v>10.9</v>
      </c>
      <c r="AB221" s="55">
        <v>0</v>
      </c>
      <c r="AC221" s="55">
        <v>6.4</v>
      </c>
      <c r="AD221" s="57">
        <v>8.75</v>
      </c>
      <c r="AE221" s="56">
        <v>34</v>
      </c>
      <c r="AF221" s="54">
        <v>10.9</v>
      </c>
      <c r="AG221" s="55">
        <v>0</v>
      </c>
      <c r="AH221" s="55">
        <v>6.4</v>
      </c>
      <c r="AI221" s="57">
        <v>10</v>
      </c>
      <c r="AJ221" s="56">
        <v>35</v>
      </c>
      <c r="AK221" s="54">
        <v>10.9</v>
      </c>
      <c r="AL221" s="54">
        <v>0</v>
      </c>
      <c r="AM221" s="54">
        <v>6.1</v>
      </c>
      <c r="AN221" s="57">
        <v>15</v>
      </c>
      <c r="AO221" s="53">
        <v>36</v>
      </c>
      <c r="AP221" s="54">
        <v>10.9</v>
      </c>
      <c r="AQ221" s="54">
        <v>120</v>
      </c>
      <c r="AR221" s="54">
        <v>6</v>
      </c>
      <c r="AS221" s="57">
        <v>18.75</v>
      </c>
      <c r="AT221" s="56">
        <v>30</v>
      </c>
      <c r="AU221" s="57">
        <v>90</v>
      </c>
      <c r="AV221" s="56">
        <v>90.885414123535199</v>
      </c>
      <c r="AW221" s="57">
        <v>294.12856855665643</v>
      </c>
      <c r="AX221" s="8"/>
      <c r="AZ221" s="1">
        <v>90</v>
      </c>
      <c r="BB221" s="82">
        <f t="shared" si="23"/>
        <v>36.023000000000003</v>
      </c>
    </row>
    <row r="222" spans="3:54" ht="15" customHeight="1" x14ac:dyDescent="0.25">
      <c r="C222" s="42"/>
      <c r="D222" s="43">
        <f>D220</f>
        <v>45765</v>
      </c>
      <c r="E222" s="44">
        <f t="shared" ref="E222:E231" si="26">E221+2/24</f>
        <v>17.416666666666689</v>
      </c>
      <c r="F222" s="45">
        <f t="shared" si="25"/>
        <v>45765.416666667166</v>
      </c>
      <c r="G222" s="52">
        <v>37</v>
      </c>
      <c r="H222" s="53">
        <v>35</v>
      </c>
      <c r="I222" s="54">
        <v>10.5</v>
      </c>
      <c r="J222" s="54">
        <v>1500</v>
      </c>
      <c r="K222" s="55">
        <v>6.4</v>
      </c>
      <c r="L222" s="56">
        <v>36</v>
      </c>
      <c r="M222" s="54">
        <v>10.199999999999999</v>
      </c>
      <c r="N222" s="54">
        <v>750</v>
      </c>
      <c r="O222" s="57">
        <v>6.8</v>
      </c>
      <c r="P222" s="53">
        <v>36</v>
      </c>
      <c r="Q222" s="54">
        <v>10.3</v>
      </c>
      <c r="R222" s="55">
        <v>0</v>
      </c>
      <c r="S222" s="55">
        <v>6.2</v>
      </c>
      <c r="T222" s="57">
        <v>16.25</v>
      </c>
      <c r="U222" s="56">
        <v>35</v>
      </c>
      <c r="V222" s="54">
        <v>10.199999999999999</v>
      </c>
      <c r="W222" s="55">
        <v>0</v>
      </c>
      <c r="X222" s="55">
        <v>6.3</v>
      </c>
      <c r="Y222" s="57">
        <v>11.75</v>
      </c>
      <c r="Z222" s="53">
        <v>36</v>
      </c>
      <c r="AA222" s="54">
        <v>10.3</v>
      </c>
      <c r="AB222" s="55">
        <v>0</v>
      </c>
      <c r="AC222" s="55">
        <v>6.2</v>
      </c>
      <c r="AD222" s="57">
        <v>9</v>
      </c>
      <c r="AE222" s="56">
        <v>35</v>
      </c>
      <c r="AF222" s="54">
        <v>10.199999999999999</v>
      </c>
      <c r="AG222" s="55">
        <v>0</v>
      </c>
      <c r="AH222" s="55">
        <v>6.1</v>
      </c>
      <c r="AI222" s="57">
        <v>9.75</v>
      </c>
      <c r="AJ222" s="56">
        <v>35</v>
      </c>
      <c r="AK222" s="54">
        <v>10.1</v>
      </c>
      <c r="AL222" s="54">
        <v>0</v>
      </c>
      <c r="AM222" s="54">
        <v>6.2</v>
      </c>
      <c r="AN222" s="57">
        <v>15</v>
      </c>
      <c r="AO222" s="53">
        <v>36</v>
      </c>
      <c r="AP222" s="54">
        <v>10.1</v>
      </c>
      <c r="AQ222" s="54">
        <v>200</v>
      </c>
      <c r="AR222" s="54">
        <v>6.3</v>
      </c>
      <c r="AS222" s="57">
        <v>17.5</v>
      </c>
      <c r="AT222" s="56">
        <v>30</v>
      </c>
      <c r="AU222" s="57">
        <v>160</v>
      </c>
      <c r="AV222" s="56">
        <v>91.280105590820298</v>
      </c>
      <c r="AW222" s="57">
        <v>302.89327739458531</v>
      </c>
      <c r="AX222" s="8"/>
      <c r="AZ222" s="1">
        <v>90</v>
      </c>
      <c r="BB222" s="82">
        <f t="shared" si="23"/>
        <v>35.028500000000001</v>
      </c>
    </row>
    <row r="223" spans="3:54" ht="15" customHeight="1" x14ac:dyDescent="0.25">
      <c r="C223" s="42"/>
      <c r="D223" s="43">
        <f>D220</f>
        <v>45765</v>
      </c>
      <c r="E223" s="44">
        <f t="shared" si="26"/>
        <v>17.500000000000021</v>
      </c>
      <c r="F223" s="45">
        <f t="shared" si="25"/>
        <v>45765.500000000502</v>
      </c>
      <c r="G223" s="52">
        <v>42</v>
      </c>
      <c r="H223" s="53">
        <v>38</v>
      </c>
      <c r="I223" s="54">
        <v>10.1</v>
      </c>
      <c r="J223" s="54">
        <v>550</v>
      </c>
      <c r="K223" s="55">
        <v>6.2</v>
      </c>
      <c r="L223" s="56">
        <v>38</v>
      </c>
      <c r="M223" s="54">
        <v>10.1</v>
      </c>
      <c r="N223" s="54">
        <v>850</v>
      </c>
      <c r="O223" s="57">
        <v>6.5</v>
      </c>
      <c r="P223" s="53">
        <v>36</v>
      </c>
      <c r="Q223" s="54">
        <v>10.1</v>
      </c>
      <c r="R223" s="55">
        <v>0</v>
      </c>
      <c r="S223" s="55">
        <v>6.3</v>
      </c>
      <c r="T223" s="57">
        <v>17</v>
      </c>
      <c r="U223" s="56">
        <v>36</v>
      </c>
      <c r="V223" s="54">
        <v>10.1</v>
      </c>
      <c r="W223" s="55">
        <v>0</v>
      </c>
      <c r="X223" s="55">
        <v>6.2</v>
      </c>
      <c r="Y223" s="57">
        <v>12.25</v>
      </c>
      <c r="Z223" s="53">
        <v>37</v>
      </c>
      <c r="AA223" s="54">
        <v>10.1</v>
      </c>
      <c r="AB223" s="55">
        <v>0</v>
      </c>
      <c r="AC223" s="55">
        <v>6.3</v>
      </c>
      <c r="AD223" s="57">
        <v>8.25</v>
      </c>
      <c r="AE223" s="56">
        <v>36</v>
      </c>
      <c r="AF223" s="54">
        <v>10</v>
      </c>
      <c r="AG223" s="55">
        <v>0</v>
      </c>
      <c r="AH223" s="55">
        <v>6.2</v>
      </c>
      <c r="AI223" s="57">
        <v>10.25</v>
      </c>
      <c r="AJ223" s="56">
        <v>37</v>
      </c>
      <c r="AK223" s="54">
        <v>10.1</v>
      </c>
      <c r="AL223" s="54">
        <v>0</v>
      </c>
      <c r="AM223" s="54">
        <v>6</v>
      </c>
      <c r="AN223" s="57">
        <v>14.75</v>
      </c>
      <c r="AO223" s="53">
        <v>38</v>
      </c>
      <c r="AP223" s="54">
        <v>10.199999999999999</v>
      </c>
      <c r="AQ223" s="54">
        <v>180</v>
      </c>
      <c r="AR223" s="54">
        <v>6.2</v>
      </c>
      <c r="AS223" s="57">
        <v>18.25</v>
      </c>
      <c r="AT223" s="56">
        <v>32</v>
      </c>
      <c r="AU223" s="57">
        <v>160</v>
      </c>
      <c r="AV223" s="56">
        <v>91.259765625</v>
      </c>
      <c r="AW223" s="57">
        <v>306.89151707642401</v>
      </c>
      <c r="AX223" s="8"/>
      <c r="AZ223" s="1">
        <v>90</v>
      </c>
      <c r="BB223" s="82">
        <f t="shared" si="23"/>
        <v>35.691499999999998</v>
      </c>
    </row>
    <row r="224" spans="3:54" ht="15" customHeight="1" x14ac:dyDescent="0.25">
      <c r="C224" s="42"/>
      <c r="D224" s="43">
        <f>D220</f>
        <v>45765</v>
      </c>
      <c r="E224" s="44">
        <f t="shared" si="26"/>
        <v>17.583333333333353</v>
      </c>
      <c r="F224" s="45">
        <f t="shared" si="25"/>
        <v>45765.583333333838</v>
      </c>
      <c r="G224" s="52">
        <v>43</v>
      </c>
      <c r="H224" s="53">
        <v>38</v>
      </c>
      <c r="I224" s="54">
        <v>10.5</v>
      </c>
      <c r="J224" s="54">
        <v>550</v>
      </c>
      <c r="K224" s="55">
        <v>6.4</v>
      </c>
      <c r="L224" s="56">
        <v>39</v>
      </c>
      <c r="M224" s="54">
        <v>10.3</v>
      </c>
      <c r="N224" s="54">
        <v>750</v>
      </c>
      <c r="O224" s="57">
        <v>6.3</v>
      </c>
      <c r="P224" s="53">
        <v>37</v>
      </c>
      <c r="Q224" s="54">
        <v>10.199999999999999</v>
      </c>
      <c r="R224" s="55">
        <v>0</v>
      </c>
      <c r="S224" s="55">
        <v>6.1</v>
      </c>
      <c r="T224" s="57">
        <v>16.5</v>
      </c>
      <c r="U224" s="56">
        <v>35</v>
      </c>
      <c r="V224" s="54">
        <v>10.199999999999999</v>
      </c>
      <c r="W224" s="55">
        <v>0</v>
      </c>
      <c r="X224" s="55">
        <v>6.1</v>
      </c>
      <c r="Y224" s="57">
        <v>12</v>
      </c>
      <c r="Z224" s="53">
        <v>36</v>
      </c>
      <c r="AA224" s="54">
        <v>10.1</v>
      </c>
      <c r="AB224" s="55">
        <v>0</v>
      </c>
      <c r="AC224" s="55">
        <v>6.1</v>
      </c>
      <c r="AD224" s="57">
        <v>8.25</v>
      </c>
      <c r="AE224" s="56">
        <v>36</v>
      </c>
      <c r="AF224" s="54">
        <v>10.1</v>
      </c>
      <c r="AG224" s="55">
        <v>0</v>
      </c>
      <c r="AH224" s="55">
        <v>6.2</v>
      </c>
      <c r="AI224" s="57">
        <v>10.25</v>
      </c>
      <c r="AJ224" s="56">
        <v>37</v>
      </c>
      <c r="AK224" s="54">
        <v>10.1</v>
      </c>
      <c r="AL224" s="54">
        <v>0</v>
      </c>
      <c r="AM224" s="54">
        <v>6.3</v>
      </c>
      <c r="AN224" s="57">
        <v>15</v>
      </c>
      <c r="AO224" s="53">
        <v>36</v>
      </c>
      <c r="AP224" s="54">
        <v>10.3</v>
      </c>
      <c r="AQ224" s="54">
        <v>200</v>
      </c>
      <c r="AR224" s="54">
        <v>6.5</v>
      </c>
      <c r="AS224" s="57">
        <v>18.75</v>
      </c>
      <c r="AT224" s="56">
        <v>30</v>
      </c>
      <c r="AU224" s="57">
        <v>160</v>
      </c>
      <c r="AV224" s="56">
        <v>89.697265625</v>
      </c>
      <c r="AW224" s="57">
        <v>305.55531386102859</v>
      </c>
      <c r="AX224" s="8"/>
      <c r="AZ224" s="1">
        <v>90</v>
      </c>
      <c r="BB224" s="82">
        <f t="shared" si="23"/>
        <v>35.691499999999998</v>
      </c>
    </row>
    <row r="225" spans="3:54" ht="15" customHeight="1" x14ac:dyDescent="0.25">
      <c r="C225" s="42"/>
      <c r="D225" s="43">
        <f>D220</f>
        <v>45765</v>
      </c>
      <c r="E225" s="44">
        <f t="shared" si="26"/>
        <v>17.666666666666686</v>
      </c>
      <c r="F225" s="45">
        <f t="shared" si="25"/>
        <v>45765.666666667174</v>
      </c>
      <c r="G225" s="52">
        <v>40</v>
      </c>
      <c r="H225" s="53">
        <v>38</v>
      </c>
      <c r="I225" s="54">
        <v>10.8</v>
      </c>
      <c r="J225" s="54">
        <v>500</v>
      </c>
      <c r="K225" s="55">
        <v>6.2</v>
      </c>
      <c r="L225" s="56">
        <v>38</v>
      </c>
      <c r="M225" s="54">
        <v>10.4</v>
      </c>
      <c r="N225" s="54">
        <v>750</v>
      </c>
      <c r="O225" s="57">
        <v>6.9</v>
      </c>
      <c r="P225" s="53">
        <v>36</v>
      </c>
      <c r="Q225" s="54">
        <v>10.3</v>
      </c>
      <c r="R225" s="55">
        <v>0</v>
      </c>
      <c r="S225" s="55">
        <v>5.7</v>
      </c>
      <c r="T225" s="57">
        <v>17.5</v>
      </c>
      <c r="U225" s="56">
        <v>36</v>
      </c>
      <c r="V225" s="54">
        <v>10.199999999999999</v>
      </c>
      <c r="W225" s="55">
        <v>0</v>
      </c>
      <c r="X225" s="55">
        <v>5.6</v>
      </c>
      <c r="Y225" s="57">
        <v>11.25</v>
      </c>
      <c r="Z225" s="53">
        <v>36</v>
      </c>
      <c r="AA225" s="54">
        <v>10.1</v>
      </c>
      <c r="AB225" s="55">
        <v>0</v>
      </c>
      <c r="AC225" s="55">
        <v>5.7</v>
      </c>
      <c r="AD225" s="57">
        <v>8</v>
      </c>
      <c r="AE225" s="56">
        <v>35</v>
      </c>
      <c r="AF225" s="54">
        <v>10.199999999999999</v>
      </c>
      <c r="AG225" s="55">
        <v>0</v>
      </c>
      <c r="AH225" s="55">
        <v>4.9000000000000004</v>
      </c>
      <c r="AI225" s="57">
        <v>11.25</v>
      </c>
      <c r="AJ225" s="56">
        <v>36</v>
      </c>
      <c r="AK225" s="54">
        <v>10.1</v>
      </c>
      <c r="AL225" s="54">
        <v>0</v>
      </c>
      <c r="AM225" s="54">
        <v>6.4</v>
      </c>
      <c r="AN225" s="57">
        <v>13.75</v>
      </c>
      <c r="AO225" s="53">
        <v>35</v>
      </c>
      <c r="AP225" s="54">
        <v>10</v>
      </c>
      <c r="AQ225" s="54">
        <v>200</v>
      </c>
      <c r="AR225" s="54">
        <v>7.1</v>
      </c>
      <c r="AS225" s="57">
        <v>16.25</v>
      </c>
      <c r="AT225" s="56">
        <v>31</v>
      </c>
      <c r="AU225" s="57">
        <v>160</v>
      </c>
      <c r="AV225" s="56">
        <v>90.999343872070298</v>
      </c>
      <c r="AW225" s="57">
        <v>312.40728587106179</v>
      </c>
      <c r="AX225" s="8"/>
      <c r="AZ225" s="1">
        <v>90</v>
      </c>
      <c r="BB225" s="82">
        <f t="shared" si="23"/>
        <v>34.475999999999999</v>
      </c>
    </row>
    <row r="226" spans="3:54" ht="15" customHeight="1" x14ac:dyDescent="0.25">
      <c r="C226" s="42"/>
      <c r="D226" s="43">
        <f>D220</f>
        <v>45765</v>
      </c>
      <c r="E226" s="44">
        <f t="shared" si="26"/>
        <v>17.750000000000018</v>
      </c>
      <c r="F226" s="45">
        <f t="shared" si="25"/>
        <v>45765.750000000509</v>
      </c>
      <c r="G226" s="52">
        <v>45</v>
      </c>
      <c r="H226" s="53">
        <v>39</v>
      </c>
      <c r="I226" s="54">
        <v>10.9</v>
      </c>
      <c r="J226" s="54">
        <v>500</v>
      </c>
      <c r="K226" s="55">
        <v>6.3</v>
      </c>
      <c r="L226" s="56">
        <v>38</v>
      </c>
      <c r="M226" s="54">
        <v>10.6</v>
      </c>
      <c r="N226" s="54">
        <v>700</v>
      </c>
      <c r="O226" s="57">
        <v>6.7</v>
      </c>
      <c r="P226" s="53">
        <v>38</v>
      </c>
      <c r="Q226" s="54">
        <v>10.4</v>
      </c>
      <c r="R226" s="55">
        <v>0</v>
      </c>
      <c r="S226" s="55">
        <v>5.6</v>
      </c>
      <c r="T226" s="57">
        <v>17.5</v>
      </c>
      <c r="U226" s="56">
        <v>36</v>
      </c>
      <c r="V226" s="54">
        <v>10.4</v>
      </c>
      <c r="W226" s="55">
        <v>0</v>
      </c>
      <c r="X226" s="55">
        <v>5.4</v>
      </c>
      <c r="Y226" s="57">
        <v>11.75</v>
      </c>
      <c r="Z226" s="53">
        <v>35</v>
      </c>
      <c r="AA226" s="54">
        <v>10.3</v>
      </c>
      <c r="AB226" s="55">
        <v>0</v>
      </c>
      <c r="AC226" s="55">
        <v>5.3</v>
      </c>
      <c r="AD226" s="57">
        <v>8.75</v>
      </c>
      <c r="AE226" s="56">
        <v>36</v>
      </c>
      <c r="AF226" s="54">
        <v>10.199999999999999</v>
      </c>
      <c r="AG226" s="55">
        <v>0</v>
      </c>
      <c r="AH226" s="55">
        <v>4.8</v>
      </c>
      <c r="AI226" s="57">
        <v>10.25</v>
      </c>
      <c r="AJ226" s="56">
        <v>36</v>
      </c>
      <c r="AK226" s="54">
        <v>10.199999999999999</v>
      </c>
      <c r="AL226" s="54">
        <v>0</v>
      </c>
      <c r="AM226" s="54">
        <v>6.3</v>
      </c>
      <c r="AN226" s="57">
        <v>15</v>
      </c>
      <c r="AO226" s="53">
        <v>36</v>
      </c>
      <c r="AP226" s="54">
        <v>10</v>
      </c>
      <c r="AQ226" s="54">
        <v>200</v>
      </c>
      <c r="AR226" s="54">
        <v>6.9</v>
      </c>
      <c r="AS226" s="57">
        <v>18</v>
      </c>
      <c r="AT226" s="56">
        <v>32</v>
      </c>
      <c r="AU226" s="57">
        <v>140</v>
      </c>
      <c r="AV226" s="56">
        <v>91.162109375</v>
      </c>
      <c r="AW226" s="57">
        <v>301.38442787298311</v>
      </c>
      <c r="AX226" s="8"/>
      <c r="AZ226" s="1">
        <v>90</v>
      </c>
      <c r="BB226" s="82">
        <f t="shared" si="23"/>
        <v>35.912500000000001</v>
      </c>
    </row>
    <row r="227" spans="3:54" ht="15" customHeight="1" x14ac:dyDescent="0.25">
      <c r="C227" s="42"/>
      <c r="D227" s="43">
        <f>D220</f>
        <v>45765</v>
      </c>
      <c r="E227" s="44">
        <f t="shared" si="26"/>
        <v>17.83333333333335</v>
      </c>
      <c r="F227" s="45">
        <f t="shared" si="25"/>
        <v>45765.833333333845</v>
      </c>
      <c r="G227" s="52">
        <v>40</v>
      </c>
      <c r="H227" s="53">
        <v>34</v>
      </c>
      <c r="I227" s="54">
        <v>10.8</v>
      </c>
      <c r="J227" s="54">
        <v>600</v>
      </c>
      <c r="K227" s="55">
        <v>6.4</v>
      </c>
      <c r="L227" s="56">
        <v>35</v>
      </c>
      <c r="M227" s="54">
        <v>10.9</v>
      </c>
      <c r="N227" s="54">
        <v>650</v>
      </c>
      <c r="O227" s="57">
        <v>6.4</v>
      </c>
      <c r="P227" s="53">
        <v>36</v>
      </c>
      <c r="Q227" s="54">
        <v>10.3</v>
      </c>
      <c r="R227" s="55">
        <v>0</v>
      </c>
      <c r="S227" s="55">
        <v>5.8</v>
      </c>
      <c r="T227" s="57">
        <v>15.25</v>
      </c>
      <c r="U227" s="56">
        <v>37</v>
      </c>
      <c r="V227" s="54">
        <v>10.199999999999999</v>
      </c>
      <c r="W227" s="55">
        <v>0</v>
      </c>
      <c r="X227" s="55">
        <v>5.9</v>
      </c>
      <c r="Y227" s="57">
        <v>11.25</v>
      </c>
      <c r="Z227" s="53">
        <v>36</v>
      </c>
      <c r="AA227" s="54">
        <v>9.9</v>
      </c>
      <c r="AB227" s="55">
        <v>0</v>
      </c>
      <c r="AC227" s="55">
        <v>5.8</v>
      </c>
      <c r="AD227" s="57">
        <v>8.25</v>
      </c>
      <c r="AE227" s="56">
        <v>36</v>
      </c>
      <c r="AF227" s="54">
        <v>9.9</v>
      </c>
      <c r="AG227" s="55">
        <v>0</v>
      </c>
      <c r="AH227" s="55">
        <v>5.9</v>
      </c>
      <c r="AI227" s="57">
        <v>8.75</v>
      </c>
      <c r="AJ227" s="56">
        <v>35</v>
      </c>
      <c r="AK227" s="54">
        <v>10.199999999999999</v>
      </c>
      <c r="AL227" s="54">
        <v>0</v>
      </c>
      <c r="AM227" s="54">
        <v>5.5</v>
      </c>
      <c r="AN227" s="57">
        <v>14.5</v>
      </c>
      <c r="AO227" s="53">
        <v>37</v>
      </c>
      <c r="AP227" s="54">
        <v>10.199999999999999</v>
      </c>
      <c r="AQ227" s="54">
        <v>170</v>
      </c>
      <c r="AR227" s="54">
        <v>5.9</v>
      </c>
      <c r="AS227" s="57">
        <v>18.75</v>
      </c>
      <c r="AT227" s="56">
        <v>31</v>
      </c>
      <c r="AU227" s="57">
        <v>140</v>
      </c>
      <c r="AV227" s="56">
        <v>90.425613403320298</v>
      </c>
      <c r="AW227" s="57">
        <v>304.3610138419084</v>
      </c>
      <c r="AX227" s="8"/>
      <c r="AZ227" s="1">
        <v>90</v>
      </c>
      <c r="BB227" s="82">
        <f t="shared" si="23"/>
        <v>33.923499999999997</v>
      </c>
    </row>
    <row r="228" spans="3:54" ht="15" customHeight="1" x14ac:dyDescent="0.25">
      <c r="C228" s="42"/>
      <c r="D228" s="43">
        <f>D220</f>
        <v>45765</v>
      </c>
      <c r="E228" s="44">
        <f t="shared" si="26"/>
        <v>17.916666666666682</v>
      </c>
      <c r="F228" s="45">
        <f t="shared" si="25"/>
        <v>45765.916666667181</v>
      </c>
      <c r="G228" s="52">
        <v>39</v>
      </c>
      <c r="H228" s="53">
        <v>35</v>
      </c>
      <c r="I228" s="54">
        <v>11</v>
      </c>
      <c r="J228" s="54">
        <v>600</v>
      </c>
      <c r="K228" s="55">
        <v>6.9</v>
      </c>
      <c r="L228" s="56">
        <v>36</v>
      </c>
      <c r="M228" s="54">
        <v>11</v>
      </c>
      <c r="N228" s="54">
        <v>600</v>
      </c>
      <c r="O228" s="57">
        <v>6.3</v>
      </c>
      <c r="P228" s="53">
        <v>36</v>
      </c>
      <c r="Q228" s="54">
        <v>11</v>
      </c>
      <c r="R228" s="55">
        <v>0</v>
      </c>
      <c r="S228" s="55">
        <v>5.9</v>
      </c>
      <c r="T228" s="57">
        <v>15</v>
      </c>
      <c r="U228" s="56">
        <v>37</v>
      </c>
      <c r="V228" s="54">
        <v>11</v>
      </c>
      <c r="W228" s="55">
        <v>0</v>
      </c>
      <c r="X228" s="55">
        <v>6</v>
      </c>
      <c r="Y228" s="57">
        <v>11.5</v>
      </c>
      <c r="Z228" s="53">
        <v>36</v>
      </c>
      <c r="AA228" s="54">
        <v>10.8</v>
      </c>
      <c r="AB228" s="55">
        <v>0</v>
      </c>
      <c r="AC228" s="55">
        <v>5.7</v>
      </c>
      <c r="AD228" s="57">
        <v>8.75</v>
      </c>
      <c r="AE228" s="56">
        <v>36</v>
      </c>
      <c r="AF228" s="54">
        <v>10.8</v>
      </c>
      <c r="AG228" s="55">
        <v>0</v>
      </c>
      <c r="AH228" s="55">
        <v>6.2</v>
      </c>
      <c r="AI228" s="57">
        <v>8.75</v>
      </c>
      <c r="AJ228" s="56">
        <v>36</v>
      </c>
      <c r="AK228" s="54">
        <v>10.7</v>
      </c>
      <c r="AL228" s="54">
        <v>0</v>
      </c>
      <c r="AM228" s="54">
        <v>5.4</v>
      </c>
      <c r="AN228" s="57">
        <v>14</v>
      </c>
      <c r="AO228" s="53">
        <v>37</v>
      </c>
      <c r="AP228" s="54">
        <v>10.5</v>
      </c>
      <c r="AQ228" s="54">
        <v>180</v>
      </c>
      <c r="AR228" s="54">
        <v>5.7</v>
      </c>
      <c r="AS228" s="57">
        <v>18.25</v>
      </c>
      <c r="AT228" s="56">
        <v>31</v>
      </c>
      <c r="AU228" s="57">
        <v>140</v>
      </c>
      <c r="AV228" s="56">
        <v>91.12548828125</v>
      </c>
      <c r="AW228" s="57">
        <v>307.09358111713084</v>
      </c>
      <c r="AX228" s="8"/>
      <c r="AZ228" s="1">
        <v>90</v>
      </c>
      <c r="BB228" s="82">
        <f t="shared" si="23"/>
        <v>33.702500000000001</v>
      </c>
    </row>
    <row r="229" spans="3:54" ht="15" customHeight="1" x14ac:dyDescent="0.25">
      <c r="C229" s="42"/>
      <c r="D229" s="43">
        <f>D220</f>
        <v>45765</v>
      </c>
      <c r="E229" s="44">
        <f t="shared" si="26"/>
        <v>18.000000000000014</v>
      </c>
      <c r="F229" s="45">
        <f t="shared" si="25"/>
        <v>45766.000000000517</v>
      </c>
      <c r="G229" s="52">
        <v>37</v>
      </c>
      <c r="H229" s="53">
        <v>35</v>
      </c>
      <c r="I229" s="54">
        <v>11</v>
      </c>
      <c r="J229" s="54">
        <v>600</v>
      </c>
      <c r="K229" s="55">
        <v>6</v>
      </c>
      <c r="L229" s="56">
        <v>36</v>
      </c>
      <c r="M229" s="54">
        <v>11</v>
      </c>
      <c r="N229" s="54">
        <v>600</v>
      </c>
      <c r="O229" s="57">
        <v>6</v>
      </c>
      <c r="P229" s="53">
        <v>36</v>
      </c>
      <c r="Q229" s="54">
        <v>11</v>
      </c>
      <c r="R229" s="55">
        <v>0</v>
      </c>
      <c r="S229" s="55">
        <v>5.7</v>
      </c>
      <c r="T229" s="57">
        <v>15.25</v>
      </c>
      <c r="U229" s="56">
        <v>37</v>
      </c>
      <c r="V229" s="54">
        <v>11</v>
      </c>
      <c r="W229" s="55">
        <v>0</v>
      </c>
      <c r="X229" s="55">
        <v>5.8</v>
      </c>
      <c r="Y229" s="57">
        <v>11.25</v>
      </c>
      <c r="Z229" s="53">
        <v>36</v>
      </c>
      <c r="AA229" s="54">
        <v>11</v>
      </c>
      <c r="AB229" s="55">
        <v>0</v>
      </c>
      <c r="AC229" s="55">
        <v>5.6</v>
      </c>
      <c r="AD229" s="57">
        <v>8.25</v>
      </c>
      <c r="AE229" s="56">
        <v>36</v>
      </c>
      <c r="AF229" s="54">
        <v>11</v>
      </c>
      <c r="AG229" s="55">
        <v>0</v>
      </c>
      <c r="AH229" s="55">
        <v>5.8</v>
      </c>
      <c r="AI229" s="57">
        <v>8.75</v>
      </c>
      <c r="AJ229" s="56">
        <v>36</v>
      </c>
      <c r="AK229" s="54">
        <v>11</v>
      </c>
      <c r="AL229" s="54">
        <v>0</v>
      </c>
      <c r="AM229" s="54">
        <v>5.9</v>
      </c>
      <c r="AN229" s="57">
        <v>14.5</v>
      </c>
      <c r="AO229" s="53">
        <v>37</v>
      </c>
      <c r="AP229" s="54">
        <v>10.8</v>
      </c>
      <c r="AQ229" s="54">
        <v>180</v>
      </c>
      <c r="AR229" s="54">
        <v>5.8</v>
      </c>
      <c r="AS229" s="57">
        <v>18.75</v>
      </c>
      <c r="AT229" s="56">
        <v>30</v>
      </c>
      <c r="AU229" s="57">
        <v>150</v>
      </c>
      <c r="AV229" s="56">
        <v>91.36962890625</v>
      </c>
      <c r="AW229" s="57">
        <v>308.08774615166089</v>
      </c>
      <c r="AX229" s="8"/>
      <c r="AZ229" s="1">
        <v>90</v>
      </c>
      <c r="BB229" s="82">
        <f t="shared" si="23"/>
        <v>33.923499999999997</v>
      </c>
    </row>
    <row r="230" spans="3:54" ht="15" customHeight="1" x14ac:dyDescent="0.25">
      <c r="C230" s="42"/>
      <c r="D230" s="43">
        <f>D220</f>
        <v>45765</v>
      </c>
      <c r="E230" s="44">
        <f t="shared" si="26"/>
        <v>18.083333333333346</v>
      </c>
      <c r="F230" s="45">
        <f t="shared" si="25"/>
        <v>45766.083333333852</v>
      </c>
      <c r="G230" s="52">
        <v>43</v>
      </c>
      <c r="H230" s="53">
        <v>36</v>
      </c>
      <c r="I230" s="54">
        <v>11</v>
      </c>
      <c r="J230" s="54">
        <v>550</v>
      </c>
      <c r="K230" s="55">
        <v>6.4</v>
      </c>
      <c r="L230" s="56">
        <v>36</v>
      </c>
      <c r="M230" s="54">
        <v>11</v>
      </c>
      <c r="N230" s="54">
        <v>600</v>
      </c>
      <c r="O230" s="57">
        <v>6.4</v>
      </c>
      <c r="P230" s="53">
        <v>36</v>
      </c>
      <c r="Q230" s="54">
        <v>11</v>
      </c>
      <c r="R230" s="55">
        <v>0</v>
      </c>
      <c r="S230" s="55">
        <v>5.8</v>
      </c>
      <c r="T230" s="57">
        <v>15.25</v>
      </c>
      <c r="U230" s="56">
        <v>36</v>
      </c>
      <c r="V230" s="54">
        <v>11</v>
      </c>
      <c r="W230" s="55">
        <v>0</v>
      </c>
      <c r="X230" s="55">
        <v>5.9</v>
      </c>
      <c r="Y230" s="57">
        <v>11.25</v>
      </c>
      <c r="Z230" s="53">
        <v>36</v>
      </c>
      <c r="AA230" s="54">
        <v>11</v>
      </c>
      <c r="AB230" s="55">
        <v>0</v>
      </c>
      <c r="AC230" s="55">
        <v>5.8</v>
      </c>
      <c r="AD230" s="57">
        <v>8.75</v>
      </c>
      <c r="AE230" s="56">
        <v>35</v>
      </c>
      <c r="AF230" s="54">
        <v>11</v>
      </c>
      <c r="AG230" s="55">
        <v>0</v>
      </c>
      <c r="AH230" s="55">
        <v>5.9</v>
      </c>
      <c r="AI230" s="57">
        <v>8.25</v>
      </c>
      <c r="AJ230" s="56">
        <v>35</v>
      </c>
      <c r="AK230" s="54">
        <v>11</v>
      </c>
      <c r="AL230" s="54">
        <v>0</v>
      </c>
      <c r="AM230" s="54">
        <v>6</v>
      </c>
      <c r="AN230" s="57">
        <v>13.25</v>
      </c>
      <c r="AO230" s="53">
        <v>36</v>
      </c>
      <c r="AP230" s="54">
        <v>11</v>
      </c>
      <c r="AQ230" s="54">
        <v>200</v>
      </c>
      <c r="AR230" s="54">
        <v>5.9</v>
      </c>
      <c r="AS230" s="57">
        <v>18.5</v>
      </c>
      <c r="AT230" s="56">
        <v>31</v>
      </c>
      <c r="AU230" s="57">
        <v>150</v>
      </c>
      <c r="AV230" s="56">
        <v>90.962722778320298</v>
      </c>
      <c r="AW230" s="57">
        <v>303.24857711566921</v>
      </c>
      <c r="AX230" s="8"/>
      <c r="AZ230" s="1">
        <v>90</v>
      </c>
      <c r="BB230" s="82">
        <f t="shared" si="23"/>
        <v>33.2605</v>
      </c>
    </row>
    <row r="231" spans="3:54" ht="15" customHeight="1" x14ac:dyDescent="0.25">
      <c r="C231" s="42"/>
      <c r="D231" s="69">
        <f>D220</f>
        <v>45765</v>
      </c>
      <c r="E231" s="70">
        <f t="shared" si="26"/>
        <v>18.166666666666679</v>
      </c>
      <c r="F231" s="71">
        <f t="shared" si="25"/>
        <v>45766.166666667188</v>
      </c>
      <c r="G231" s="60">
        <v>43</v>
      </c>
      <c r="H231" s="61">
        <v>36</v>
      </c>
      <c r="I231" s="62">
        <v>11</v>
      </c>
      <c r="J231" s="62">
        <v>500</v>
      </c>
      <c r="K231" s="63">
        <v>6.2</v>
      </c>
      <c r="L231" s="64">
        <v>36</v>
      </c>
      <c r="M231" s="62">
        <v>11</v>
      </c>
      <c r="N231" s="62">
        <v>550</v>
      </c>
      <c r="O231" s="65">
        <v>6.9</v>
      </c>
      <c r="P231" s="61">
        <v>35</v>
      </c>
      <c r="Q231" s="62">
        <v>11</v>
      </c>
      <c r="R231" s="63">
        <v>0</v>
      </c>
      <c r="S231" s="63">
        <v>5.7</v>
      </c>
      <c r="T231" s="65">
        <v>15</v>
      </c>
      <c r="U231" s="64">
        <v>35</v>
      </c>
      <c r="V231" s="62">
        <v>11</v>
      </c>
      <c r="W231" s="63">
        <v>0</v>
      </c>
      <c r="X231" s="63">
        <v>5.6</v>
      </c>
      <c r="Y231" s="65">
        <v>11.25</v>
      </c>
      <c r="Z231" s="61">
        <v>35</v>
      </c>
      <c r="AA231" s="62">
        <v>11</v>
      </c>
      <c r="AB231" s="63">
        <v>0</v>
      </c>
      <c r="AC231" s="63">
        <v>5.2</v>
      </c>
      <c r="AD231" s="65">
        <v>8.75</v>
      </c>
      <c r="AE231" s="64">
        <v>35</v>
      </c>
      <c r="AF231" s="62">
        <v>11</v>
      </c>
      <c r="AG231" s="63">
        <v>0</v>
      </c>
      <c r="AH231" s="63">
        <v>5.9</v>
      </c>
      <c r="AI231" s="65">
        <v>8.25</v>
      </c>
      <c r="AJ231" s="64">
        <v>35</v>
      </c>
      <c r="AK231" s="62">
        <v>11</v>
      </c>
      <c r="AL231" s="62">
        <v>0</v>
      </c>
      <c r="AM231" s="62">
        <v>6.4</v>
      </c>
      <c r="AN231" s="65">
        <v>13.25</v>
      </c>
      <c r="AO231" s="61">
        <v>36</v>
      </c>
      <c r="AP231" s="62">
        <v>11</v>
      </c>
      <c r="AQ231" s="62">
        <v>200</v>
      </c>
      <c r="AR231" s="62">
        <v>6.1</v>
      </c>
      <c r="AS231" s="65">
        <v>18.5</v>
      </c>
      <c r="AT231" s="64">
        <v>31</v>
      </c>
      <c r="AU231" s="65">
        <v>160</v>
      </c>
      <c r="AV231" s="64">
        <v>91.2353515625</v>
      </c>
      <c r="AW231" s="65">
        <v>304.90029449908371</v>
      </c>
      <c r="AX231" s="8"/>
      <c r="AZ231" s="1">
        <v>90</v>
      </c>
      <c r="BB231" s="82">
        <f t="shared" si="23"/>
        <v>33.15</v>
      </c>
    </row>
    <row r="232" spans="3:54" ht="15" customHeight="1" x14ac:dyDescent="0.25">
      <c r="C232" s="42">
        <f>C220+1</f>
        <v>19</v>
      </c>
      <c r="D232" s="66">
        <f>DATE([4]Dash!$F$3,VLOOKUP([4]Dash!$E$3,[4]Abb!$C$3:$D$14,2,FALSE),C232)</f>
        <v>45766</v>
      </c>
      <c r="E232" s="67">
        <f>E231+2/24</f>
        <v>18.250000000000011</v>
      </c>
      <c r="F232" s="68">
        <f t="shared" si="25"/>
        <v>45766.250000000524</v>
      </c>
      <c r="G232" s="46">
        <v>43</v>
      </c>
      <c r="H232" s="47">
        <v>37</v>
      </c>
      <c r="I232" s="48">
        <v>10</v>
      </c>
      <c r="J232" s="48">
        <v>550</v>
      </c>
      <c r="K232" s="49">
        <v>6.8</v>
      </c>
      <c r="L232" s="50">
        <v>39</v>
      </c>
      <c r="M232" s="48">
        <v>10</v>
      </c>
      <c r="N232" s="48">
        <v>500</v>
      </c>
      <c r="O232" s="51">
        <v>7.3</v>
      </c>
      <c r="P232" s="47">
        <v>36</v>
      </c>
      <c r="Q232" s="48">
        <v>10</v>
      </c>
      <c r="R232" s="49">
        <v>0</v>
      </c>
      <c r="S232" s="49">
        <v>6.5</v>
      </c>
      <c r="T232" s="51">
        <v>16.25</v>
      </c>
      <c r="U232" s="50">
        <v>36</v>
      </c>
      <c r="V232" s="48">
        <v>0</v>
      </c>
      <c r="W232" s="49">
        <v>0</v>
      </c>
      <c r="X232" s="49">
        <v>7</v>
      </c>
      <c r="Y232" s="51">
        <v>10</v>
      </c>
      <c r="Z232" s="47">
        <v>35</v>
      </c>
      <c r="AA232" s="48">
        <v>0</v>
      </c>
      <c r="AB232" s="49">
        <v>0</v>
      </c>
      <c r="AC232" s="49">
        <v>7.3</v>
      </c>
      <c r="AD232" s="51">
        <v>7.5</v>
      </c>
      <c r="AE232" s="50">
        <v>36</v>
      </c>
      <c r="AF232" s="48">
        <v>0</v>
      </c>
      <c r="AG232" s="49">
        <v>0</v>
      </c>
      <c r="AH232" s="49">
        <v>5.7</v>
      </c>
      <c r="AI232" s="51">
        <v>8.75</v>
      </c>
      <c r="AJ232" s="50">
        <v>38</v>
      </c>
      <c r="AK232" s="48">
        <v>0</v>
      </c>
      <c r="AL232" s="48">
        <v>0</v>
      </c>
      <c r="AM232" s="48">
        <v>6.3</v>
      </c>
      <c r="AN232" s="51">
        <v>11.25</v>
      </c>
      <c r="AO232" s="47">
        <v>36</v>
      </c>
      <c r="AP232" s="48">
        <v>10</v>
      </c>
      <c r="AQ232" s="48">
        <v>210</v>
      </c>
      <c r="AR232" s="48">
        <v>6</v>
      </c>
      <c r="AS232" s="51">
        <v>17.5</v>
      </c>
      <c r="AT232" s="50">
        <v>28</v>
      </c>
      <c r="AU232" s="51">
        <v>190</v>
      </c>
      <c r="AV232" s="50">
        <v>91.0400390625</v>
      </c>
      <c r="AW232" s="51">
        <v>306.53802582593636</v>
      </c>
      <c r="AX232" s="8"/>
      <c r="AZ232" s="1">
        <v>90</v>
      </c>
      <c r="BB232" s="82">
        <f t="shared" si="23"/>
        <v>31.4925</v>
      </c>
    </row>
    <row r="233" spans="3:54" ht="15" customHeight="1" x14ac:dyDescent="0.25">
      <c r="C233" s="42"/>
      <c r="D233" s="43">
        <f>D232</f>
        <v>45766</v>
      </c>
      <c r="E233" s="44">
        <f>E232+2/24</f>
        <v>18.333333333333343</v>
      </c>
      <c r="F233" s="45">
        <f t="shared" si="25"/>
        <v>45766.33333333386</v>
      </c>
      <c r="G233" s="52">
        <v>30</v>
      </c>
      <c r="H233" s="53">
        <v>38</v>
      </c>
      <c r="I233" s="54">
        <v>10</v>
      </c>
      <c r="J233" s="54">
        <v>550</v>
      </c>
      <c r="K233" s="55">
        <v>6.4</v>
      </c>
      <c r="L233" s="56">
        <v>39</v>
      </c>
      <c r="M233" s="54">
        <v>10</v>
      </c>
      <c r="N233" s="54">
        <v>500</v>
      </c>
      <c r="O233" s="57">
        <v>7.1</v>
      </c>
      <c r="P233" s="53">
        <v>37</v>
      </c>
      <c r="Q233" s="54">
        <v>10</v>
      </c>
      <c r="R233" s="55">
        <v>0</v>
      </c>
      <c r="S233" s="55">
        <v>6.1</v>
      </c>
      <c r="T233" s="57">
        <v>16.75</v>
      </c>
      <c r="U233" s="56">
        <v>36</v>
      </c>
      <c r="V233" s="54">
        <v>0</v>
      </c>
      <c r="W233" s="55">
        <v>0</v>
      </c>
      <c r="X233" s="55">
        <v>6.8</v>
      </c>
      <c r="Y233" s="57">
        <v>10.25</v>
      </c>
      <c r="Z233" s="53">
        <v>35</v>
      </c>
      <c r="AA233" s="54">
        <v>0</v>
      </c>
      <c r="AB233" s="55">
        <v>0</v>
      </c>
      <c r="AC233" s="55">
        <v>7.1</v>
      </c>
      <c r="AD233" s="57">
        <v>7.75</v>
      </c>
      <c r="AE233" s="56">
        <v>36</v>
      </c>
      <c r="AF233" s="54">
        <v>0</v>
      </c>
      <c r="AG233" s="55">
        <v>0</v>
      </c>
      <c r="AH233" s="55">
        <v>5.5</v>
      </c>
      <c r="AI233" s="57">
        <v>8.5</v>
      </c>
      <c r="AJ233" s="56">
        <v>38</v>
      </c>
      <c r="AK233" s="54">
        <v>0</v>
      </c>
      <c r="AL233" s="54">
        <v>0</v>
      </c>
      <c r="AM233" s="54">
        <v>6.1</v>
      </c>
      <c r="AN233" s="57">
        <v>11.75</v>
      </c>
      <c r="AO233" s="53">
        <v>36</v>
      </c>
      <c r="AP233" s="54">
        <v>10</v>
      </c>
      <c r="AQ233" s="54">
        <v>210</v>
      </c>
      <c r="AR233" s="54">
        <v>5.8</v>
      </c>
      <c r="AS233" s="57">
        <v>17.25</v>
      </c>
      <c r="AT233" s="56">
        <v>29</v>
      </c>
      <c r="AU233" s="57">
        <v>190</v>
      </c>
      <c r="AV233" s="56">
        <v>90.576171875</v>
      </c>
      <c r="AW233" s="57">
        <v>303.91119290906937</v>
      </c>
      <c r="AX233" s="8"/>
      <c r="AZ233" s="1">
        <v>90</v>
      </c>
      <c r="BB233" s="82">
        <f t="shared" si="23"/>
        <v>31.9345</v>
      </c>
    </row>
    <row r="234" spans="3:54" ht="15" customHeight="1" x14ac:dyDescent="0.25">
      <c r="C234" s="42"/>
      <c r="D234" s="43">
        <f>D232</f>
        <v>45766</v>
      </c>
      <c r="E234" s="44">
        <f t="shared" ref="E234:E243" si="27">E233+2/24</f>
        <v>18.416666666666675</v>
      </c>
      <c r="F234" s="45">
        <f t="shared" si="25"/>
        <v>45766.416666667195</v>
      </c>
      <c r="G234" s="52">
        <v>44</v>
      </c>
      <c r="H234" s="53">
        <v>38</v>
      </c>
      <c r="I234" s="54">
        <v>10</v>
      </c>
      <c r="J234" s="54">
        <v>550</v>
      </c>
      <c r="K234" s="55">
        <v>6.6</v>
      </c>
      <c r="L234" s="56">
        <v>38</v>
      </c>
      <c r="M234" s="54">
        <v>10</v>
      </c>
      <c r="N234" s="54">
        <v>500</v>
      </c>
      <c r="O234" s="57">
        <v>6.8</v>
      </c>
      <c r="P234" s="53">
        <v>38</v>
      </c>
      <c r="Q234" s="54">
        <v>10</v>
      </c>
      <c r="R234" s="55">
        <v>0</v>
      </c>
      <c r="S234" s="55">
        <v>6.2</v>
      </c>
      <c r="T234" s="57">
        <v>17</v>
      </c>
      <c r="U234" s="56">
        <v>37</v>
      </c>
      <c r="V234" s="54">
        <v>0</v>
      </c>
      <c r="W234" s="55">
        <v>0</v>
      </c>
      <c r="X234" s="55">
        <v>6.7</v>
      </c>
      <c r="Y234" s="57">
        <v>10.75</v>
      </c>
      <c r="Z234" s="53">
        <v>36</v>
      </c>
      <c r="AA234" s="54">
        <v>0</v>
      </c>
      <c r="AB234" s="55">
        <v>0</v>
      </c>
      <c r="AC234" s="55">
        <v>6.9</v>
      </c>
      <c r="AD234" s="57">
        <v>8</v>
      </c>
      <c r="AE234" s="56">
        <v>36</v>
      </c>
      <c r="AF234" s="54">
        <v>0</v>
      </c>
      <c r="AG234" s="55">
        <v>0</v>
      </c>
      <c r="AH234" s="55">
        <v>5.6</v>
      </c>
      <c r="AI234" s="57">
        <v>9</v>
      </c>
      <c r="AJ234" s="56">
        <v>38</v>
      </c>
      <c r="AK234" s="54">
        <v>0</v>
      </c>
      <c r="AL234" s="54">
        <v>0</v>
      </c>
      <c r="AM234" s="54">
        <v>6</v>
      </c>
      <c r="AN234" s="57">
        <v>11.5</v>
      </c>
      <c r="AO234" s="53">
        <v>36</v>
      </c>
      <c r="AP234" s="54">
        <v>10</v>
      </c>
      <c r="AQ234" s="54">
        <v>220</v>
      </c>
      <c r="AR234" s="54">
        <v>6</v>
      </c>
      <c r="AS234" s="57">
        <v>17.25</v>
      </c>
      <c r="AT234" s="56">
        <v>30</v>
      </c>
      <c r="AU234" s="57">
        <v>200</v>
      </c>
      <c r="AV234" s="56">
        <v>90.913894653320298</v>
      </c>
      <c r="AW234" s="57">
        <v>306.86631916910409</v>
      </c>
      <c r="AX234" s="8"/>
      <c r="AZ234" s="1">
        <v>90</v>
      </c>
      <c r="BB234" s="82">
        <f t="shared" si="23"/>
        <v>32.487000000000002</v>
      </c>
    </row>
    <row r="235" spans="3:54" ht="15" customHeight="1" x14ac:dyDescent="0.25">
      <c r="C235" s="42"/>
      <c r="D235" s="43">
        <f>D232</f>
        <v>45766</v>
      </c>
      <c r="E235" s="44">
        <f t="shared" si="27"/>
        <v>18.500000000000007</v>
      </c>
      <c r="F235" s="45">
        <f t="shared" si="25"/>
        <v>45766.500000000531</v>
      </c>
      <c r="G235" s="52">
        <v>37</v>
      </c>
      <c r="H235" s="53">
        <v>38</v>
      </c>
      <c r="I235" s="54">
        <v>10</v>
      </c>
      <c r="J235" s="54">
        <v>550</v>
      </c>
      <c r="K235" s="55">
        <v>6.5</v>
      </c>
      <c r="L235" s="56">
        <v>38</v>
      </c>
      <c r="M235" s="54">
        <v>10</v>
      </c>
      <c r="N235" s="54">
        <v>500</v>
      </c>
      <c r="O235" s="57">
        <v>6.9</v>
      </c>
      <c r="P235" s="53">
        <v>37</v>
      </c>
      <c r="Q235" s="54">
        <v>10</v>
      </c>
      <c r="R235" s="55">
        <v>0</v>
      </c>
      <c r="S235" s="55">
        <v>6.1</v>
      </c>
      <c r="T235" s="57">
        <v>11.25</v>
      </c>
      <c r="U235" s="56">
        <v>37</v>
      </c>
      <c r="V235" s="54">
        <v>0</v>
      </c>
      <c r="W235" s="55">
        <v>0</v>
      </c>
      <c r="X235" s="55">
        <v>6.5</v>
      </c>
      <c r="Y235" s="57">
        <v>10.25</v>
      </c>
      <c r="Z235" s="53">
        <v>36</v>
      </c>
      <c r="AA235" s="54">
        <v>0</v>
      </c>
      <c r="AB235" s="55">
        <v>0</v>
      </c>
      <c r="AC235" s="55">
        <v>6.8</v>
      </c>
      <c r="AD235" s="57">
        <v>7.5</v>
      </c>
      <c r="AE235" s="56">
        <v>36</v>
      </c>
      <c r="AF235" s="54">
        <v>0</v>
      </c>
      <c r="AG235" s="55">
        <v>0</v>
      </c>
      <c r="AH235" s="55">
        <v>5.7</v>
      </c>
      <c r="AI235" s="57">
        <v>8.75</v>
      </c>
      <c r="AJ235" s="56">
        <v>37</v>
      </c>
      <c r="AK235" s="54">
        <v>0</v>
      </c>
      <c r="AL235" s="54">
        <v>0</v>
      </c>
      <c r="AM235" s="54">
        <v>6.1</v>
      </c>
      <c r="AN235" s="57">
        <v>12.25</v>
      </c>
      <c r="AO235" s="53">
        <v>36</v>
      </c>
      <c r="AP235" s="54">
        <v>10</v>
      </c>
      <c r="AQ235" s="54">
        <v>220</v>
      </c>
      <c r="AR235" s="54">
        <v>5.9</v>
      </c>
      <c r="AS235" s="57">
        <v>17</v>
      </c>
      <c r="AT235" s="56">
        <v>29</v>
      </c>
      <c r="AU235" s="57">
        <v>200</v>
      </c>
      <c r="AV235" s="56">
        <v>91.007484436035199</v>
      </c>
      <c r="AW235" s="57">
        <v>304.76851920972888</v>
      </c>
      <c r="AX235" s="8"/>
      <c r="AZ235" s="1">
        <v>90</v>
      </c>
      <c r="BB235" s="82">
        <f t="shared" si="23"/>
        <v>29.614000000000001</v>
      </c>
    </row>
    <row r="236" spans="3:54" ht="15" customHeight="1" x14ac:dyDescent="0.25">
      <c r="C236" s="42"/>
      <c r="D236" s="43">
        <f>D232</f>
        <v>45766</v>
      </c>
      <c r="E236" s="44">
        <f t="shared" si="27"/>
        <v>18.583333333333339</v>
      </c>
      <c r="F236" s="45">
        <f t="shared" si="25"/>
        <v>45766.583333333867</v>
      </c>
      <c r="G236" s="52">
        <v>38</v>
      </c>
      <c r="H236" s="53">
        <v>39</v>
      </c>
      <c r="I236" s="54">
        <v>11</v>
      </c>
      <c r="J236" s="54">
        <v>550</v>
      </c>
      <c r="K236" s="55">
        <v>6.8</v>
      </c>
      <c r="L236" s="56">
        <v>39</v>
      </c>
      <c r="M236" s="54">
        <v>11</v>
      </c>
      <c r="N236" s="54">
        <v>550</v>
      </c>
      <c r="O236" s="57">
        <v>7.1</v>
      </c>
      <c r="P236" s="53">
        <v>36</v>
      </c>
      <c r="Q236" s="54">
        <v>11</v>
      </c>
      <c r="R236" s="55">
        <v>0</v>
      </c>
      <c r="S236" s="55">
        <v>6.1</v>
      </c>
      <c r="T236" s="57">
        <v>7.5</v>
      </c>
      <c r="U236" s="56">
        <v>38</v>
      </c>
      <c r="V236" s="54">
        <v>0</v>
      </c>
      <c r="W236" s="55">
        <v>0</v>
      </c>
      <c r="X236" s="55">
        <v>6.2</v>
      </c>
      <c r="Y236" s="57">
        <v>10</v>
      </c>
      <c r="Z236" s="53">
        <v>36</v>
      </c>
      <c r="AA236" s="54">
        <v>0</v>
      </c>
      <c r="AB236" s="55">
        <v>0</v>
      </c>
      <c r="AC236" s="55">
        <v>5.6</v>
      </c>
      <c r="AD236" s="57">
        <v>7.5</v>
      </c>
      <c r="AE236" s="56">
        <v>35</v>
      </c>
      <c r="AF236" s="54">
        <v>0</v>
      </c>
      <c r="AG236" s="55">
        <v>0</v>
      </c>
      <c r="AH236" s="55">
        <v>5.7</v>
      </c>
      <c r="AI236" s="57">
        <v>8.75</v>
      </c>
      <c r="AJ236" s="56">
        <v>35</v>
      </c>
      <c r="AK236" s="54">
        <v>0</v>
      </c>
      <c r="AL236" s="54">
        <v>0</v>
      </c>
      <c r="AM236" s="54">
        <v>6.8</v>
      </c>
      <c r="AN236" s="57">
        <v>12.5</v>
      </c>
      <c r="AO236" s="53">
        <v>36</v>
      </c>
      <c r="AP236" s="54">
        <v>11</v>
      </c>
      <c r="AQ236" s="54">
        <v>220</v>
      </c>
      <c r="AR236" s="54">
        <v>6.8</v>
      </c>
      <c r="AS236" s="57">
        <v>15.25</v>
      </c>
      <c r="AT236" s="56">
        <v>29</v>
      </c>
      <c r="AU236" s="57">
        <v>200</v>
      </c>
      <c r="AV236" s="56">
        <v>91.46728515625</v>
      </c>
      <c r="AW236" s="57">
        <v>292.06886610640214</v>
      </c>
      <c r="AX236" s="8"/>
      <c r="AZ236" s="1">
        <v>90</v>
      </c>
      <c r="BB236" s="82">
        <f t="shared" si="23"/>
        <v>27.183</v>
      </c>
    </row>
    <row r="237" spans="3:54" ht="15" customHeight="1" x14ac:dyDescent="0.25">
      <c r="C237" s="42"/>
      <c r="D237" s="43">
        <f>D232</f>
        <v>45766</v>
      </c>
      <c r="E237" s="44">
        <f t="shared" si="27"/>
        <v>18.666666666666671</v>
      </c>
      <c r="F237" s="45">
        <f t="shared" si="25"/>
        <v>45766.666666667203</v>
      </c>
      <c r="G237" s="52">
        <v>48</v>
      </c>
      <c r="H237" s="53">
        <v>39</v>
      </c>
      <c r="I237" s="54">
        <v>11</v>
      </c>
      <c r="J237" s="54">
        <v>550</v>
      </c>
      <c r="K237" s="55">
        <v>6.5</v>
      </c>
      <c r="L237" s="56">
        <v>39</v>
      </c>
      <c r="M237" s="54">
        <v>11</v>
      </c>
      <c r="N237" s="54">
        <v>550</v>
      </c>
      <c r="O237" s="57">
        <v>7</v>
      </c>
      <c r="P237" s="53">
        <v>36</v>
      </c>
      <c r="Q237" s="54">
        <v>10</v>
      </c>
      <c r="R237" s="55">
        <v>0</v>
      </c>
      <c r="S237" s="55">
        <v>6.3</v>
      </c>
      <c r="T237" s="57">
        <v>5</v>
      </c>
      <c r="U237" s="56">
        <v>37</v>
      </c>
      <c r="V237" s="54">
        <v>0</v>
      </c>
      <c r="W237" s="55">
        <v>0</v>
      </c>
      <c r="X237" s="55">
        <v>6.4</v>
      </c>
      <c r="Y237" s="57">
        <v>10.25</v>
      </c>
      <c r="Z237" s="53">
        <v>36</v>
      </c>
      <c r="AA237" s="54">
        <v>0</v>
      </c>
      <c r="AB237" s="55">
        <v>0</v>
      </c>
      <c r="AC237" s="55">
        <v>5.8</v>
      </c>
      <c r="AD237" s="57">
        <v>7.75</v>
      </c>
      <c r="AE237" s="56">
        <v>35</v>
      </c>
      <c r="AF237" s="54">
        <v>0</v>
      </c>
      <c r="AG237" s="55">
        <v>0</v>
      </c>
      <c r="AH237" s="55">
        <v>5.9</v>
      </c>
      <c r="AI237" s="57">
        <v>8.5</v>
      </c>
      <c r="AJ237" s="56">
        <v>35</v>
      </c>
      <c r="AK237" s="54">
        <v>0</v>
      </c>
      <c r="AL237" s="54">
        <v>0</v>
      </c>
      <c r="AM237" s="54">
        <v>6.7</v>
      </c>
      <c r="AN237" s="57">
        <v>12.5</v>
      </c>
      <c r="AO237" s="53">
        <v>36</v>
      </c>
      <c r="AP237" s="54">
        <v>11</v>
      </c>
      <c r="AQ237" s="54">
        <v>220</v>
      </c>
      <c r="AR237" s="54">
        <v>6.7</v>
      </c>
      <c r="AS237" s="57">
        <v>16.75</v>
      </c>
      <c r="AT237" s="56">
        <v>29</v>
      </c>
      <c r="AU237" s="57">
        <v>200</v>
      </c>
      <c r="AV237" s="56">
        <v>90.9423828125</v>
      </c>
      <c r="AW237" s="57">
        <v>306.90212689541903</v>
      </c>
      <c r="AX237" s="8"/>
      <c r="AZ237" s="1">
        <v>90</v>
      </c>
      <c r="BB237" s="82">
        <f t="shared" si="23"/>
        <v>26.851500000000001</v>
      </c>
    </row>
    <row r="238" spans="3:54" ht="15" customHeight="1" x14ac:dyDescent="0.25">
      <c r="C238" s="42"/>
      <c r="D238" s="43">
        <f>D232</f>
        <v>45766</v>
      </c>
      <c r="E238" s="44">
        <f t="shared" si="27"/>
        <v>18.750000000000004</v>
      </c>
      <c r="F238" s="45">
        <f t="shared" si="25"/>
        <v>45766.750000000538</v>
      </c>
      <c r="G238" s="52">
        <v>45</v>
      </c>
      <c r="H238" s="53">
        <v>39</v>
      </c>
      <c r="I238" s="54">
        <v>10</v>
      </c>
      <c r="J238" s="54">
        <v>350</v>
      </c>
      <c r="K238" s="55">
        <v>6.9</v>
      </c>
      <c r="L238" s="56">
        <v>38</v>
      </c>
      <c r="M238" s="54">
        <v>10</v>
      </c>
      <c r="N238" s="54">
        <v>450</v>
      </c>
      <c r="O238" s="57">
        <v>0</v>
      </c>
      <c r="P238" s="53">
        <v>36</v>
      </c>
      <c r="Q238" s="54">
        <v>0</v>
      </c>
      <c r="R238" s="55">
        <v>0</v>
      </c>
      <c r="S238" s="55">
        <v>7</v>
      </c>
      <c r="T238" s="57">
        <v>8.75</v>
      </c>
      <c r="U238" s="56">
        <v>36</v>
      </c>
      <c r="V238" s="54">
        <v>0</v>
      </c>
      <c r="W238" s="55">
        <v>0</v>
      </c>
      <c r="X238" s="55">
        <v>7.1</v>
      </c>
      <c r="Y238" s="57">
        <v>6.25</v>
      </c>
      <c r="Z238" s="53">
        <v>35</v>
      </c>
      <c r="AA238" s="54">
        <v>0</v>
      </c>
      <c r="AB238" s="55">
        <v>0</v>
      </c>
      <c r="AC238" s="55">
        <v>6.6</v>
      </c>
      <c r="AD238" s="57">
        <v>7</v>
      </c>
      <c r="AE238" s="56">
        <v>35</v>
      </c>
      <c r="AF238" s="54">
        <v>0</v>
      </c>
      <c r="AG238" s="55">
        <v>0</v>
      </c>
      <c r="AH238" s="55">
        <v>7.5</v>
      </c>
      <c r="AI238" s="57">
        <v>8.75</v>
      </c>
      <c r="AJ238" s="56">
        <v>34</v>
      </c>
      <c r="AK238" s="54">
        <v>0</v>
      </c>
      <c r="AL238" s="54">
        <v>0</v>
      </c>
      <c r="AM238" s="54">
        <v>7</v>
      </c>
      <c r="AN238" s="57">
        <v>13.75</v>
      </c>
      <c r="AO238" s="53">
        <v>34</v>
      </c>
      <c r="AP238" s="54">
        <v>10</v>
      </c>
      <c r="AQ238" s="54">
        <v>200</v>
      </c>
      <c r="AR238" s="54">
        <v>6.8</v>
      </c>
      <c r="AS238" s="57">
        <v>17.5</v>
      </c>
      <c r="AT238" s="56">
        <v>27</v>
      </c>
      <c r="AU238" s="57">
        <v>160</v>
      </c>
      <c r="AV238" s="56">
        <v>92.28515625</v>
      </c>
      <c r="AW238" s="57">
        <v>314.42539548113319</v>
      </c>
      <c r="AX238" s="8"/>
      <c r="AZ238" s="1">
        <v>90</v>
      </c>
      <c r="BB238" s="82">
        <f t="shared" si="23"/>
        <v>27.404</v>
      </c>
    </row>
    <row r="239" spans="3:54" ht="15" customHeight="1" x14ac:dyDescent="0.25">
      <c r="C239" s="42"/>
      <c r="D239" s="43">
        <f>D232</f>
        <v>45766</v>
      </c>
      <c r="E239" s="44">
        <f t="shared" si="27"/>
        <v>18.833333333333336</v>
      </c>
      <c r="F239" s="45">
        <f t="shared" si="25"/>
        <v>45766.833333333874</v>
      </c>
      <c r="G239" s="52">
        <v>43</v>
      </c>
      <c r="H239" s="53">
        <v>39</v>
      </c>
      <c r="I239" s="54">
        <v>10</v>
      </c>
      <c r="J239" s="54">
        <v>450</v>
      </c>
      <c r="K239" s="55">
        <v>7.1</v>
      </c>
      <c r="L239" s="56">
        <v>39</v>
      </c>
      <c r="M239" s="54">
        <v>10</v>
      </c>
      <c r="N239" s="54">
        <v>450</v>
      </c>
      <c r="O239" s="57">
        <v>0</v>
      </c>
      <c r="P239" s="53">
        <v>36</v>
      </c>
      <c r="Q239" s="54">
        <v>0</v>
      </c>
      <c r="R239" s="55">
        <v>0</v>
      </c>
      <c r="S239" s="55">
        <v>7.1</v>
      </c>
      <c r="T239" s="57">
        <v>11.25</v>
      </c>
      <c r="U239" s="56">
        <v>36</v>
      </c>
      <c r="V239" s="54">
        <v>0</v>
      </c>
      <c r="W239" s="55">
        <v>0</v>
      </c>
      <c r="X239" s="55">
        <v>7</v>
      </c>
      <c r="Y239" s="57">
        <v>7.5</v>
      </c>
      <c r="Z239" s="53">
        <v>36</v>
      </c>
      <c r="AA239" s="54">
        <v>0</v>
      </c>
      <c r="AB239" s="55">
        <v>0</v>
      </c>
      <c r="AC239" s="55">
        <v>6.8</v>
      </c>
      <c r="AD239" s="57">
        <v>3.75</v>
      </c>
      <c r="AE239" s="56">
        <v>35</v>
      </c>
      <c r="AF239" s="54">
        <v>0</v>
      </c>
      <c r="AG239" s="55">
        <v>0</v>
      </c>
      <c r="AH239" s="55">
        <v>7.1</v>
      </c>
      <c r="AI239" s="57">
        <v>13.75</v>
      </c>
      <c r="AJ239" s="56">
        <v>34</v>
      </c>
      <c r="AK239" s="54">
        <v>0</v>
      </c>
      <c r="AL239" s="54">
        <v>0</v>
      </c>
      <c r="AM239" s="54">
        <v>7.1</v>
      </c>
      <c r="AN239" s="57">
        <v>10</v>
      </c>
      <c r="AO239" s="53">
        <v>34</v>
      </c>
      <c r="AP239" s="54">
        <v>10</v>
      </c>
      <c r="AQ239" s="54">
        <v>200</v>
      </c>
      <c r="AR239" s="54">
        <v>7.3</v>
      </c>
      <c r="AS239" s="57">
        <v>18</v>
      </c>
      <c r="AT239" s="56">
        <v>29</v>
      </c>
      <c r="AU239" s="57">
        <v>160</v>
      </c>
      <c r="AV239" s="56">
        <v>92.533363342285199</v>
      </c>
      <c r="AW239" s="57">
        <v>316.96035824393232</v>
      </c>
      <c r="AX239" s="8"/>
      <c r="AZ239" s="1">
        <v>90</v>
      </c>
      <c r="BB239" s="82">
        <f t="shared" si="23"/>
        <v>28.398499999999999</v>
      </c>
    </row>
    <row r="240" spans="3:54" ht="15" customHeight="1" x14ac:dyDescent="0.25">
      <c r="C240" s="42"/>
      <c r="D240" s="43">
        <f>D232</f>
        <v>45766</v>
      </c>
      <c r="E240" s="44">
        <f t="shared" si="27"/>
        <v>18.916666666666668</v>
      </c>
      <c r="F240" s="45">
        <f t="shared" si="25"/>
        <v>45766.91666666721</v>
      </c>
      <c r="G240" s="52">
        <v>41</v>
      </c>
      <c r="H240" s="53">
        <v>39</v>
      </c>
      <c r="I240" s="54">
        <v>10</v>
      </c>
      <c r="J240" s="54">
        <v>500</v>
      </c>
      <c r="K240" s="55">
        <v>7.3</v>
      </c>
      <c r="L240" s="56">
        <v>38</v>
      </c>
      <c r="M240" s="54">
        <v>10</v>
      </c>
      <c r="N240" s="54">
        <v>500</v>
      </c>
      <c r="O240" s="57">
        <v>0</v>
      </c>
      <c r="P240" s="53">
        <v>34</v>
      </c>
      <c r="Q240" s="54">
        <v>0</v>
      </c>
      <c r="R240" s="55">
        <v>0</v>
      </c>
      <c r="S240" s="55">
        <v>7.1</v>
      </c>
      <c r="T240" s="57">
        <v>15</v>
      </c>
      <c r="U240" s="56">
        <v>36</v>
      </c>
      <c r="V240" s="54">
        <v>0</v>
      </c>
      <c r="W240" s="55">
        <v>0</v>
      </c>
      <c r="X240" s="55">
        <v>6.8</v>
      </c>
      <c r="Y240" s="57">
        <v>5</v>
      </c>
      <c r="Z240" s="53">
        <v>35</v>
      </c>
      <c r="AA240" s="54">
        <v>0</v>
      </c>
      <c r="AB240" s="55">
        <v>0</v>
      </c>
      <c r="AC240" s="55">
        <v>6.9</v>
      </c>
      <c r="AD240" s="57">
        <v>11.75</v>
      </c>
      <c r="AE240" s="56">
        <v>34</v>
      </c>
      <c r="AF240" s="54">
        <v>0</v>
      </c>
      <c r="AG240" s="55">
        <v>0</v>
      </c>
      <c r="AH240" s="55">
        <v>6.5</v>
      </c>
      <c r="AI240" s="57">
        <v>7.5</v>
      </c>
      <c r="AJ240" s="56">
        <v>33</v>
      </c>
      <c r="AK240" s="54">
        <v>0</v>
      </c>
      <c r="AL240" s="54">
        <v>0</v>
      </c>
      <c r="AM240" s="54">
        <v>7.4</v>
      </c>
      <c r="AN240" s="57">
        <v>8.75</v>
      </c>
      <c r="AO240" s="53">
        <v>33</v>
      </c>
      <c r="AP240" s="54">
        <v>10</v>
      </c>
      <c r="AQ240" s="54">
        <v>190</v>
      </c>
      <c r="AR240" s="54">
        <v>7</v>
      </c>
      <c r="AS240" s="57">
        <v>17.5</v>
      </c>
      <c r="AT240" s="56">
        <v>27</v>
      </c>
      <c r="AU240" s="57">
        <v>150</v>
      </c>
      <c r="AV240" s="56">
        <v>92.83447265625</v>
      </c>
      <c r="AW240" s="57">
        <v>317.84336450764289</v>
      </c>
      <c r="AX240" s="8"/>
      <c r="AZ240" s="1">
        <v>90</v>
      </c>
      <c r="BB240" s="82">
        <f t="shared" si="23"/>
        <v>28.951000000000001</v>
      </c>
    </row>
    <row r="241" spans="3:54" ht="15" customHeight="1" x14ac:dyDescent="0.25">
      <c r="C241" s="42"/>
      <c r="D241" s="43">
        <f>D232</f>
        <v>45766</v>
      </c>
      <c r="E241" s="44">
        <f t="shared" si="27"/>
        <v>19</v>
      </c>
      <c r="F241" s="45">
        <f t="shared" si="25"/>
        <v>45767.000000000546</v>
      </c>
      <c r="G241" s="52">
        <v>45</v>
      </c>
      <c r="H241" s="53">
        <v>40</v>
      </c>
      <c r="I241" s="54">
        <v>10</v>
      </c>
      <c r="J241" s="54">
        <v>500</v>
      </c>
      <c r="K241" s="55">
        <v>7.1</v>
      </c>
      <c r="L241" s="56">
        <v>39</v>
      </c>
      <c r="M241" s="54">
        <v>10</v>
      </c>
      <c r="N241" s="54">
        <v>500</v>
      </c>
      <c r="O241" s="57">
        <v>0</v>
      </c>
      <c r="P241" s="53">
        <v>35</v>
      </c>
      <c r="Q241" s="54">
        <v>0</v>
      </c>
      <c r="R241" s="55">
        <v>0</v>
      </c>
      <c r="S241" s="55">
        <v>6.9</v>
      </c>
      <c r="T241" s="57">
        <v>15.25</v>
      </c>
      <c r="U241" s="56">
        <v>36</v>
      </c>
      <c r="V241" s="54">
        <v>0</v>
      </c>
      <c r="W241" s="55">
        <v>0</v>
      </c>
      <c r="X241" s="55">
        <v>6.5</v>
      </c>
      <c r="Y241" s="57">
        <v>8.25</v>
      </c>
      <c r="Z241" s="53">
        <v>36</v>
      </c>
      <c r="AA241" s="54">
        <v>0</v>
      </c>
      <c r="AB241" s="55">
        <v>0</v>
      </c>
      <c r="AC241" s="55">
        <v>6.8</v>
      </c>
      <c r="AD241" s="57">
        <v>8.75</v>
      </c>
      <c r="AE241" s="56">
        <v>34</v>
      </c>
      <c r="AF241" s="54">
        <v>0</v>
      </c>
      <c r="AG241" s="55">
        <v>0</v>
      </c>
      <c r="AH241" s="55">
        <v>6.3</v>
      </c>
      <c r="AI241" s="57">
        <v>7.5</v>
      </c>
      <c r="AJ241" s="56">
        <v>34</v>
      </c>
      <c r="AK241" s="54">
        <v>0</v>
      </c>
      <c r="AL241" s="54">
        <v>0</v>
      </c>
      <c r="AM241" s="54">
        <v>7.4</v>
      </c>
      <c r="AN241" s="57">
        <v>10</v>
      </c>
      <c r="AO241" s="53">
        <v>33</v>
      </c>
      <c r="AP241" s="54">
        <v>10</v>
      </c>
      <c r="AQ241" s="54">
        <v>200</v>
      </c>
      <c r="AR241" s="54">
        <v>7.1</v>
      </c>
      <c r="AS241" s="57">
        <v>17.25</v>
      </c>
      <c r="AT241" s="56">
        <v>28</v>
      </c>
      <c r="AU241" s="57">
        <v>150</v>
      </c>
      <c r="AV241" s="56">
        <v>92.814125061035199</v>
      </c>
      <c r="AW241" s="57">
        <v>317.97417505641158</v>
      </c>
      <c r="AX241" s="8"/>
      <c r="AZ241" s="1">
        <v>90</v>
      </c>
      <c r="BB241" s="82">
        <f t="shared" si="23"/>
        <v>29.614000000000001</v>
      </c>
    </row>
    <row r="242" spans="3:54" ht="15" customHeight="1" x14ac:dyDescent="0.25">
      <c r="C242" s="42"/>
      <c r="D242" s="43">
        <f>D232</f>
        <v>45766</v>
      </c>
      <c r="E242" s="44">
        <f t="shared" si="27"/>
        <v>19.083333333333332</v>
      </c>
      <c r="F242" s="45">
        <f t="shared" si="25"/>
        <v>45767.083333333881</v>
      </c>
      <c r="G242" s="52">
        <v>43</v>
      </c>
      <c r="H242" s="53">
        <v>40</v>
      </c>
      <c r="I242" s="54">
        <v>10</v>
      </c>
      <c r="J242" s="54">
        <v>500</v>
      </c>
      <c r="K242" s="55">
        <v>7.2</v>
      </c>
      <c r="L242" s="56">
        <v>40</v>
      </c>
      <c r="M242" s="54">
        <v>10</v>
      </c>
      <c r="N242" s="54">
        <v>500</v>
      </c>
      <c r="O242" s="57">
        <v>0</v>
      </c>
      <c r="P242" s="53">
        <v>36</v>
      </c>
      <c r="Q242" s="54">
        <v>0</v>
      </c>
      <c r="R242" s="55">
        <v>0</v>
      </c>
      <c r="S242" s="55">
        <v>6.8</v>
      </c>
      <c r="T242" s="57">
        <v>16.25</v>
      </c>
      <c r="U242" s="56">
        <v>36</v>
      </c>
      <c r="V242" s="54">
        <v>0</v>
      </c>
      <c r="W242" s="55">
        <v>0</v>
      </c>
      <c r="X242" s="55">
        <v>6.3</v>
      </c>
      <c r="Y242" s="57">
        <v>11.25</v>
      </c>
      <c r="Z242" s="53">
        <v>36</v>
      </c>
      <c r="AA242" s="54">
        <v>0</v>
      </c>
      <c r="AB242" s="55">
        <v>0</v>
      </c>
      <c r="AC242" s="55">
        <v>6.9</v>
      </c>
      <c r="AD242" s="57">
        <v>8.75</v>
      </c>
      <c r="AE242" s="56">
        <v>35</v>
      </c>
      <c r="AF242" s="54">
        <v>0</v>
      </c>
      <c r="AG242" s="55">
        <v>0</v>
      </c>
      <c r="AH242" s="55">
        <v>6.4</v>
      </c>
      <c r="AI242" s="57">
        <v>8</v>
      </c>
      <c r="AJ242" s="56">
        <v>35</v>
      </c>
      <c r="AK242" s="54">
        <v>0</v>
      </c>
      <c r="AL242" s="54">
        <v>0</v>
      </c>
      <c r="AM242" s="54">
        <v>7.6</v>
      </c>
      <c r="AN242" s="57">
        <v>11.25</v>
      </c>
      <c r="AO242" s="53">
        <v>34</v>
      </c>
      <c r="AP242" s="54">
        <v>10</v>
      </c>
      <c r="AQ242" s="54">
        <v>210</v>
      </c>
      <c r="AR242" s="54">
        <v>7.1</v>
      </c>
      <c r="AS242" s="57">
        <v>16.75</v>
      </c>
      <c r="AT242" s="56">
        <v>29</v>
      </c>
      <c r="AU242" s="57">
        <v>150</v>
      </c>
      <c r="AV242" s="56">
        <v>92.606605529785199</v>
      </c>
      <c r="AW242" s="57">
        <v>317.8221445719401</v>
      </c>
      <c r="AX242" s="8"/>
      <c r="AZ242" s="1">
        <v>90</v>
      </c>
      <c r="BB242" s="82">
        <f t="shared" si="23"/>
        <v>31.9345</v>
      </c>
    </row>
    <row r="243" spans="3:54" ht="15" customHeight="1" x14ac:dyDescent="0.25">
      <c r="C243" s="42"/>
      <c r="D243" s="69">
        <f>D232</f>
        <v>45766</v>
      </c>
      <c r="E243" s="70">
        <f t="shared" si="27"/>
        <v>19.166666666666664</v>
      </c>
      <c r="F243" s="71">
        <f t="shared" si="25"/>
        <v>45767.166666667217</v>
      </c>
      <c r="G243" s="60">
        <v>44</v>
      </c>
      <c r="H243" s="61">
        <v>40</v>
      </c>
      <c r="I243" s="62">
        <v>10</v>
      </c>
      <c r="J243" s="62">
        <v>500</v>
      </c>
      <c r="K243" s="63">
        <v>7.2</v>
      </c>
      <c r="L243" s="64">
        <v>40</v>
      </c>
      <c r="M243" s="62">
        <v>10</v>
      </c>
      <c r="N243" s="62">
        <v>500</v>
      </c>
      <c r="O243" s="65">
        <v>0</v>
      </c>
      <c r="P243" s="61">
        <v>37</v>
      </c>
      <c r="Q243" s="62">
        <v>0</v>
      </c>
      <c r="R243" s="63">
        <v>0</v>
      </c>
      <c r="S243" s="63">
        <v>6.9</v>
      </c>
      <c r="T243" s="65">
        <v>18.75</v>
      </c>
      <c r="U243" s="64">
        <v>37</v>
      </c>
      <c r="V243" s="62">
        <v>0</v>
      </c>
      <c r="W243" s="63">
        <v>0</v>
      </c>
      <c r="X243" s="63">
        <v>7</v>
      </c>
      <c r="Y243" s="65">
        <v>8.75</v>
      </c>
      <c r="Z243" s="61">
        <v>36</v>
      </c>
      <c r="AA243" s="62">
        <v>0</v>
      </c>
      <c r="AB243" s="63">
        <v>0</v>
      </c>
      <c r="AC243" s="63">
        <v>7.1</v>
      </c>
      <c r="AD243" s="65">
        <v>6.25</v>
      </c>
      <c r="AE243" s="64">
        <v>35</v>
      </c>
      <c r="AF243" s="62">
        <v>0</v>
      </c>
      <c r="AG243" s="63">
        <v>0</v>
      </c>
      <c r="AH243" s="63">
        <v>6.7</v>
      </c>
      <c r="AI243" s="65">
        <v>7.5</v>
      </c>
      <c r="AJ243" s="64">
        <v>35</v>
      </c>
      <c r="AK243" s="62">
        <v>0</v>
      </c>
      <c r="AL243" s="62">
        <v>0</v>
      </c>
      <c r="AM243" s="62">
        <v>6.9</v>
      </c>
      <c r="AN243" s="65">
        <v>10</v>
      </c>
      <c r="AO243" s="61">
        <v>33</v>
      </c>
      <c r="AP243" s="62">
        <v>10</v>
      </c>
      <c r="AQ243" s="62">
        <v>190</v>
      </c>
      <c r="AR243" s="62">
        <v>6.9</v>
      </c>
      <c r="AS243" s="65">
        <v>15</v>
      </c>
      <c r="AT243" s="64">
        <v>30</v>
      </c>
      <c r="AU243" s="65">
        <v>140</v>
      </c>
      <c r="AV243" s="64">
        <v>92.769363403320298</v>
      </c>
      <c r="AW243" s="65">
        <v>319.34739119336007</v>
      </c>
      <c r="AX243" s="8"/>
      <c r="AZ243" s="1">
        <v>90</v>
      </c>
      <c r="BB243" s="82">
        <f t="shared" si="23"/>
        <v>29.282499999999999</v>
      </c>
    </row>
    <row r="244" spans="3:54" ht="15" customHeight="1" x14ac:dyDescent="0.25">
      <c r="C244" s="42">
        <f>C232+1</f>
        <v>20</v>
      </c>
      <c r="D244" s="66">
        <f>DATE([4]Dash!$F$3,VLOOKUP([4]Dash!$E$3,[4]Abb!$C$3:$D$14,2,FALSE),C244)</f>
        <v>45767</v>
      </c>
      <c r="E244" s="67">
        <f>E243+2/24</f>
        <v>19.249999999999996</v>
      </c>
      <c r="F244" s="68">
        <f t="shared" si="25"/>
        <v>45767.250000000553</v>
      </c>
      <c r="G244" s="46">
        <v>44</v>
      </c>
      <c r="H244" s="47">
        <v>37</v>
      </c>
      <c r="I244" s="48">
        <v>11</v>
      </c>
      <c r="J244" s="48">
        <v>500</v>
      </c>
      <c r="K244" s="49">
        <v>6.4</v>
      </c>
      <c r="L244" s="50">
        <v>36</v>
      </c>
      <c r="M244" s="48">
        <v>11</v>
      </c>
      <c r="N244" s="48">
        <v>550</v>
      </c>
      <c r="O244" s="51">
        <v>6.3</v>
      </c>
      <c r="P244" s="47">
        <v>36</v>
      </c>
      <c r="Q244" s="48">
        <v>11</v>
      </c>
      <c r="R244" s="49">
        <v>0</v>
      </c>
      <c r="S244" s="49">
        <v>5.8</v>
      </c>
      <c r="T244" s="51">
        <v>15.25</v>
      </c>
      <c r="U244" s="50">
        <v>35</v>
      </c>
      <c r="V244" s="48">
        <v>11</v>
      </c>
      <c r="W244" s="49">
        <v>0</v>
      </c>
      <c r="X244" s="49">
        <v>5.8</v>
      </c>
      <c r="Y244" s="51">
        <v>11.5</v>
      </c>
      <c r="Z244" s="47">
        <v>35</v>
      </c>
      <c r="AA244" s="48">
        <v>11</v>
      </c>
      <c r="AB244" s="49">
        <v>0</v>
      </c>
      <c r="AC244" s="49">
        <v>5.8</v>
      </c>
      <c r="AD244" s="51">
        <v>8.75</v>
      </c>
      <c r="AE244" s="50">
        <v>35</v>
      </c>
      <c r="AF244" s="48">
        <v>11</v>
      </c>
      <c r="AG244" s="49">
        <v>0</v>
      </c>
      <c r="AH244" s="49">
        <v>5.9</v>
      </c>
      <c r="AI244" s="51">
        <v>8.25</v>
      </c>
      <c r="AJ244" s="50">
        <v>34</v>
      </c>
      <c r="AK244" s="48">
        <v>11</v>
      </c>
      <c r="AL244" s="48">
        <v>0</v>
      </c>
      <c r="AM244" s="48">
        <v>5.9</v>
      </c>
      <c r="AN244" s="51">
        <v>13.25</v>
      </c>
      <c r="AO244" s="47">
        <v>36</v>
      </c>
      <c r="AP244" s="48">
        <v>11</v>
      </c>
      <c r="AQ244" s="48">
        <v>190</v>
      </c>
      <c r="AR244" s="48">
        <v>5.8</v>
      </c>
      <c r="AS244" s="51">
        <v>18.5</v>
      </c>
      <c r="AT244" s="50">
        <v>30</v>
      </c>
      <c r="AU244" s="51">
        <v>150</v>
      </c>
      <c r="AV244" s="50">
        <v>94.230140686035199</v>
      </c>
      <c r="AW244" s="51">
        <v>333.90600916544594</v>
      </c>
      <c r="AX244" s="8"/>
      <c r="AZ244" s="1">
        <v>90</v>
      </c>
      <c r="BB244" s="82">
        <f t="shared" si="23"/>
        <v>33.371000000000002</v>
      </c>
    </row>
    <row r="245" spans="3:54" ht="15" customHeight="1" x14ac:dyDescent="0.25">
      <c r="C245" s="42"/>
      <c r="D245" s="43">
        <f>D244</f>
        <v>45767</v>
      </c>
      <c r="E245" s="44">
        <f>E244+2/24</f>
        <v>19.333333333333329</v>
      </c>
      <c r="F245" s="45">
        <f t="shared" si="25"/>
        <v>45767.333333333889</v>
      </c>
      <c r="G245" s="52">
        <v>42</v>
      </c>
      <c r="H245" s="53">
        <v>40</v>
      </c>
      <c r="I245" s="54">
        <v>11</v>
      </c>
      <c r="J245" s="54">
        <v>650</v>
      </c>
      <c r="K245" s="55">
        <v>6.4</v>
      </c>
      <c r="L245" s="56">
        <v>33.9</v>
      </c>
      <c r="M245" s="54">
        <v>11</v>
      </c>
      <c r="N245" s="54">
        <v>550</v>
      </c>
      <c r="O245" s="57">
        <v>6.1</v>
      </c>
      <c r="P245" s="53">
        <v>38</v>
      </c>
      <c r="Q245" s="54">
        <v>11</v>
      </c>
      <c r="R245" s="55">
        <v>0</v>
      </c>
      <c r="S245" s="55">
        <v>6.1</v>
      </c>
      <c r="T245" s="57">
        <v>17.5</v>
      </c>
      <c r="U245" s="56">
        <v>36</v>
      </c>
      <c r="V245" s="54">
        <v>0</v>
      </c>
      <c r="W245" s="55">
        <v>0</v>
      </c>
      <c r="X245" s="55">
        <v>5.9</v>
      </c>
      <c r="Y245" s="57">
        <v>10</v>
      </c>
      <c r="Z245" s="53">
        <v>35</v>
      </c>
      <c r="AA245" s="54">
        <v>0</v>
      </c>
      <c r="AB245" s="55">
        <v>0</v>
      </c>
      <c r="AC245" s="55">
        <v>5.8</v>
      </c>
      <c r="AD245" s="57">
        <v>5.75</v>
      </c>
      <c r="AE245" s="56">
        <v>36</v>
      </c>
      <c r="AF245" s="54">
        <v>0</v>
      </c>
      <c r="AG245" s="55">
        <v>0</v>
      </c>
      <c r="AH245" s="55">
        <v>5.8</v>
      </c>
      <c r="AI245" s="57">
        <v>8.75</v>
      </c>
      <c r="AJ245" s="56">
        <v>35</v>
      </c>
      <c r="AK245" s="54">
        <v>0</v>
      </c>
      <c r="AL245" s="54">
        <v>0</v>
      </c>
      <c r="AM245" s="54">
        <v>7.2</v>
      </c>
      <c r="AN245" s="57">
        <v>11.25</v>
      </c>
      <c r="AO245" s="53">
        <v>35</v>
      </c>
      <c r="AP245" s="54">
        <v>11</v>
      </c>
      <c r="AQ245" s="54">
        <v>180</v>
      </c>
      <c r="AR245" s="54">
        <v>7.4</v>
      </c>
      <c r="AS245" s="57">
        <v>13.75</v>
      </c>
      <c r="AT245" s="56">
        <v>29</v>
      </c>
      <c r="AU245" s="57">
        <v>130</v>
      </c>
      <c r="AV245" s="56">
        <v>94.29931640625</v>
      </c>
      <c r="AW245" s="57">
        <v>335.50166346232095</v>
      </c>
      <c r="AX245" s="8"/>
      <c r="AZ245" s="1">
        <v>90</v>
      </c>
      <c r="BB245" s="82">
        <f t="shared" si="23"/>
        <v>29.614000000000001</v>
      </c>
    </row>
    <row r="246" spans="3:54" ht="15" customHeight="1" x14ac:dyDescent="0.25">
      <c r="C246" s="42"/>
      <c r="D246" s="43">
        <f>D244</f>
        <v>45767</v>
      </c>
      <c r="E246" s="44">
        <f t="shared" ref="E246:E255" si="28">E245+2/24</f>
        <v>19.416666666666661</v>
      </c>
      <c r="F246" s="45">
        <f t="shared" si="25"/>
        <v>45767.416666667224</v>
      </c>
      <c r="G246" s="52">
        <v>40</v>
      </c>
      <c r="H246" s="53">
        <v>38</v>
      </c>
      <c r="I246" s="54">
        <v>11</v>
      </c>
      <c r="J246" s="54">
        <v>650</v>
      </c>
      <c r="K246" s="55">
        <v>6.7</v>
      </c>
      <c r="L246" s="56">
        <v>38</v>
      </c>
      <c r="M246" s="54">
        <v>10</v>
      </c>
      <c r="N246" s="54">
        <v>550</v>
      </c>
      <c r="O246" s="57">
        <v>6</v>
      </c>
      <c r="P246" s="53">
        <v>37</v>
      </c>
      <c r="Q246" s="54">
        <v>10</v>
      </c>
      <c r="R246" s="55">
        <v>0</v>
      </c>
      <c r="S246" s="55">
        <v>6.3</v>
      </c>
      <c r="T246" s="57">
        <v>17.5</v>
      </c>
      <c r="U246" s="56">
        <v>37</v>
      </c>
      <c r="V246" s="54">
        <v>0</v>
      </c>
      <c r="W246" s="55">
        <v>0</v>
      </c>
      <c r="X246" s="55">
        <v>5.7</v>
      </c>
      <c r="Y246" s="57">
        <v>12</v>
      </c>
      <c r="Z246" s="53">
        <v>36</v>
      </c>
      <c r="AA246" s="54">
        <v>0</v>
      </c>
      <c r="AB246" s="55">
        <v>0</v>
      </c>
      <c r="AC246" s="55">
        <v>5.9</v>
      </c>
      <c r="AD246" s="57">
        <v>6.25</v>
      </c>
      <c r="AE246" s="56">
        <v>36</v>
      </c>
      <c r="AF246" s="54">
        <v>0</v>
      </c>
      <c r="AG246" s="55">
        <v>0</v>
      </c>
      <c r="AH246" s="55">
        <v>5.8</v>
      </c>
      <c r="AI246" s="57">
        <v>5</v>
      </c>
      <c r="AJ246" s="56">
        <v>35</v>
      </c>
      <c r="AK246" s="54">
        <v>0</v>
      </c>
      <c r="AL246" s="54">
        <v>0</v>
      </c>
      <c r="AM246" s="54">
        <v>7</v>
      </c>
      <c r="AN246" s="57">
        <v>11.25</v>
      </c>
      <c r="AO246" s="53">
        <v>3</v>
      </c>
      <c r="AP246" s="54">
        <v>10</v>
      </c>
      <c r="AQ246" s="54">
        <v>180</v>
      </c>
      <c r="AR246" s="54">
        <v>7.5</v>
      </c>
      <c r="AS246" s="57">
        <v>21.25</v>
      </c>
      <c r="AT246" s="56">
        <v>29</v>
      </c>
      <c r="AU246" s="57">
        <v>150</v>
      </c>
      <c r="AV246" s="56">
        <v>94.331863403320298</v>
      </c>
      <c r="AW246" s="57">
        <v>335.4970831553141</v>
      </c>
      <c r="AX246" s="8"/>
      <c r="AZ246" s="1">
        <v>90</v>
      </c>
      <c r="BB246" s="82">
        <f t="shared" si="23"/>
        <v>32.3765</v>
      </c>
    </row>
    <row r="247" spans="3:54" ht="15" customHeight="1" x14ac:dyDescent="0.25">
      <c r="C247" s="42"/>
      <c r="D247" s="43">
        <f>D244</f>
        <v>45767</v>
      </c>
      <c r="E247" s="44">
        <f t="shared" si="28"/>
        <v>19.499999999999993</v>
      </c>
      <c r="F247" s="45">
        <f t="shared" si="25"/>
        <v>45767.50000000056</v>
      </c>
      <c r="G247" s="52">
        <v>45</v>
      </c>
      <c r="H247" s="53">
        <v>40</v>
      </c>
      <c r="I247" s="54">
        <v>11</v>
      </c>
      <c r="J247" s="54">
        <v>600</v>
      </c>
      <c r="K247" s="55">
        <v>6.6</v>
      </c>
      <c r="L247" s="56">
        <v>40</v>
      </c>
      <c r="M247" s="54">
        <v>10</v>
      </c>
      <c r="N247" s="54">
        <v>600</v>
      </c>
      <c r="O247" s="57">
        <v>6.2</v>
      </c>
      <c r="P247" s="53">
        <v>37</v>
      </c>
      <c r="Q247" s="54">
        <v>10</v>
      </c>
      <c r="R247" s="55">
        <v>0</v>
      </c>
      <c r="S247" s="55">
        <v>6.2</v>
      </c>
      <c r="T247" s="57">
        <v>16.25</v>
      </c>
      <c r="U247" s="56">
        <v>37</v>
      </c>
      <c r="V247" s="54">
        <v>0</v>
      </c>
      <c r="W247" s="55">
        <v>0</v>
      </c>
      <c r="X247" s="55">
        <v>5.5</v>
      </c>
      <c r="Y247" s="57">
        <v>12.5</v>
      </c>
      <c r="Z247" s="53">
        <v>36</v>
      </c>
      <c r="AA247" s="54">
        <v>0</v>
      </c>
      <c r="AB247" s="55">
        <v>0</v>
      </c>
      <c r="AC247" s="55">
        <v>5.7</v>
      </c>
      <c r="AD247" s="57">
        <v>7.5</v>
      </c>
      <c r="AE247" s="56">
        <v>37</v>
      </c>
      <c r="AF247" s="54">
        <v>0</v>
      </c>
      <c r="AG247" s="55">
        <v>0</v>
      </c>
      <c r="AH247" s="55">
        <v>5.9</v>
      </c>
      <c r="AI247" s="57">
        <v>4</v>
      </c>
      <c r="AJ247" s="56">
        <v>36</v>
      </c>
      <c r="AK247" s="54">
        <v>0</v>
      </c>
      <c r="AL247" s="54">
        <v>0</v>
      </c>
      <c r="AM247" s="54">
        <v>6.9</v>
      </c>
      <c r="AN247" s="57">
        <v>15.5</v>
      </c>
      <c r="AO247" s="53">
        <v>34</v>
      </c>
      <c r="AP247" s="54">
        <v>10</v>
      </c>
      <c r="AQ247" s="54">
        <v>190</v>
      </c>
      <c r="AR247" s="54">
        <v>7.1</v>
      </c>
      <c r="AS247" s="57">
        <v>18.75</v>
      </c>
      <c r="AT247" s="56">
        <v>30</v>
      </c>
      <c r="AU247" s="57">
        <v>150</v>
      </c>
      <c r="AV247" s="56">
        <v>94.319656372070298</v>
      </c>
      <c r="AW247" s="57">
        <v>335.88662312825522</v>
      </c>
      <c r="AX247" s="8"/>
      <c r="AZ247" s="1">
        <v>90</v>
      </c>
      <c r="BB247" s="82">
        <f t="shared" si="23"/>
        <v>32.929000000000002</v>
      </c>
    </row>
    <row r="248" spans="3:54" ht="15" customHeight="1" x14ac:dyDescent="0.25">
      <c r="C248" s="42"/>
      <c r="D248" s="43">
        <f>D244</f>
        <v>45767</v>
      </c>
      <c r="E248" s="44">
        <f t="shared" si="28"/>
        <v>19.583333333333325</v>
      </c>
      <c r="F248" s="45">
        <f t="shared" si="25"/>
        <v>45767.583333333896</v>
      </c>
      <c r="G248" s="52">
        <v>44</v>
      </c>
      <c r="H248" s="53">
        <v>43</v>
      </c>
      <c r="I248" s="54">
        <v>11</v>
      </c>
      <c r="J248" s="54">
        <v>550</v>
      </c>
      <c r="K248" s="55">
        <v>6.4</v>
      </c>
      <c r="L248" s="56">
        <v>40</v>
      </c>
      <c r="M248" s="54">
        <v>11</v>
      </c>
      <c r="N248" s="54">
        <v>550</v>
      </c>
      <c r="O248" s="57">
        <v>6.1</v>
      </c>
      <c r="P248" s="53">
        <v>39</v>
      </c>
      <c r="Q248" s="54">
        <v>10</v>
      </c>
      <c r="R248" s="55">
        <v>0</v>
      </c>
      <c r="S248" s="55">
        <v>6.1</v>
      </c>
      <c r="T248" s="57">
        <v>16</v>
      </c>
      <c r="U248" s="56">
        <v>38</v>
      </c>
      <c r="V248" s="54">
        <v>0</v>
      </c>
      <c r="W248" s="55">
        <v>0</v>
      </c>
      <c r="X248" s="55">
        <v>5.4</v>
      </c>
      <c r="Y248" s="57">
        <v>12.5</v>
      </c>
      <c r="Z248" s="53">
        <v>38</v>
      </c>
      <c r="AA248" s="54">
        <v>0</v>
      </c>
      <c r="AB248" s="55">
        <v>0</v>
      </c>
      <c r="AC248" s="55">
        <v>5.5</v>
      </c>
      <c r="AD248" s="57">
        <v>7.5</v>
      </c>
      <c r="AE248" s="56">
        <v>36</v>
      </c>
      <c r="AF248" s="54">
        <v>0</v>
      </c>
      <c r="AG248" s="55">
        <v>0</v>
      </c>
      <c r="AH248" s="55">
        <v>5.7</v>
      </c>
      <c r="AI248" s="57">
        <v>4</v>
      </c>
      <c r="AJ248" s="56">
        <v>35</v>
      </c>
      <c r="AK248" s="54">
        <v>0</v>
      </c>
      <c r="AL248" s="54">
        <v>0</v>
      </c>
      <c r="AM248" s="54">
        <v>7.3</v>
      </c>
      <c r="AN248" s="57">
        <v>12.5</v>
      </c>
      <c r="AO248" s="53">
        <v>34</v>
      </c>
      <c r="AP248" s="54">
        <v>10</v>
      </c>
      <c r="AQ248" s="54">
        <v>190</v>
      </c>
      <c r="AR248" s="54">
        <v>6.9</v>
      </c>
      <c r="AS248" s="57">
        <v>18.5</v>
      </c>
      <c r="AT248" s="56">
        <v>31</v>
      </c>
      <c r="AU248" s="57">
        <v>170</v>
      </c>
      <c r="AV248" s="56">
        <v>94.388832092285199</v>
      </c>
      <c r="AW248" s="57">
        <v>316.45712776307482</v>
      </c>
      <c r="AX248" s="8"/>
      <c r="AZ248" s="1">
        <v>90</v>
      </c>
      <c r="BB248" s="82">
        <f t="shared" si="23"/>
        <v>31.382000000000001</v>
      </c>
    </row>
    <row r="249" spans="3:54" ht="15" customHeight="1" x14ac:dyDescent="0.25">
      <c r="C249" s="42"/>
      <c r="D249" s="43">
        <f>D244</f>
        <v>45767</v>
      </c>
      <c r="E249" s="44">
        <f t="shared" si="28"/>
        <v>19.666666666666657</v>
      </c>
      <c r="F249" s="45">
        <f t="shared" si="25"/>
        <v>45767.666666667232</v>
      </c>
      <c r="G249" s="52">
        <v>43</v>
      </c>
      <c r="H249" s="53">
        <v>43</v>
      </c>
      <c r="I249" s="54">
        <v>11</v>
      </c>
      <c r="J249" s="54">
        <v>500</v>
      </c>
      <c r="K249" s="55">
        <v>6.2</v>
      </c>
      <c r="L249" s="56">
        <v>41</v>
      </c>
      <c r="M249" s="54">
        <v>11</v>
      </c>
      <c r="N249" s="54">
        <v>500</v>
      </c>
      <c r="O249" s="57">
        <v>5.9</v>
      </c>
      <c r="P249" s="53">
        <v>40</v>
      </c>
      <c r="Q249" s="54">
        <v>10</v>
      </c>
      <c r="R249" s="55">
        <v>0</v>
      </c>
      <c r="S249" s="55">
        <v>5.7</v>
      </c>
      <c r="T249" s="57">
        <v>15</v>
      </c>
      <c r="U249" s="56">
        <v>38</v>
      </c>
      <c r="V249" s="54">
        <v>0</v>
      </c>
      <c r="W249" s="55">
        <v>0</v>
      </c>
      <c r="X249" s="55">
        <v>5.2</v>
      </c>
      <c r="Y249" s="57">
        <v>12.5</v>
      </c>
      <c r="Z249" s="53">
        <v>38</v>
      </c>
      <c r="AA249" s="54">
        <v>0</v>
      </c>
      <c r="AB249" s="55">
        <v>0</v>
      </c>
      <c r="AC249" s="55">
        <v>5.4</v>
      </c>
      <c r="AD249" s="57">
        <v>7.5</v>
      </c>
      <c r="AE249" s="56">
        <v>36</v>
      </c>
      <c r="AF249" s="54">
        <v>0</v>
      </c>
      <c r="AG249" s="55">
        <v>0</v>
      </c>
      <c r="AH249" s="55">
        <v>5.5</v>
      </c>
      <c r="AI249" s="57">
        <v>5</v>
      </c>
      <c r="AJ249" s="56">
        <v>36</v>
      </c>
      <c r="AK249" s="54">
        <v>0</v>
      </c>
      <c r="AL249" s="54">
        <v>0</v>
      </c>
      <c r="AM249" s="54">
        <v>7.1</v>
      </c>
      <c r="AN249" s="57">
        <v>12.5</v>
      </c>
      <c r="AO249" s="53">
        <v>35</v>
      </c>
      <c r="AP249" s="54">
        <v>10</v>
      </c>
      <c r="AQ249" s="54">
        <v>190</v>
      </c>
      <c r="AR249" s="54">
        <v>6.8</v>
      </c>
      <c r="AS249" s="57">
        <v>18.25</v>
      </c>
      <c r="AT249" s="56">
        <v>32</v>
      </c>
      <c r="AU249" s="57">
        <v>170</v>
      </c>
      <c r="AV249" s="56">
        <v>92.1142578125</v>
      </c>
      <c r="AW249" s="57">
        <v>282.62936474246283</v>
      </c>
      <c r="AX249" s="8"/>
      <c r="AZ249" s="1">
        <v>90</v>
      </c>
      <c r="BB249" s="82">
        <f t="shared" si="23"/>
        <v>31.2715</v>
      </c>
    </row>
    <row r="250" spans="3:54" ht="15" customHeight="1" x14ac:dyDescent="0.25">
      <c r="C250" s="42"/>
      <c r="D250" s="43">
        <f>D244</f>
        <v>45767</v>
      </c>
      <c r="E250" s="44">
        <f t="shared" si="28"/>
        <v>19.749999999999989</v>
      </c>
      <c r="F250" s="45">
        <f t="shared" si="25"/>
        <v>45767.750000000568</v>
      </c>
      <c r="G250" s="52">
        <v>38</v>
      </c>
      <c r="H250" s="53">
        <v>42</v>
      </c>
      <c r="I250" s="54">
        <v>11</v>
      </c>
      <c r="J250" s="54">
        <v>500</v>
      </c>
      <c r="K250" s="55">
        <v>6.4</v>
      </c>
      <c r="L250" s="56">
        <v>41</v>
      </c>
      <c r="M250" s="54">
        <v>11</v>
      </c>
      <c r="N250" s="54">
        <v>500</v>
      </c>
      <c r="O250" s="57">
        <v>6</v>
      </c>
      <c r="P250" s="53">
        <v>40</v>
      </c>
      <c r="Q250" s="54">
        <v>10</v>
      </c>
      <c r="R250" s="55">
        <v>0</v>
      </c>
      <c r="S250" s="55">
        <v>5.9</v>
      </c>
      <c r="T250" s="57">
        <v>15.25</v>
      </c>
      <c r="U250" s="56">
        <v>38</v>
      </c>
      <c r="V250" s="54">
        <v>0</v>
      </c>
      <c r="W250" s="55">
        <v>0</v>
      </c>
      <c r="X250" s="55">
        <v>5.4</v>
      </c>
      <c r="Y250" s="57">
        <v>12.5</v>
      </c>
      <c r="Z250" s="53">
        <v>38</v>
      </c>
      <c r="AA250" s="54">
        <v>0</v>
      </c>
      <c r="AB250" s="55">
        <v>0</v>
      </c>
      <c r="AC250" s="55">
        <v>5.7</v>
      </c>
      <c r="AD250" s="57">
        <v>7.5</v>
      </c>
      <c r="AE250" s="56">
        <v>36</v>
      </c>
      <c r="AF250" s="54">
        <v>0</v>
      </c>
      <c r="AG250" s="55">
        <v>0</v>
      </c>
      <c r="AH250" s="55">
        <v>5.6</v>
      </c>
      <c r="AI250" s="57">
        <v>6.25</v>
      </c>
      <c r="AJ250" s="56">
        <v>35</v>
      </c>
      <c r="AK250" s="54">
        <v>0</v>
      </c>
      <c r="AL250" s="54">
        <v>0</v>
      </c>
      <c r="AM250" s="54">
        <v>7</v>
      </c>
      <c r="AN250" s="57">
        <v>12.5</v>
      </c>
      <c r="AO250" s="53">
        <v>35</v>
      </c>
      <c r="AP250" s="54">
        <v>10</v>
      </c>
      <c r="AQ250" s="54">
        <v>190</v>
      </c>
      <c r="AR250" s="54">
        <v>6.5</v>
      </c>
      <c r="AS250" s="57">
        <v>18.25</v>
      </c>
      <c r="AT250" s="56">
        <v>31</v>
      </c>
      <c r="AU250" s="57">
        <v>170</v>
      </c>
      <c r="AV250" s="56">
        <v>93.355300903320298</v>
      </c>
      <c r="AW250" s="57">
        <v>338.9062506357829</v>
      </c>
      <c r="AX250" s="8"/>
      <c r="AZ250" s="1">
        <v>90</v>
      </c>
      <c r="BB250" s="82">
        <f t="shared" si="23"/>
        <v>31.9345</v>
      </c>
    </row>
    <row r="251" spans="3:54" ht="15" customHeight="1" x14ac:dyDescent="0.25">
      <c r="C251" s="42"/>
      <c r="D251" s="43">
        <f>D244</f>
        <v>45767</v>
      </c>
      <c r="E251" s="44">
        <f t="shared" si="28"/>
        <v>19.833333333333321</v>
      </c>
      <c r="F251" s="45">
        <f t="shared" si="25"/>
        <v>45767.833333333903</v>
      </c>
      <c r="G251" s="52">
        <v>44</v>
      </c>
      <c r="H251" s="53">
        <v>42</v>
      </c>
      <c r="I251" s="54">
        <v>11</v>
      </c>
      <c r="J251" s="54">
        <v>500</v>
      </c>
      <c r="K251" s="55">
        <v>6.5</v>
      </c>
      <c r="L251" s="56">
        <v>41</v>
      </c>
      <c r="M251" s="54">
        <v>11</v>
      </c>
      <c r="N251" s="54">
        <v>500</v>
      </c>
      <c r="O251" s="57">
        <v>6.8</v>
      </c>
      <c r="P251" s="53">
        <v>40</v>
      </c>
      <c r="Q251" s="54">
        <v>0</v>
      </c>
      <c r="R251" s="55">
        <v>0</v>
      </c>
      <c r="S251" s="55">
        <v>6.8</v>
      </c>
      <c r="T251" s="57">
        <v>16.75</v>
      </c>
      <c r="U251" s="56">
        <v>41</v>
      </c>
      <c r="V251" s="54">
        <v>0</v>
      </c>
      <c r="W251" s="55">
        <v>0</v>
      </c>
      <c r="X251" s="55">
        <v>6</v>
      </c>
      <c r="Y251" s="57">
        <v>12.5</v>
      </c>
      <c r="Z251" s="53">
        <v>39</v>
      </c>
      <c r="AA251" s="54">
        <v>0</v>
      </c>
      <c r="AB251" s="55">
        <v>0</v>
      </c>
      <c r="AC251" s="55">
        <v>6.1</v>
      </c>
      <c r="AD251" s="57">
        <v>7.5</v>
      </c>
      <c r="AE251" s="56">
        <v>37</v>
      </c>
      <c r="AF251" s="54">
        <v>0</v>
      </c>
      <c r="AG251" s="55">
        <v>0</v>
      </c>
      <c r="AH251" s="55">
        <v>6.8</v>
      </c>
      <c r="AI251" s="57">
        <v>6.25</v>
      </c>
      <c r="AJ251" s="56">
        <v>36</v>
      </c>
      <c r="AK251" s="54">
        <v>0</v>
      </c>
      <c r="AL251" s="54">
        <v>0</v>
      </c>
      <c r="AM251" s="54">
        <v>7.3</v>
      </c>
      <c r="AN251" s="57">
        <v>12.5</v>
      </c>
      <c r="AO251" s="53">
        <v>36</v>
      </c>
      <c r="AP251" s="54">
        <v>10</v>
      </c>
      <c r="AQ251" s="54">
        <v>190</v>
      </c>
      <c r="AR251" s="54">
        <v>7.8</v>
      </c>
      <c r="AS251" s="57">
        <v>18.75</v>
      </c>
      <c r="AT251" s="56">
        <v>31</v>
      </c>
      <c r="AU251" s="57">
        <v>150</v>
      </c>
      <c r="AV251" s="56">
        <v>93.229164123535199</v>
      </c>
      <c r="AW251" s="57">
        <v>338.09606501261391</v>
      </c>
      <c r="AX251" s="8"/>
      <c r="AZ251" s="1">
        <v>90</v>
      </c>
      <c r="BB251" s="82">
        <f t="shared" si="23"/>
        <v>32.8185</v>
      </c>
    </row>
    <row r="252" spans="3:54" ht="15" customHeight="1" x14ac:dyDescent="0.25">
      <c r="C252" s="42"/>
      <c r="D252" s="43">
        <f>D244</f>
        <v>45767</v>
      </c>
      <c r="E252" s="44">
        <f t="shared" si="28"/>
        <v>19.916666666666654</v>
      </c>
      <c r="F252" s="45">
        <f t="shared" si="25"/>
        <v>45767.916666667239</v>
      </c>
      <c r="G252" s="52">
        <v>43</v>
      </c>
      <c r="H252" s="53">
        <v>42</v>
      </c>
      <c r="I252" s="54">
        <v>11</v>
      </c>
      <c r="J252" s="54">
        <v>500</v>
      </c>
      <c r="K252" s="55">
        <v>6.8</v>
      </c>
      <c r="L252" s="56">
        <v>42</v>
      </c>
      <c r="M252" s="54">
        <v>11</v>
      </c>
      <c r="N252" s="54">
        <v>500</v>
      </c>
      <c r="O252" s="57">
        <v>7</v>
      </c>
      <c r="P252" s="53">
        <v>40</v>
      </c>
      <c r="Q252" s="54">
        <v>0</v>
      </c>
      <c r="R252" s="55">
        <v>0</v>
      </c>
      <c r="S252" s="55">
        <v>6.5</v>
      </c>
      <c r="T252" s="57">
        <v>17.5</v>
      </c>
      <c r="U252" s="56">
        <v>40</v>
      </c>
      <c r="V252" s="54">
        <v>0</v>
      </c>
      <c r="W252" s="55">
        <v>0</v>
      </c>
      <c r="X252" s="55">
        <v>6.2</v>
      </c>
      <c r="Y252" s="57">
        <v>12.75</v>
      </c>
      <c r="Z252" s="53">
        <v>38</v>
      </c>
      <c r="AA252" s="54">
        <v>0</v>
      </c>
      <c r="AB252" s="55">
        <v>0</v>
      </c>
      <c r="AC252" s="55">
        <v>6.3</v>
      </c>
      <c r="AD252" s="57">
        <v>7.75</v>
      </c>
      <c r="AE252" s="56">
        <v>36</v>
      </c>
      <c r="AF252" s="54">
        <v>0</v>
      </c>
      <c r="AG252" s="55">
        <v>0</v>
      </c>
      <c r="AH252" s="55">
        <v>6.8</v>
      </c>
      <c r="AI252" s="57">
        <v>6.5</v>
      </c>
      <c r="AJ252" s="56">
        <v>37</v>
      </c>
      <c r="AK252" s="54">
        <v>0</v>
      </c>
      <c r="AL252" s="54">
        <v>0</v>
      </c>
      <c r="AM252" s="54">
        <v>7.1</v>
      </c>
      <c r="AN252" s="57">
        <v>12.5</v>
      </c>
      <c r="AO252" s="53">
        <v>36</v>
      </c>
      <c r="AP252" s="54">
        <v>10</v>
      </c>
      <c r="AQ252" s="54">
        <v>190</v>
      </c>
      <c r="AR252" s="54">
        <v>7.5</v>
      </c>
      <c r="AS252" s="57">
        <v>21.25</v>
      </c>
      <c r="AT252" s="56">
        <v>30</v>
      </c>
      <c r="AU252" s="57">
        <v>160</v>
      </c>
      <c r="AV252" s="56">
        <v>93.54248046875</v>
      </c>
      <c r="AW252" s="57">
        <v>335.05569966634113</v>
      </c>
      <c r="AX252" s="8"/>
      <c r="AZ252" s="1">
        <v>90</v>
      </c>
      <c r="BB252" s="82">
        <f t="shared" si="23"/>
        <v>34.586500000000001</v>
      </c>
    </row>
    <row r="253" spans="3:54" ht="15" customHeight="1" x14ac:dyDescent="0.25">
      <c r="C253" s="42"/>
      <c r="D253" s="43">
        <f>D244</f>
        <v>45767</v>
      </c>
      <c r="E253" s="44">
        <f t="shared" si="28"/>
        <v>19.999999999999986</v>
      </c>
      <c r="F253" s="45">
        <f t="shared" si="25"/>
        <v>45768.000000000575</v>
      </c>
      <c r="G253" s="52">
        <v>40</v>
      </c>
      <c r="H253" s="53">
        <v>39</v>
      </c>
      <c r="I253" s="54">
        <v>11</v>
      </c>
      <c r="J253" s="54">
        <v>500</v>
      </c>
      <c r="K253" s="55">
        <v>6.3</v>
      </c>
      <c r="L253" s="56">
        <v>40</v>
      </c>
      <c r="M253" s="54">
        <v>11</v>
      </c>
      <c r="N253" s="54">
        <v>500</v>
      </c>
      <c r="O253" s="57">
        <v>6.8</v>
      </c>
      <c r="P253" s="53">
        <v>40</v>
      </c>
      <c r="Q253" s="54">
        <v>0</v>
      </c>
      <c r="R253" s="55">
        <v>0</v>
      </c>
      <c r="S253" s="55">
        <v>6.8</v>
      </c>
      <c r="T253" s="57">
        <v>17</v>
      </c>
      <c r="U253" s="56">
        <v>39</v>
      </c>
      <c r="V253" s="54">
        <v>0</v>
      </c>
      <c r="W253" s="55">
        <v>0</v>
      </c>
      <c r="X253" s="55">
        <v>6.1</v>
      </c>
      <c r="Y253" s="57">
        <v>12.5</v>
      </c>
      <c r="Z253" s="53">
        <v>39</v>
      </c>
      <c r="AA253" s="54">
        <v>0</v>
      </c>
      <c r="AB253" s="55">
        <v>0</v>
      </c>
      <c r="AC253" s="55">
        <v>6.1</v>
      </c>
      <c r="AD253" s="57">
        <v>7.5</v>
      </c>
      <c r="AE253" s="56">
        <v>37</v>
      </c>
      <c r="AF253" s="54">
        <v>0</v>
      </c>
      <c r="AG253" s="55">
        <v>0</v>
      </c>
      <c r="AH253" s="55">
        <v>6.5</v>
      </c>
      <c r="AI253" s="57">
        <v>10</v>
      </c>
      <c r="AJ253" s="56">
        <v>36</v>
      </c>
      <c r="AK253" s="54">
        <v>0</v>
      </c>
      <c r="AL253" s="54">
        <v>0</v>
      </c>
      <c r="AM253" s="54">
        <v>7.3</v>
      </c>
      <c r="AN253" s="57">
        <v>8</v>
      </c>
      <c r="AO253" s="53">
        <v>35</v>
      </c>
      <c r="AP253" s="54">
        <v>10</v>
      </c>
      <c r="AQ253" s="54">
        <v>190</v>
      </c>
      <c r="AR253" s="54">
        <v>7.3</v>
      </c>
      <c r="AS253" s="57">
        <v>20.75</v>
      </c>
      <c r="AT253" s="56">
        <v>30</v>
      </c>
      <c r="AU253" s="57">
        <v>160</v>
      </c>
      <c r="AV253" s="56">
        <v>93.5791015625</v>
      </c>
      <c r="AW253" s="57">
        <v>336.72863655090333</v>
      </c>
      <c r="AX253" s="8"/>
      <c r="AZ253" s="1">
        <v>90</v>
      </c>
      <c r="BB253" s="82">
        <f t="shared" si="23"/>
        <v>33.481499999999997</v>
      </c>
    </row>
    <row r="254" spans="3:54" ht="15" customHeight="1" x14ac:dyDescent="0.25">
      <c r="C254" s="42"/>
      <c r="D254" s="43">
        <f>D244</f>
        <v>45767</v>
      </c>
      <c r="E254" s="44">
        <f t="shared" si="28"/>
        <v>20.083333333333318</v>
      </c>
      <c r="F254" s="45">
        <f t="shared" si="25"/>
        <v>45768.083333333911</v>
      </c>
      <c r="G254" s="52">
        <v>40</v>
      </c>
      <c r="H254" s="53">
        <v>39</v>
      </c>
      <c r="I254" s="54">
        <v>10</v>
      </c>
      <c r="J254" s="54">
        <v>500</v>
      </c>
      <c r="K254" s="55">
        <v>7.1</v>
      </c>
      <c r="L254" s="56">
        <v>38</v>
      </c>
      <c r="M254" s="54">
        <v>10</v>
      </c>
      <c r="N254" s="54">
        <v>450</v>
      </c>
      <c r="O254" s="57">
        <v>7.3</v>
      </c>
      <c r="P254" s="53">
        <v>39</v>
      </c>
      <c r="Q254" s="54">
        <v>0</v>
      </c>
      <c r="R254" s="55">
        <v>0</v>
      </c>
      <c r="S254" s="55">
        <v>6.7</v>
      </c>
      <c r="T254" s="57">
        <v>16.75</v>
      </c>
      <c r="U254" s="56">
        <v>38</v>
      </c>
      <c r="V254" s="54">
        <v>0</v>
      </c>
      <c r="W254" s="55">
        <v>0</v>
      </c>
      <c r="X254" s="55">
        <v>6.3</v>
      </c>
      <c r="Y254" s="57">
        <v>12.5</v>
      </c>
      <c r="Z254" s="53">
        <v>37</v>
      </c>
      <c r="AA254" s="54">
        <v>0</v>
      </c>
      <c r="AB254" s="55">
        <v>0</v>
      </c>
      <c r="AC254" s="55">
        <v>6.5</v>
      </c>
      <c r="AD254" s="57">
        <v>7.25</v>
      </c>
      <c r="AE254" s="56">
        <v>36</v>
      </c>
      <c r="AF254" s="54">
        <v>0</v>
      </c>
      <c r="AG254" s="55">
        <v>0</v>
      </c>
      <c r="AH254" s="55">
        <v>6.3</v>
      </c>
      <c r="AI254" s="57">
        <v>10.5</v>
      </c>
      <c r="AJ254" s="56">
        <v>36</v>
      </c>
      <c r="AK254" s="54">
        <v>0</v>
      </c>
      <c r="AL254" s="54">
        <v>0</v>
      </c>
      <c r="AM254" s="54">
        <v>7.1</v>
      </c>
      <c r="AN254" s="57">
        <v>8.75</v>
      </c>
      <c r="AO254" s="53">
        <v>35</v>
      </c>
      <c r="AP254" s="54">
        <v>10</v>
      </c>
      <c r="AQ254" s="54">
        <v>190</v>
      </c>
      <c r="AR254" s="54">
        <v>7.5</v>
      </c>
      <c r="AS254" s="57">
        <v>20</v>
      </c>
      <c r="AT254" s="56">
        <v>29</v>
      </c>
      <c r="AU254" s="57">
        <v>150</v>
      </c>
      <c r="AV254" s="56">
        <v>93.310546875</v>
      </c>
      <c r="AW254" s="57">
        <v>336.44217681884766</v>
      </c>
      <c r="AX254" s="8"/>
      <c r="AZ254" s="1">
        <v>90</v>
      </c>
      <c r="BB254" s="82">
        <f t="shared" si="23"/>
        <v>33.481499999999997</v>
      </c>
    </row>
    <row r="255" spans="3:54" ht="15" customHeight="1" x14ac:dyDescent="0.25">
      <c r="C255" s="42"/>
      <c r="D255" s="69">
        <f>D244</f>
        <v>45767</v>
      </c>
      <c r="E255" s="70">
        <f t="shared" si="28"/>
        <v>20.16666666666665</v>
      </c>
      <c r="F255" s="71">
        <f t="shared" si="25"/>
        <v>45768.166666667246</v>
      </c>
      <c r="G255" s="60">
        <v>44</v>
      </c>
      <c r="H255" s="61">
        <v>40</v>
      </c>
      <c r="I255" s="62">
        <v>10</v>
      </c>
      <c r="J255" s="62">
        <v>450</v>
      </c>
      <c r="K255" s="63">
        <v>7.3</v>
      </c>
      <c r="L255" s="64">
        <v>39</v>
      </c>
      <c r="M255" s="62">
        <v>10</v>
      </c>
      <c r="N255" s="62">
        <v>450</v>
      </c>
      <c r="O255" s="65">
        <v>7.5</v>
      </c>
      <c r="P255" s="61">
        <v>40</v>
      </c>
      <c r="Q255" s="62">
        <v>0</v>
      </c>
      <c r="R255" s="63">
        <v>0</v>
      </c>
      <c r="S255" s="63">
        <v>6.8</v>
      </c>
      <c r="T255" s="65">
        <v>17.25</v>
      </c>
      <c r="U255" s="64">
        <v>38</v>
      </c>
      <c r="V255" s="62">
        <v>0</v>
      </c>
      <c r="W255" s="63">
        <v>0</v>
      </c>
      <c r="X255" s="63">
        <v>6.6</v>
      </c>
      <c r="Y255" s="65">
        <v>12.25</v>
      </c>
      <c r="Z255" s="61">
        <v>39</v>
      </c>
      <c r="AA255" s="62">
        <v>0</v>
      </c>
      <c r="AB255" s="63">
        <v>0</v>
      </c>
      <c r="AC255" s="63">
        <v>6.3</v>
      </c>
      <c r="AD255" s="65">
        <v>7.5</v>
      </c>
      <c r="AE255" s="64">
        <v>36</v>
      </c>
      <c r="AF255" s="62">
        <v>0</v>
      </c>
      <c r="AG255" s="63">
        <v>0</v>
      </c>
      <c r="AH255" s="63">
        <v>6.8</v>
      </c>
      <c r="AI255" s="65">
        <v>9.75</v>
      </c>
      <c r="AJ255" s="64">
        <v>35</v>
      </c>
      <c r="AK255" s="62">
        <v>0</v>
      </c>
      <c r="AL255" s="62">
        <v>0</v>
      </c>
      <c r="AM255" s="62">
        <v>7</v>
      </c>
      <c r="AN255" s="65">
        <v>8.75</v>
      </c>
      <c r="AO255" s="61">
        <v>35</v>
      </c>
      <c r="AP255" s="62">
        <v>10</v>
      </c>
      <c r="AQ255" s="62">
        <v>170</v>
      </c>
      <c r="AR255" s="62">
        <v>7.3</v>
      </c>
      <c r="AS255" s="65">
        <v>20</v>
      </c>
      <c r="AT255" s="64">
        <v>28</v>
      </c>
      <c r="AU255" s="65">
        <v>130</v>
      </c>
      <c r="AV255" s="64">
        <v>93.461097717285199</v>
      </c>
      <c r="AW255" s="65">
        <v>336.76480636596682</v>
      </c>
      <c r="AX255" s="8"/>
      <c r="AZ255" s="1">
        <v>90</v>
      </c>
      <c r="BB255" s="82">
        <f t="shared" si="23"/>
        <v>33.371000000000002</v>
      </c>
    </row>
    <row r="256" spans="3:54" ht="15" customHeight="1" x14ac:dyDescent="0.25">
      <c r="C256" s="42">
        <f>C244+1</f>
        <v>21</v>
      </c>
      <c r="D256" s="66">
        <f>DATE([4]Dash!$F$3,VLOOKUP([4]Dash!$E$3,[4]Abb!$C$3:$D$14,2,FALSE),C256)</f>
        <v>45768</v>
      </c>
      <c r="E256" s="67">
        <f>E255+2/24</f>
        <v>20.249999999999982</v>
      </c>
      <c r="F256" s="68">
        <f t="shared" si="25"/>
        <v>45768.250000000582</v>
      </c>
      <c r="G256" s="46">
        <v>44</v>
      </c>
      <c r="H256" s="47">
        <v>40</v>
      </c>
      <c r="I256" s="48">
        <v>10</v>
      </c>
      <c r="J256" s="48">
        <v>500</v>
      </c>
      <c r="K256" s="49">
        <v>7.2</v>
      </c>
      <c r="L256" s="50">
        <v>40</v>
      </c>
      <c r="M256" s="48">
        <v>10</v>
      </c>
      <c r="N256" s="48">
        <v>500</v>
      </c>
      <c r="O256" s="51">
        <v>0</v>
      </c>
      <c r="P256" s="47">
        <v>37</v>
      </c>
      <c r="Q256" s="48">
        <v>0</v>
      </c>
      <c r="R256" s="49">
        <v>0</v>
      </c>
      <c r="S256" s="49">
        <v>6.9</v>
      </c>
      <c r="T256" s="51">
        <v>18.75</v>
      </c>
      <c r="U256" s="50">
        <v>37</v>
      </c>
      <c r="V256" s="48">
        <v>0</v>
      </c>
      <c r="W256" s="49">
        <v>0</v>
      </c>
      <c r="X256" s="49">
        <v>7</v>
      </c>
      <c r="Y256" s="51">
        <v>8.75</v>
      </c>
      <c r="Z256" s="47">
        <v>36</v>
      </c>
      <c r="AA256" s="48">
        <v>0</v>
      </c>
      <c r="AB256" s="49">
        <v>0</v>
      </c>
      <c r="AC256" s="49">
        <v>7.1</v>
      </c>
      <c r="AD256" s="51">
        <v>6.25</v>
      </c>
      <c r="AE256" s="50">
        <v>35</v>
      </c>
      <c r="AF256" s="48">
        <v>0</v>
      </c>
      <c r="AG256" s="49">
        <v>0</v>
      </c>
      <c r="AH256" s="49">
        <v>6.7</v>
      </c>
      <c r="AI256" s="51">
        <v>7.5</v>
      </c>
      <c r="AJ256" s="50">
        <v>35</v>
      </c>
      <c r="AK256" s="48">
        <v>0</v>
      </c>
      <c r="AL256" s="48">
        <v>0</v>
      </c>
      <c r="AM256" s="48">
        <v>6.9</v>
      </c>
      <c r="AN256" s="51">
        <v>10</v>
      </c>
      <c r="AO256" s="47">
        <v>33</v>
      </c>
      <c r="AP256" s="48">
        <v>10</v>
      </c>
      <c r="AQ256" s="48">
        <v>190</v>
      </c>
      <c r="AR256" s="48">
        <v>6.9</v>
      </c>
      <c r="AS256" s="51">
        <v>15</v>
      </c>
      <c r="AT256" s="50">
        <v>30</v>
      </c>
      <c r="AU256" s="51">
        <v>140</v>
      </c>
      <c r="AV256" s="50">
        <v>93.424476623535199</v>
      </c>
      <c r="AW256" s="51">
        <v>336.67486406962075</v>
      </c>
      <c r="AX256" s="8"/>
      <c r="AZ256" s="1">
        <v>90</v>
      </c>
      <c r="BB256" s="82">
        <f t="shared" si="23"/>
        <v>29.282499999999999</v>
      </c>
    </row>
    <row r="257" spans="3:54" ht="15" customHeight="1" x14ac:dyDescent="0.25">
      <c r="C257" s="42"/>
      <c r="D257" s="43">
        <f>D256</f>
        <v>45768</v>
      </c>
      <c r="E257" s="44">
        <f>E256+2/24</f>
        <v>20.333333333333314</v>
      </c>
      <c r="F257" s="45">
        <f t="shared" si="25"/>
        <v>45768.333333333918</v>
      </c>
      <c r="G257" s="52">
        <v>46</v>
      </c>
      <c r="H257" s="53">
        <v>38</v>
      </c>
      <c r="I257" s="54">
        <v>10.11</v>
      </c>
      <c r="J257" s="54">
        <v>500</v>
      </c>
      <c r="K257" s="55">
        <v>6.7</v>
      </c>
      <c r="L257" s="56">
        <v>38</v>
      </c>
      <c r="M257" s="54">
        <v>1.49</v>
      </c>
      <c r="N257" s="54">
        <v>500</v>
      </c>
      <c r="O257" s="57">
        <v>6.2</v>
      </c>
      <c r="P257" s="53">
        <v>38</v>
      </c>
      <c r="Q257" s="54">
        <v>10.74</v>
      </c>
      <c r="R257" s="55">
        <v>0</v>
      </c>
      <c r="S257" s="55">
        <v>6.1</v>
      </c>
      <c r="T257" s="57">
        <v>16.25</v>
      </c>
      <c r="U257" s="56">
        <v>38</v>
      </c>
      <c r="V257" s="54">
        <v>10.91</v>
      </c>
      <c r="W257" s="55">
        <v>0</v>
      </c>
      <c r="X257" s="55">
        <v>6</v>
      </c>
      <c r="Y257" s="57">
        <v>8.1199999999999992</v>
      </c>
      <c r="Z257" s="53">
        <v>38</v>
      </c>
      <c r="AA257" s="54">
        <v>11.05</v>
      </c>
      <c r="AB257" s="55">
        <v>0</v>
      </c>
      <c r="AC257" s="55">
        <v>5.8</v>
      </c>
      <c r="AD257" s="57">
        <v>7.5</v>
      </c>
      <c r="AE257" s="56">
        <v>38</v>
      </c>
      <c r="AF257" s="54">
        <v>10.85</v>
      </c>
      <c r="AG257" s="55">
        <v>0</v>
      </c>
      <c r="AH257" s="55">
        <v>5.9</v>
      </c>
      <c r="AI257" s="57">
        <v>8.75</v>
      </c>
      <c r="AJ257" s="56">
        <v>37</v>
      </c>
      <c r="AK257" s="54">
        <v>10.4</v>
      </c>
      <c r="AL257" s="54">
        <v>0</v>
      </c>
      <c r="AM257" s="54">
        <v>7.1</v>
      </c>
      <c r="AN257" s="57">
        <v>12.5</v>
      </c>
      <c r="AO257" s="53">
        <v>38</v>
      </c>
      <c r="AP257" s="54">
        <v>10.1</v>
      </c>
      <c r="AQ257" s="54">
        <v>250</v>
      </c>
      <c r="AR257" s="54">
        <v>7.4</v>
      </c>
      <c r="AS257" s="57">
        <v>16.5</v>
      </c>
      <c r="AT257" s="56">
        <v>33</v>
      </c>
      <c r="AU257" s="57">
        <v>220</v>
      </c>
      <c r="AV257" s="56">
        <v>93.408203125</v>
      </c>
      <c r="AW257" s="57">
        <v>334.94309514363607</v>
      </c>
      <c r="AX257" s="8"/>
      <c r="AZ257" s="1">
        <v>90</v>
      </c>
      <c r="BB257" s="82">
        <f t="shared" si="23"/>
        <v>30.772040000000001</v>
      </c>
    </row>
    <row r="258" spans="3:54" ht="15" customHeight="1" x14ac:dyDescent="0.25">
      <c r="C258" s="42"/>
      <c r="D258" s="43">
        <f>D256</f>
        <v>45768</v>
      </c>
      <c r="E258" s="44">
        <f t="shared" ref="E258:E267" si="29">E257+2/24</f>
        <v>20.416666666666647</v>
      </c>
      <c r="F258" s="45">
        <f t="shared" si="25"/>
        <v>45768.416666667254</v>
      </c>
      <c r="G258" s="52">
        <v>45</v>
      </c>
      <c r="H258" s="53">
        <v>37</v>
      </c>
      <c r="I258" s="54">
        <v>10.3</v>
      </c>
      <c r="J258" s="54">
        <v>2000</v>
      </c>
      <c r="K258" s="55">
        <v>6.4</v>
      </c>
      <c r="L258" s="56">
        <v>39</v>
      </c>
      <c r="M258" s="54">
        <v>10.4</v>
      </c>
      <c r="N258" s="54">
        <v>850</v>
      </c>
      <c r="O258" s="57">
        <v>6.1</v>
      </c>
      <c r="P258" s="53">
        <v>38</v>
      </c>
      <c r="Q258" s="54">
        <v>10.4</v>
      </c>
      <c r="R258" s="55">
        <v>0</v>
      </c>
      <c r="S258" s="55">
        <v>6.2</v>
      </c>
      <c r="T258" s="57">
        <v>17.5</v>
      </c>
      <c r="U258" s="56">
        <v>38</v>
      </c>
      <c r="V258" s="54">
        <v>10.6</v>
      </c>
      <c r="W258" s="55">
        <v>0</v>
      </c>
      <c r="X258" s="55">
        <v>6.1</v>
      </c>
      <c r="Y258" s="57">
        <v>11.25</v>
      </c>
      <c r="Z258" s="53">
        <v>40</v>
      </c>
      <c r="AA258" s="54">
        <v>10.7</v>
      </c>
      <c r="AB258" s="55">
        <v>0</v>
      </c>
      <c r="AC258" s="55">
        <v>5.9</v>
      </c>
      <c r="AD258" s="57">
        <v>7.5</v>
      </c>
      <c r="AE258" s="56">
        <v>37</v>
      </c>
      <c r="AF258" s="54">
        <v>10.9</v>
      </c>
      <c r="AG258" s="55">
        <v>0</v>
      </c>
      <c r="AH258" s="55">
        <v>5.7</v>
      </c>
      <c r="AI258" s="57">
        <v>7.5</v>
      </c>
      <c r="AJ258" s="56">
        <v>37</v>
      </c>
      <c r="AK258" s="54">
        <v>10.9</v>
      </c>
      <c r="AL258" s="54">
        <v>0</v>
      </c>
      <c r="AM258" s="54">
        <v>7.2</v>
      </c>
      <c r="AN258" s="57">
        <v>11.25</v>
      </c>
      <c r="AO258" s="53">
        <v>36</v>
      </c>
      <c r="AP258" s="54">
        <v>10.9</v>
      </c>
      <c r="AQ258" s="54">
        <v>230</v>
      </c>
      <c r="AR258" s="54">
        <v>7.5</v>
      </c>
      <c r="AS258" s="57">
        <v>16.25</v>
      </c>
      <c r="AT258" s="56">
        <v>29</v>
      </c>
      <c r="AU258" s="57">
        <v>210</v>
      </c>
      <c r="AV258" s="56">
        <v>94.014480590820298</v>
      </c>
      <c r="AW258" s="57">
        <v>319.64590441385906</v>
      </c>
      <c r="AX258" s="8"/>
      <c r="AZ258" s="1">
        <v>90</v>
      </c>
      <c r="BB258" s="82">
        <f t="shared" si="23"/>
        <v>31.4925</v>
      </c>
    </row>
    <row r="259" spans="3:54" ht="15" customHeight="1" x14ac:dyDescent="0.25">
      <c r="C259" s="42"/>
      <c r="D259" s="43">
        <f>D256</f>
        <v>45768</v>
      </c>
      <c r="E259" s="44">
        <f t="shared" si="29"/>
        <v>20.499999999999979</v>
      </c>
      <c r="F259" s="45">
        <f t="shared" si="25"/>
        <v>45768.500000000589</v>
      </c>
      <c r="G259" s="52">
        <v>41</v>
      </c>
      <c r="H259" s="53">
        <v>38</v>
      </c>
      <c r="I259" s="54">
        <v>10.1</v>
      </c>
      <c r="J259" s="54">
        <v>1250</v>
      </c>
      <c r="K259" s="55">
        <v>6.1</v>
      </c>
      <c r="L259" s="56">
        <v>39</v>
      </c>
      <c r="M259" s="54">
        <v>10.199999999999999</v>
      </c>
      <c r="N259" s="54">
        <v>900</v>
      </c>
      <c r="O259" s="57">
        <v>6.4</v>
      </c>
      <c r="P259" s="53">
        <v>38</v>
      </c>
      <c r="Q259" s="54">
        <v>10.4</v>
      </c>
      <c r="R259" s="55">
        <v>0</v>
      </c>
      <c r="S259" s="55">
        <v>6</v>
      </c>
      <c r="T259" s="57">
        <v>16.25</v>
      </c>
      <c r="U259" s="56">
        <v>37</v>
      </c>
      <c r="V259" s="54">
        <v>10.6</v>
      </c>
      <c r="W259" s="55">
        <v>0</v>
      </c>
      <c r="X259" s="55">
        <v>5.9</v>
      </c>
      <c r="Y259" s="57">
        <v>12</v>
      </c>
      <c r="Z259" s="53">
        <v>39</v>
      </c>
      <c r="AA259" s="54">
        <v>10.7</v>
      </c>
      <c r="AB259" s="55">
        <v>0</v>
      </c>
      <c r="AC259" s="55">
        <v>5.9</v>
      </c>
      <c r="AD259" s="57">
        <v>7.5</v>
      </c>
      <c r="AE259" s="56">
        <v>37</v>
      </c>
      <c r="AF259" s="54">
        <v>10.9</v>
      </c>
      <c r="AG259" s="55">
        <v>0</v>
      </c>
      <c r="AH259" s="55">
        <v>5.4</v>
      </c>
      <c r="AI259" s="57">
        <v>8.75</v>
      </c>
      <c r="AJ259" s="56">
        <v>36</v>
      </c>
      <c r="AK259" s="54">
        <v>10.9</v>
      </c>
      <c r="AL259" s="54">
        <v>0</v>
      </c>
      <c r="AM259" s="54">
        <v>6.9</v>
      </c>
      <c r="AN259" s="57">
        <v>12.5</v>
      </c>
      <c r="AO259" s="53">
        <v>37</v>
      </c>
      <c r="AP259" s="54">
        <v>10.9</v>
      </c>
      <c r="AQ259" s="54">
        <v>230</v>
      </c>
      <c r="AR259" s="54">
        <v>7.1</v>
      </c>
      <c r="AS259" s="57">
        <v>16.25</v>
      </c>
      <c r="AT259" s="56">
        <v>30</v>
      </c>
      <c r="AU259" s="57">
        <v>210</v>
      </c>
      <c r="AV259" s="56">
        <v>93.32275390625</v>
      </c>
      <c r="AW259" s="57">
        <v>316.71537488301595</v>
      </c>
      <c r="AX259" s="8"/>
      <c r="AZ259" s="1">
        <v>90</v>
      </c>
      <c r="BB259" s="82">
        <f t="shared" si="23"/>
        <v>32.3765</v>
      </c>
    </row>
    <row r="260" spans="3:54" ht="15" customHeight="1" x14ac:dyDescent="0.25">
      <c r="C260" s="42"/>
      <c r="D260" s="43">
        <f>D256</f>
        <v>45768</v>
      </c>
      <c r="E260" s="44">
        <f t="shared" si="29"/>
        <v>20.583333333333311</v>
      </c>
      <c r="F260" s="45">
        <f t="shared" si="25"/>
        <v>45768.583333333925</v>
      </c>
      <c r="G260" s="52">
        <v>41</v>
      </c>
      <c r="H260" s="53">
        <v>39</v>
      </c>
      <c r="I260" s="54">
        <v>9.6999999999999993</v>
      </c>
      <c r="J260" s="54">
        <v>800</v>
      </c>
      <c r="K260" s="55">
        <v>6.3</v>
      </c>
      <c r="L260" s="56">
        <v>39</v>
      </c>
      <c r="M260" s="54">
        <v>10</v>
      </c>
      <c r="N260" s="54">
        <v>900</v>
      </c>
      <c r="O260" s="57">
        <v>6.2</v>
      </c>
      <c r="P260" s="53">
        <v>37</v>
      </c>
      <c r="Q260" s="54">
        <v>10.4</v>
      </c>
      <c r="R260" s="55">
        <v>0</v>
      </c>
      <c r="S260" s="55">
        <v>6.2</v>
      </c>
      <c r="T260" s="57">
        <v>6.25</v>
      </c>
      <c r="U260" s="56">
        <v>36</v>
      </c>
      <c r="V260" s="54">
        <v>10.5</v>
      </c>
      <c r="W260" s="55">
        <v>0</v>
      </c>
      <c r="X260" s="55">
        <v>6.3</v>
      </c>
      <c r="Y260" s="57">
        <v>12.5</v>
      </c>
      <c r="Z260" s="53">
        <v>38</v>
      </c>
      <c r="AA260" s="54">
        <v>10.7</v>
      </c>
      <c r="AB260" s="55">
        <v>0</v>
      </c>
      <c r="AC260" s="55">
        <v>5.7</v>
      </c>
      <c r="AD260" s="57">
        <v>7.5</v>
      </c>
      <c r="AE260" s="56">
        <v>37</v>
      </c>
      <c r="AF260" s="54">
        <v>10.9</v>
      </c>
      <c r="AG260" s="55">
        <v>0</v>
      </c>
      <c r="AH260" s="55">
        <v>5.3</v>
      </c>
      <c r="AI260" s="57">
        <v>9.5</v>
      </c>
      <c r="AJ260" s="56">
        <v>36</v>
      </c>
      <c r="AK260" s="54">
        <v>10.9</v>
      </c>
      <c r="AL260" s="54">
        <v>0</v>
      </c>
      <c r="AM260" s="54">
        <v>7.1</v>
      </c>
      <c r="AN260" s="57">
        <v>12</v>
      </c>
      <c r="AO260" s="53">
        <v>38</v>
      </c>
      <c r="AP260" s="54">
        <v>10.8</v>
      </c>
      <c r="AQ260" s="54">
        <v>220</v>
      </c>
      <c r="AR260" s="54">
        <v>7.2</v>
      </c>
      <c r="AS260" s="57">
        <v>16.25</v>
      </c>
      <c r="AT260" s="56">
        <v>32</v>
      </c>
      <c r="AU260" s="57">
        <v>190</v>
      </c>
      <c r="AV260" s="56">
        <v>94.002273559570298</v>
      </c>
      <c r="AW260" s="57">
        <v>331.07662989298501</v>
      </c>
      <c r="AX260" s="8"/>
      <c r="AZ260" s="1">
        <v>90</v>
      </c>
      <c r="BB260" s="82">
        <f t="shared" si="23"/>
        <v>28.288</v>
      </c>
    </row>
    <row r="261" spans="3:54" ht="15" customHeight="1" x14ac:dyDescent="0.25">
      <c r="C261" s="42"/>
      <c r="D261" s="43">
        <f>D256</f>
        <v>45768</v>
      </c>
      <c r="E261" s="44">
        <f t="shared" si="29"/>
        <v>20.666666666666643</v>
      </c>
      <c r="F261" s="45">
        <f t="shared" si="25"/>
        <v>45768.666666667261</v>
      </c>
      <c r="G261" s="52">
        <v>45</v>
      </c>
      <c r="H261" s="53">
        <v>40</v>
      </c>
      <c r="I261" s="54">
        <v>10.1</v>
      </c>
      <c r="J261" s="54">
        <v>750</v>
      </c>
      <c r="K261" s="55">
        <v>6.1</v>
      </c>
      <c r="L261" s="56">
        <v>40</v>
      </c>
      <c r="M261" s="54">
        <v>10.9</v>
      </c>
      <c r="N261" s="54">
        <v>550</v>
      </c>
      <c r="O261" s="57">
        <v>6.7</v>
      </c>
      <c r="P261" s="53">
        <v>35</v>
      </c>
      <c r="Q261" s="54">
        <v>10.1</v>
      </c>
      <c r="R261" s="55">
        <v>0</v>
      </c>
      <c r="S261" s="55">
        <v>6.1</v>
      </c>
      <c r="T261" s="57">
        <v>0</v>
      </c>
      <c r="U261" s="56">
        <v>37</v>
      </c>
      <c r="V261" s="54">
        <v>10.3</v>
      </c>
      <c r="W261" s="55">
        <v>0</v>
      </c>
      <c r="X261" s="55">
        <v>5.8</v>
      </c>
      <c r="Y261" s="57">
        <v>11.75</v>
      </c>
      <c r="Z261" s="53">
        <v>38</v>
      </c>
      <c r="AA261" s="54">
        <v>10.199999999999999</v>
      </c>
      <c r="AB261" s="55">
        <v>0</v>
      </c>
      <c r="AC261" s="55">
        <v>6.2</v>
      </c>
      <c r="AD261" s="57">
        <v>7</v>
      </c>
      <c r="AE261" s="56">
        <v>36</v>
      </c>
      <c r="AF261" s="54">
        <v>10.6</v>
      </c>
      <c r="AG261" s="55">
        <v>0</v>
      </c>
      <c r="AH261" s="55">
        <v>5.8</v>
      </c>
      <c r="AI261" s="57">
        <v>7.75</v>
      </c>
      <c r="AJ261" s="56">
        <v>36</v>
      </c>
      <c r="AK261" s="54">
        <v>10.7</v>
      </c>
      <c r="AL261" s="54">
        <v>0</v>
      </c>
      <c r="AM261" s="54">
        <v>7.1</v>
      </c>
      <c r="AN261" s="57">
        <v>12.5</v>
      </c>
      <c r="AO261" s="53">
        <v>36</v>
      </c>
      <c r="AP261" s="54">
        <v>10.7</v>
      </c>
      <c r="AQ261" s="54">
        <v>220</v>
      </c>
      <c r="AR261" s="54">
        <v>7.4</v>
      </c>
      <c r="AS261" s="57">
        <v>16.25</v>
      </c>
      <c r="AT261" s="56">
        <v>32</v>
      </c>
      <c r="AU261" s="57">
        <v>160</v>
      </c>
      <c r="AV261" s="56">
        <v>93.66455078125</v>
      </c>
      <c r="AW261" s="57">
        <v>334.34196637471518</v>
      </c>
      <c r="AX261" s="8"/>
      <c r="AZ261" s="1">
        <v>90</v>
      </c>
      <c r="BB261" s="82">
        <f t="shared" si="23"/>
        <v>24.420500000000001</v>
      </c>
    </row>
    <row r="262" spans="3:54" ht="15" customHeight="1" x14ac:dyDescent="0.25">
      <c r="C262" s="42"/>
      <c r="D262" s="43">
        <f>D256</f>
        <v>45768</v>
      </c>
      <c r="E262" s="44">
        <f t="shared" si="29"/>
        <v>20.749999999999975</v>
      </c>
      <c r="F262" s="45">
        <f t="shared" si="25"/>
        <v>45768.750000000597</v>
      </c>
      <c r="G262" s="52">
        <v>43</v>
      </c>
      <c r="H262" s="53">
        <v>40</v>
      </c>
      <c r="I262" s="54">
        <v>10.4</v>
      </c>
      <c r="J262" s="54">
        <v>650</v>
      </c>
      <c r="K262" s="55">
        <v>6.3</v>
      </c>
      <c r="L262" s="56">
        <v>40</v>
      </c>
      <c r="M262" s="54">
        <v>10.8</v>
      </c>
      <c r="N262" s="54">
        <v>550</v>
      </c>
      <c r="O262" s="57">
        <v>6.5</v>
      </c>
      <c r="P262" s="53">
        <v>36</v>
      </c>
      <c r="Q262" s="54">
        <v>10.1</v>
      </c>
      <c r="R262" s="55">
        <v>0</v>
      </c>
      <c r="S262" s="55">
        <v>6</v>
      </c>
      <c r="T262" s="57">
        <v>0</v>
      </c>
      <c r="U262" s="56">
        <v>37</v>
      </c>
      <c r="V262" s="54">
        <v>10.3</v>
      </c>
      <c r="W262" s="55">
        <v>0</v>
      </c>
      <c r="X262" s="55">
        <v>6</v>
      </c>
      <c r="Y262" s="57">
        <v>12</v>
      </c>
      <c r="Z262" s="53">
        <v>38</v>
      </c>
      <c r="AA262" s="54">
        <v>10.3</v>
      </c>
      <c r="AB262" s="55">
        <v>0</v>
      </c>
      <c r="AC262" s="55">
        <v>6.1</v>
      </c>
      <c r="AD262" s="57">
        <v>7</v>
      </c>
      <c r="AE262" s="56">
        <v>36</v>
      </c>
      <c r="AF262" s="54">
        <v>10.6</v>
      </c>
      <c r="AG262" s="55">
        <v>0</v>
      </c>
      <c r="AH262" s="55">
        <v>5.5</v>
      </c>
      <c r="AI262" s="57">
        <v>8.75</v>
      </c>
      <c r="AJ262" s="56">
        <v>36</v>
      </c>
      <c r="AK262" s="54">
        <v>10.7</v>
      </c>
      <c r="AL262" s="54">
        <v>0</v>
      </c>
      <c r="AM262" s="54">
        <v>6.9</v>
      </c>
      <c r="AN262" s="57">
        <v>12.25</v>
      </c>
      <c r="AO262" s="53">
        <v>36</v>
      </c>
      <c r="AP262" s="54">
        <v>10.7</v>
      </c>
      <c r="AQ262" s="54">
        <v>220</v>
      </c>
      <c r="AR262" s="54">
        <v>7.1</v>
      </c>
      <c r="AS262" s="57">
        <v>16.5</v>
      </c>
      <c r="AT262" s="56">
        <v>32</v>
      </c>
      <c r="AU262" s="57">
        <v>170</v>
      </c>
      <c r="AV262" s="56">
        <v>93.7255859375</v>
      </c>
      <c r="AW262" s="57">
        <v>355.59702987670897</v>
      </c>
      <c r="AX262" s="8"/>
      <c r="AZ262" s="1">
        <v>90</v>
      </c>
      <c r="BB262" s="82">
        <f t="shared" si="23"/>
        <v>24.972999999999999</v>
      </c>
    </row>
    <row r="263" spans="3:54" ht="15" customHeight="1" x14ac:dyDescent="0.25">
      <c r="C263" s="42"/>
      <c r="D263" s="43">
        <f>D256</f>
        <v>45768</v>
      </c>
      <c r="E263" s="44">
        <f t="shared" si="29"/>
        <v>20.833333333333307</v>
      </c>
      <c r="F263" s="45">
        <f t="shared" si="25"/>
        <v>45768.833333333932</v>
      </c>
      <c r="G263" s="52">
        <v>45</v>
      </c>
      <c r="H263" s="53">
        <v>37</v>
      </c>
      <c r="I263" s="54">
        <v>11</v>
      </c>
      <c r="J263" s="54">
        <v>400</v>
      </c>
      <c r="K263" s="55">
        <v>7.1</v>
      </c>
      <c r="L263" s="56">
        <v>37</v>
      </c>
      <c r="M263" s="54">
        <v>11</v>
      </c>
      <c r="N263" s="54">
        <v>500</v>
      </c>
      <c r="O263" s="57">
        <v>7.1</v>
      </c>
      <c r="P263" s="53">
        <v>37</v>
      </c>
      <c r="Q263" s="54">
        <v>0</v>
      </c>
      <c r="R263" s="55">
        <v>0</v>
      </c>
      <c r="S263" s="55">
        <v>7.8</v>
      </c>
      <c r="T263" s="57">
        <v>11.25</v>
      </c>
      <c r="U263" s="56">
        <v>37</v>
      </c>
      <c r="V263" s="54">
        <v>0</v>
      </c>
      <c r="W263" s="55">
        <v>0</v>
      </c>
      <c r="X263" s="55">
        <v>7.2</v>
      </c>
      <c r="Y263" s="57">
        <v>8.75</v>
      </c>
      <c r="Z263" s="53">
        <v>37</v>
      </c>
      <c r="AA263" s="54">
        <v>0</v>
      </c>
      <c r="AB263" s="55">
        <v>0</v>
      </c>
      <c r="AC263" s="55">
        <v>5.4</v>
      </c>
      <c r="AD263" s="57">
        <v>7.5</v>
      </c>
      <c r="AE263" s="56">
        <v>36</v>
      </c>
      <c r="AF263" s="54">
        <v>0</v>
      </c>
      <c r="AG263" s="55">
        <v>0</v>
      </c>
      <c r="AH263" s="55">
        <v>5.5</v>
      </c>
      <c r="AI263" s="57">
        <v>10</v>
      </c>
      <c r="AJ263" s="56">
        <v>35</v>
      </c>
      <c r="AK263" s="54">
        <v>0</v>
      </c>
      <c r="AL263" s="54">
        <v>0</v>
      </c>
      <c r="AM263" s="54">
        <v>7.9</v>
      </c>
      <c r="AN263" s="57">
        <v>12.5</v>
      </c>
      <c r="AO263" s="53">
        <v>35</v>
      </c>
      <c r="AP263" s="54">
        <v>10</v>
      </c>
      <c r="AQ263" s="54">
        <v>200</v>
      </c>
      <c r="AR263" s="54">
        <v>7.8</v>
      </c>
      <c r="AS263" s="57">
        <v>17.5</v>
      </c>
      <c r="AT263" s="56">
        <v>30</v>
      </c>
      <c r="AU263" s="57">
        <v>130</v>
      </c>
      <c r="AV263" s="56">
        <v>93.721511840820298</v>
      </c>
      <c r="AW263" s="57">
        <v>341.0068230946859</v>
      </c>
      <c r="AX263" s="8"/>
      <c r="AZ263" s="1">
        <v>90</v>
      </c>
      <c r="BB263" s="82">
        <f t="shared" si="23"/>
        <v>29.835000000000001</v>
      </c>
    </row>
    <row r="264" spans="3:54" ht="15" customHeight="1" x14ac:dyDescent="0.25">
      <c r="C264" s="42"/>
      <c r="D264" s="43">
        <f>D256</f>
        <v>45768</v>
      </c>
      <c r="E264" s="44">
        <f t="shared" si="29"/>
        <v>20.916666666666639</v>
      </c>
      <c r="F264" s="45">
        <f t="shared" si="25"/>
        <v>45768.916666667268</v>
      </c>
      <c r="G264" s="52">
        <v>41</v>
      </c>
      <c r="H264" s="53">
        <v>38</v>
      </c>
      <c r="I264" s="54">
        <v>11</v>
      </c>
      <c r="J264" s="54">
        <v>400</v>
      </c>
      <c r="K264" s="55">
        <v>7.3</v>
      </c>
      <c r="L264" s="56">
        <v>39</v>
      </c>
      <c r="M264" s="54">
        <v>11</v>
      </c>
      <c r="N264" s="54">
        <v>500</v>
      </c>
      <c r="O264" s="57">
        <v>7.4</v>
      </c>
      <c r="P264" s="53">
        <v>38</v>
      </c>
      <c r="Q264" s="54">
        <v>0</v>
      </c>
      <c r="R264" s="55">
        <v>0</v>
      </c>
      <c r="S264" s="55">
        <v>7.6</v>
      </c>
      <c r="T264" s="57">
        <v>12.5</v>
      </c>
      <c r="U264" s="56">
        <v>37</v>
      </c>
      <c r="V264" s="54">
        <v>0</v>
      </c>
      <c r="W264" s="55">
        <v>0</v>
      </c>
      <c r="X264" s="55">
        <v>7.4</v>
      </c>
      <c r="Y264" s="57">
        <v>8.75</v>
      </c>
      <c r="Z264" s="53">
        <v>37</v>
      </c>
      <c r="AA264" s="54">
        <v>0</v>
      </c>
      <c r="AB264" s="55">
        <v>0</v>
      </c>
      <c r="AC264" s="55">
        <v>5.3</v>
      </c>
      <c r="AD264" s="57">
        <v>6.25</v>
      </c>
      <c r="AE264" s="56">
        <v>36</v>
      </c>
      <c r="AF264" s="54">
        <v>0</v>
      </c>
      <c r="AG264" s="55">
        <v>0</v>
      </c>
      <c r="AH264" s="55">
        <v>5.7</v>
      </c>
      <c r="AI264" s="57">
        <v>8.75</v>
      </c>
      <c r="AJ264" s="56">
        <v>35</v>
      </c>
      <c r="AK264" s="54">
        <v>0</v>
      </c>
      <c r="AL264" s="54">
        <v>0</v>
      </c>
      <c r="AM264" s="54">
        <v>7.6</v>
      </c>
      <c r="AN264" s="57">
        <v>12.5</v>
      </c>
      <c r="AO264" s="53">
        <v>36</v>
      </c>
      <c r="AP264" s="54">
        <v>10</v>
      </c>
      <c r="AQ264" s="54">
        <v>200</v>
      </c>
      <c r="AR264" s="54">
        <v>7.5</v>
      </c>
      <c r="AS264" s="57">
        <v>17.5</v>
      </c>
      <c r="AT264" s="56">
        <v>30</v>
      </c>
      <c r="AU264" s="57">
        <v>130</v>
      </c>
      <c r="AV264" s="56">
        <v>93.790687561035199</v>
      </c>
      <c r="AW264" s="57">
        <v>336.32655868530276</v>
      </c>
      <c r="AX264" s="8"/>
      <c r="AZ264" s="1">
        <v>90</v>
      </c>
      <c r="BB264" s="82">
        <f t="shared" si="23"/>
        <v>29.282499999999999</v>
      </c>
    </row>
    <row r="265" spans="3:54" ht="15" customHeight="1" x14ac:dyDescent="0.25">
      <c r="C265" s="42"/>
      <c r="D265" s="43">
        <f>D256</f>
        <v>45768</v>
      </c>
      <c r="E265" s="44">
        <f t="shared" si="29"/>
        <v>20.999999999999972</v>
      </c>
      <c r="F265" s="45">
        <f t="shared" si="25"/>
        <v>45769.000000000604</v>
      </c>
      <c r="G265" s="52">
        <v>43</v>
      </c>
      <c r="H265" s="53">
        <v>40</v>
      </c>
      <c r="I265" s="54">
        <v>10</v>
      </c>
      <c r="J265" s="54">
        <v>300</v>
      </c>
      <c r="K265" s="55">
        <v>7.1</v>
      </c>
      <c r="L265" s="56">
        <v>38</v>
      </c>
      <c r="M265" s="54">
        <v>10</v>
      </c>
      <c r="N265" s="54">
        <v>500</v>
      </c>
      <c r="O265" s="57">
        <v>7.3</v>
      </c>
      <c r="P265" s="53">
        <v>38</v>
      </c>
      <c r="Q265" s="54">
        <v>0</v>
      </c>
      <c r="R265" s="55">
        <v>0</v>
      </c>
      <c r="S265" s="55">
        <v>7</v>
      </c>
      <c r="T265" s="57">
        <v>13.75</v>
      </c>
      <c r="U265" s="56">
        <v>37</v>
      </c>
      <c r="V265" s="54">
        <v>0</v>
      </c>
      <c r="W265" s="55">
        <v>0</v>
      </c>
      <c r="X265" s="55">
        <v>7.1</v>
      </c>
      <c r="Y265" s="57">
        <v>6.25</v>
      </c>
      <c r="Z265" s="53">
        <v>35</v>
      </c>
      <c r="AA265" s="54">
        <v>0</v>
      </c>
      <c r="AB265" s="55">
        <v>0</v>
      </c>
      <c r="AC265" s="55">
        <v>5.6</v>
      </c>
      <c r="AD265" s="57">
        <v>8.75</v>
      </c>
      <c r="AE265" s="56">
        <v>36</v>
      </c>
      <c r="AF265" s="54">
        <v>0</v>
      </c>
      <c r="AG265" s="55">
        <v>0</v>
      </c>
      <c r="AH265" s="55">
        <v>5.4</v>
      </c>
      <c r="AI265" s="57">
        <v>10</v>
      </c>
      <c r="AJ265" s="56">
        <v>35</v>
      </c>
      <c r="AK265" s="54">
        <v>0</v>
      </c>
      <c r="AL265" s="54">
        <v>0</v>
      </c>
      <c r="AM265" s="54">
        <v>7.5</v>
      </c>
      <c r="AN265" s="57">
        <v>9.25</v>
      </c>
      <c r="AO265" s="53">
        <v>35</v>
      </c>
      <c r="AP265" s="54">
        <v>10</v>
      </c>
      <c r="AQ265" s="54">
        <v>220</v>
      </c>
      <c r="AR265" s="54">
        <v>7.3</v>
      </c>
      <c r="AS265" s="57">
        <v>17.5</v>
      </c>
      <c r="AT265" s="56">
        <v>30</v>
      </c>
      <c r="AU265" s="57">
        <v>140</v>
      </c>
      <c r="AV265" s="56">
        <v>93.9453125</v>
      </c>
      <c r="AW265" s="57">
        <v>339.93393071492511</v>
      </c>
      <c r="AX265" s="8"/>
      <c r="AZ265" s="1">
        <v>90</v>
      </c>
      <c r="BB265" s="82">
        <f t="shared" si="23"/>
        <v>28.951000000000001</v>
      </c>
    </row>
    <row r="266" spans="3:54" ht="15" customHeight="1" x14ac:dyDescent="0.25">
      <c r="C266" s="42"/>
      <c r="D266" s="43">
        <f>D256</f>
        <v>45768</v>
      </c>
      <c r="E266" s="44">
        <f t="shared" si="29"/>
        <v>21.083333333333304</v>
      </c>
      <c r="F266" s="45">
        <f t="shared" si="25"/>
        <v>45769.08333333394</v>
      </c>
      <c r="G266" s="52" t="s">
        <v>38</v>
      </c>
      <c r="H266" s="53">
        <v>39</v>
      </c>
      <c r="I266" s="54">
        <v>10</v>
      </c>
      <c r="J266" s="54">
        <v>350</v>
      </c>
      <c r="K266" s="55">
        <v>7.1</v>
      </c>
      <c r="L266" s="56">
        <v>39</v>
      </c>
      <c r="M266" s="54">
        <v>10</v>
      </c>
      <c r="N266" s="54">
        <v>500</v>
      </c>
      <c r="O266" s="57">
        <v>7</v>
      </c>
      <c r="P266" s="53">
        <v>38</v>
      </c>
      <c r="Q266" s="54">
        <v>0</v>
      </c>
      <c r="R266" s="55">
        <v>0</v>
      </c>
      <c r="S266" s="55">
        <v>7.1</v>
      </c>
      <c r="T266" s="57">
        <v>13.75</v>
      </c>
      <c r="U266" s="56">
        <v>38</v>
      </c>
      <c r="V266" s="54">
        <v>0</v>
      </c>
      <c r="W266" s="55">
        <v>0</v>
      </c>
      <c r="X266" s="55">
        <v>7.2</v>
      </c>
      <c r="Y266" s="57">
        <v>6.25</v>
      </c>
      <c r="Z266" s="53">
        <v>37</v>
      </c>
      <c r="AA266" s="54">
        <v>0</v>
      </c>
      <c r="AB266" s="55">
        <v>0</v>
      </c>
      <c r="AC266" s="55">
        <v>5.3</v>
      </c>
      <c r="AD266" s="57">
        <v>8.5</v>
      </c>
      <c r="AE266" s="56">
        <v>36</v>
      </c>
      <c r="AF266" s="54">
        <v>0</v>
      </c>
      <c r="AG266" s="55">
        <v>0</v>
      </c>
      <c r="AH266" s="55">
        <v>5.5</v>
      </c>
      <c r="AI266" s="57">
        <v>10</v>
      </c>
      <c r="AJ266" s="56">
        <v>35</v>
      </c>
      <c r="AK266" s="54">
        <v>0</v>
      </c>
      <c r="AL266" s="54">
        <v>0</v>
      </c>
      <c r="AM266" s="54">
        <v>7.6</v>
      </c>
      <c r="AN266" s="57">
        <v>9.25</v>
      </c>
      <c r="AO266" s="53">
        <v>35</v>
      </c>
      <c r="AP266" s="54">
        <v>10</v>
      </c>
      <c r="AQ266" s="54">
        <v>220</v>
      </c>
      <c r="AR266" s="54">
        <v>7.5</v>
      </c>
      <c r="AS266" s="57">
        <v>17.25</v>
      </c>
      <c r="AT266" s="56" t="s">
        <v>38</v>
      </c>
      <c r="AU266" s="57" t="s">
        <v>38</v>
      </c>
      <c r="AV266" s="56">
        <v>68.672683715820298</v>
      </c>
      <c r="AW266" s="57">
        <v>218.47837163607281</v>
      </c>
      <c r="AX266" s="8"/>
      <c r="AZ266" s="1">
        <v>90</v>
      </c>
      <c r="BB266" s="82">
        <f t="shared" si="23"/>
        <v>28.73</v>
      </c>
    </row>
    <row r="267" spans="3:54" ht="15" customHeight="1" x14ac:dyDescent="0.25">
      <c r="C267" s="42"/>
      <c r="D267" s="69">
        <f>D256</f>
        <v>45768</v>
      </c>
      <c r="E267" s="70">
        <f t="shared" si="29"/>
        <v>21.166666666666636</v>
      </c>
      <c r="F267" s="71">
        <f t="shared" si="25"/>
        <v>45769.166666667275</v>
      </c>
      <c r="G267" s="60" t="s">
        <v>38</v>
      </c>
      <c r="H267" s="61">
        <v>39</v>
      </c>
      <c r="I267" s="62">
        <v>10</v>
      </c>
      <c r="J267" s="62">
        <v>350</v>
      </c>
      <c r="K267" s="63">
        <v>7</v>
      </c>
      <c r="L267" s="64">
        <v>39</v>
      </c>
      <c r="M267" s="62">
        <v>10</v>
      </c>
      <c r="N267" s="62">
        <v>500</v>
      </c>
      <c r="O267" s="65">
        <v>7.2</v>
      </c>
      <c r="P267" s="61">
        <v>37</v>
      </c>
      <c r="Q267" s="62">
        <v>0</v>
      </c>
      <c r="R267" s="63">
        <v>0</v>
      </c>
      <c r="S267" s="63">
        <v>7.3</v>
      </c>
      <c r="T267" s="65">
        <v>13.5</v>
      </c>
      <c r="U267" s="64">
        <v>37</v>
      </c>
      <c r="V267" s="62">
        <v>0</v>
      </c>
      <c r="W267" s="63">
        <v>0</v>
      </c>
      <c r="X267" s="63">
        <v>7.2</v>
      </c>
      <c r="Y267" s="65">
        <v>6.5</v>
      </c>
      <c r="Z267" s="61">
        <v>36</v>
      </c>
      <c r="AA267" s="62">
        <v>0</v>
      </c>
      <c r="AB267" s="63">
        <v>0</v>
      </c>
      <c r="AC267" s="63">
        <v>5.8</v>
      </c>
      <c r="AD267" s="65">
        <v>8.75</v>
      </c>
      <c r="AE267" s="64">
        <v>36</v>
      </c>
      <c r="AF267" s="62">
        <v>0</v>
      </c>
      <c r="AG267" s="63">
        <v>0</v>
      </c>
      <c r="AH267" s="63">
        <v>5.6</v>
      </c>
      <c r="AI267" s="65">
        <v>9.5</v>
      </c>
      <c r="AJ267" s="64">
        <v>36</v>
      </c>
      <c r="AK267" s="62">
        <v>0</v>
      </c>
      <c r="AL267" s="62">
        <v>0</v>
      </c>
      <c r="AM267" s="62">
        <v>7.5</v>
      </c>
      <c r="AN267" s="65">
        <v>8.75</v>
      </c>
      <c r="AO267" s="61">
        <v>35</v>
      </c>
      <c r="AP267" s="62">
        <v>10</v>
      </c>
      <c r="AQ267" s="62">
        <v>210</v>
      </c>
      <c r="AR267" s="62">
        <v>7.6</v>
      </c>
      <c r="AS267" s="65">
        <v>17.5</v>
      </c>
      <c r="AT267" s="64" t="s">
        <v>38</v>
      </c>
      <c r="AU267" s="65" t="s">
        <v>38</v>
      </c>
      <c r="AV267" s="64">
        <v>71.114089965820298</v>
      </c>
      <c r="AW267" s="65">
        <v>36.447000220596493</v>
      </c>
      <c r="AX267" s="8"/>
      <c r="AZ267" s="1">
        <v>90</v>
      </c>
      <c r="BB267" s="82">
        <f t="shared" si="23"/>
        <v>28.509</v>
      </c>
    </row>
    <row r="268" spans="3:54" ht="15" customHeight="1" x14ac:dyDescent="0.25">
      <c r="C268" s="42">
        <f>C256+1</f>
        <v>22</v>
      </c>
      <c r="D268" s="66">
        <f>DATE([4]Dash!$F$3,VLOOKUP([4]Dash!$E$3,[4]Abb!$C$3:$D$14,2,FALSE),C268)</f>
        <v>45769</v>
      </c>
      <c r="E268" s="67">
        <f>E267+2/24</f>
        <v>21.249999999999968</v>
      </c>
      <c r="F268" s="68">
        <f t="shared" si="25"/>
        <v>45769.250000000611</v>
      </c>
      <c r="G268" s="46" t="s">
        <v>38</v>
      </c>
      <c r="H268" s="47">
        <v>40</v>
      </c>
      <c r="I268" s="48">
        <v>10</v>
      </c>
      <c r="J268" s="48">
        <v>350</v>
      </c>
      <c r="K268" s="49">
        <v>7.3</v>
      </c>
      <c r="L268" s="50">
        <v>38</v>
      </c>
      <c r="M268" s="48">
        <v>10</v>
      </c>
      <c r="N268" s="48">
        <v>500</v>
      </c>
      <c r="O268" s="51">
        <v>7.1</v>
      </c>
      <c r="P268" s="47">
        <v>38</v>
      </c>
      <c r="Q268" s="48">
        <v>0</v>
      </c>
      <c r="R268" s="49">
        <v>0</v>
      </c>
      <c r="S268" s="49">
        <v>7.6</v>
      </c>
      <c r="T268" s="51">
        <v>13.75</v>
      </c>
      <c r="U268" s="50">
        <v>37</v>
      </c>
      <c r="V268" s="48">
        <v>0</v>
      </c>
      <c r="W268" s="49">
        <v>0</v>
      </c>
      <c r="X268" s="49">
        <v>7.1</v>
      </c>
      <c r="Y268" s="51">
        <v>6.25</v>
      </c>
      <c r="Z268" s="47">
        <v>37</v>
      </c>
      <c r="AA268" s="48">
        <v>0</v>
      </c>
      <c r="AB268" s="49">
        <v>0</v>
      </c>
      <c r="AC268" s="49">
        <v>5.4</v>
      </c>
      <c r="AD268" s="51">
        <v>8.75</v>
      </c>
      <c r="AE268" s="50">
        <v>36</v>
      </c>
      <c r="AF268" s="48">
        <v>0</v>
      </c>
      <c r="AG268" s="49">
        <v>0</v>
      </c>
      <c r="AH268" s="49">
        <v>5.4</v>
      </c>
      <c r="AI268" s="51">
        <v>10.25</v>
      </c>
      <c r="AJ268" s="50">
        <v>35</v>
      </c>
      <c r="AK268" s="48">
        <v>0</v>
      </c>
      <c r="AL268" s="48">
        <v>0</v>
      </c>
      <c r="AM268" s="48">
        <v>7.6</v>
      </c>
      <c r="AN268" s="51">
        <v>9.25</v>
      </c>
      <c r="AO268" s="47">
        <v>35</v>
      </c>
      <c r="AP268" s="48">
        <v>10</v>
      </c>
      <c r="AQ268" s="48">
        <v>220</v>
      </c>
      <c r="AR268" s="48">
        <v>7.3</v>
      </c>
      <c r="AS268" s="51">
        <v>17.5</v>
      </c>
      <c r="AT268" s="50" t="s">
        <v>38</v>
      </c>
      <c r="AU268" s="51" t="s">
        <v>38</v>
      </c>
      <c r="AV268" s="50">
        <v>71.044921875</v>
      </c>
      <c r="AW268" s="51">
        <v>0</v>
      </c>
      <c r="AX268" s="8"/>
      <c r="AZ268" s="1">
        <v>90</v>
      </c>
      <c r="BB268" s="82">
        <f t="shared" si="23"/>
        <v>29.061499999999999</v>
      </c>
    </row>
    <row r="269" spans="3:54" ht="15" customHeight="1" x14ac:dyDescent="0.25">
      <c r="C269" s="42"/>
      <c r="D269" s="43">
        <f>D268</f>
        <v>45769</v>
      </c>
      <c r="E269" s="44">
        <f>E268+2/24</f>
        <v>21.3333333333333</v>
      </c>
      <c r="F269" s="45">
        <f t="shared" si="25"/>
        <v>45769.333333333947</v>
      </c>
      <c r="G269" s="52">
        <v>0</v>
      </c>
      <c r="H269" s="53">
        <v>41</v>
      </c>
      <c r="I269" s="54">
        <v>10.9</v>
      </c>
      <c r="J269" s="54">
        <v>400</v>
      </c>
      <c r="K269" s="55">
        <v>6.7</v>
      </c>
      <c r="L269" s="56">
        <v>43</v>
      </c>
      <c r="M269" s="54">
        <v>10.7</v>
      </c>
      <c r="N269" s="54">
        <v>450</v>
      </c>
      <c r="O269" s="57">
        <v>6.3</v>
      </c>
      <c r="P269" s="53">
        <v>37</v>
      </c>
      <c r="Q269" s="54">
        <v>10.5</v>
      </c>
      <c r="R269" s="55">
        <v>0</v>
      </c>
      <c r="S269" s="55">
        <v>5.8</v>
      </c>
      <c r="T269" s="57">
        <v>12.5</v>
      </c>
      <c r="U269" s="56">
        <v>37</v>
      </c>
      <c r="V269" s="54">
        <v>10.5</v>
      </c>
      <c r="W269" s="55">
        <v>0</v>
      </c>
      <c r="X269" s="55">
        <v>5.4</v>
      </c>
      <c r="Y269" s="57">
        <v>7.75</v>
      </c>
      <c r="Z269" s="53">
        <v>38</v>
      </c>
      <c r="AA269" s="54">
        <v>10.5</v>
      </c>
      <c r="AB269" s="55">
        <v>0</v>
      </c>
      <c r="AC269" s="55">
        <v>5.3</v>
      </c>
      <c r="AD269" s="57">
        <v>7.5</v>
      </c>
      <c r="AE269" s="56">
        <v>36</v>
      </c>
      <c r="AF269" s="54">
        <v>10.3</v>
      </c>
      <c r="AG269" s="55">
        <v>0</v>
      </c>
      <c r="AH269" s="55">
        <v>5.2</v>
      </c>
      <c r="AI269" s="57">
        <v>8.75</v>
      </c>
      <c r="AJ269" s="56">
        <v>36</v>
      </c>
      <c r="AK269" s="54">
        <v>10.199999999999999</v>
      </c>
      <c r="AL269" s="54">
        <v>0</v>
      </c>
      <c r="AM269" s="54">
        <v>6.2</v>
      </c>
      <c r="AN269" s="57">
        <v>7.5</v>
      </c>
      <c r="AO269" s="53">
        <v>37</v>
      </c>
      <c r="AP269" s="54">
        <v>10.3</v>
      </c>
      <c r="AQ269" s="54">
        <v>200</v>
      </c>
      <c r="AR269" s="54">
        <v>6.4</v>
      </c>
      <c r="AS269" s="57">
        <v>16.25</v>
      </c>
      <c r="AT269" s="56">
        <v>29</v>
      </c>
      <c r="AU269" s="57">
        <v>180</v>
      </c>
      <c r="AV269" s="56">
        <v>71.05712890625</v>
      </c>
      <c r="AW269" s="57">
        <v>0</v>
      </c>
      <c r="AX269" s="8"/>
      <c r="AZ269" s="1">
        <v>90</v>
      </c>
      <c r="BB269" s="82">
        <f t="shared" si="23"/>
        <v>26.630500000000001</v>
      </c>
    </row>
    <row r="270" spans="3:54" ht="15" customHeight="1" x14ac:dyDescent="0.25">
      <c r="C270" s="42"/>
      <c r="D270" s="43">
        <f>D268</f>
        <v>45769</v>
      </c>
      <c r="E270" s="44">
        <f t="shared" ref="E270:E279" si="30">E269+2/24</f>
        <v>21.416666666666632</v>
      </c>
      <c r="F270" s="45">
        <f t="shared" si="25"/>
        <v>45769.416666667283</v>
      </c>
      <c r="G270" s="52">
        <v>40</v>
      </c>
      <c r="H270" s="53">
        <v>40</v>
      </c>
      <c r="I270" s="54">
        <v>10</v>
      </c>
      <c r="J270" s="54">
        <v>400</v>
      </c>
      <c r="K270" s="55">
        <v>6.5</v>
      </c>
      <c r="L270" s="56">
        <v>42</v>
      </c>
      <c r="M270" s="54">
        <v>10</v>
      </c>
      <c r="N270" s="54">
        <v>450</v>
      </c>
      <c r="O270" s="57">
        <v>6.1</v>
      </c>
      <c r="P270" s="53">
        <v>0</v>
      </c>
      <c r="Q270" s="54">
        <v>0</v>
      </c>
      <c r="R270" s="55">
        <v>0</v>
      </c>
      <c r="S270" s="55">
        <v>0</v>
      </c>
      <c r="T270" s="57">
        <v>0</v>
      </c>
      <c r="U270" s="56">
        <v>37</v>
      </c>
      <c r="V270" s="54">
        <v>0</v>
      </c>
      <c r="W270" s="55">
        <v>0</v>
      </c>
      <c r="X270" s="55">
        <v>5.6</v>
      </c>
      <c r="Y270" s="57">
        <v>7.5</v>
      </c>
      <c r="Z270" s="53">
        <v>37</v>
      </c>
      <c r="AA270" s="54">
        <v>0</v>
      </c>
      <c r="AB270" s="55">
        <v>0</v>
      </c>
      <c r="AC270" s="55">
        <v>5.2</v>
      </c>
      <c r="AD270" s="57">
        <v>7.5</v>
      </c>
      <c r="AE270" s="56">
        <v>36</v>
      </c>
      <c r="AF270" s="54">
        <v>0</v>
      </c>
      <c r="AG270" s="55">
        <v>0</v>
      </c>
      <c r="AH270" s="55">
        <v>5.3</v>
      </c>
      <c r="AI270" s="57">
        <v>7.25</v>
      </c>
      <c r="AJ270" s="56">
        <v>25</v>
      </c>
      <c r="AK270" s="54">
        <v>0</v>
      </c>
      <c r="AL270" s="54">
        <v>0</v>
      </c>
      <c r="AM270" s="54">
        <v>6.1</v>
      </c>
      <c r="AN270" s="57">
        <v>7.75</v>
      </c>
      <c r="AO270" s="53">
        <v>37</v>
      </c>
      <c r="AP270" s="54">
        <v>10</v>
      </c>
      <c r="AQ270" s="54">
        <v>200</v>
      </c>
      <c r="AR270" s="54">
        <v>6.5</v>
      </c>
      <c r="AS270" s="57">
        <v>16.5</v>
      </c>
      <c r="AT270" s="56">
        <v>31</v>
      </c>
      <c r="AU270" s="57">
        <v>170</v>
      </c>
      <c r="AV270" s="56">
        <v>87.569168090820298</v>
      </c>
      <c r="AW270" s="57">
        <v>119.95707963307699</v>
      </c>
      <c r="AX270" s="8"/>
      <c r="AZ270" s="1">
        <v>90</v>
      </c>
      <c r="BB270" s="82">
        <f t="shared" si="23"/>
        <v>20.553000000000001</v>
      </c>
    </row>
    <row r="271" spans="3:54" ht="15" customHeight="1" x14ac:dyDescent="0.25">
      <c r="C271" s="42"/>
      <c r="D271" s="43">
        <f>D268</f>
        <v>45769</v>
      </c>
      <c r="E271" s="44">
        <f t="shared" si="30"/>
        <v>21.499999999999964</v>
      </c>
      <c r="F271" s="45">
        <f t="shared" si="25"/>
        <v>45769.500000000618</v>
      </c>
      <c r="G271" s="52">
        <v>40</v>
      </c>
      <c r="H271" s="53">
        <v>42</v>
      </c>
      <c r="I271" s="54">
        <v>10</v>
      </c>
      <c r="J271" s="54">
        <v>450</v>
      </c>
      <c r="K271" s="55">
        <v>6.4</v>
      </c>
      <c r="L271" s="56">
        <v>41</v>
      </c>
      <c r="M271" s="54">
        <v>10</v>
      </c>
      <c r="N271" s="54">
        <v>500</v>
      </c>
      <c r="O271" s="57">
        <v>6.2</v>
      </c>
      <c r="P271" s="53">
        <v>0</v>
      </c>
      <c r="Q271" s="54">
        <v>0</v>
      </c>
      <c r="R271" s="55">
        <v>0</v>
      </c>
      <c r="S271" s="55">
        <v>0</v>
      </c>
      <c r="T271" s="57">
        <v>0</v>
      </c>
      <c r="U271" s="56">
        <v>38</v>
      </c>
      <c r="V271" s="54">
        <v>0</v>
      </c>
      <c r="W271" s="55">
        <v>0</v>
      </c>
      <c r="X271" s="55">
        <v>5.4</v>
      </c>
      <c r="Y271" s="57">
        <v>6</v>
      </c>
      <c r="Z271" s="53">
        <v>38</v>
      </c>
      <c r="AA271" s="54">
        <v>0</v>
      </c>
      <c r="AB271" s="55">
        <v>0</v>
      </c>
      <c r="AC271" s="55">
        <v>5</v>
      </c>
      <c r="AD271" s="57">
        <v>6</v>
      </c>
      <c r="AE271" s="56">
        <v>37</v>
      </c>
      <c r="AF271" s="54">
        <v>0</v>
      </c>
      <c r="AG271" s="55">
        <v>0</v>
      </c>
      <c r="AH271" s="55">
        <v>5.0999999999999996</v>
      </c>
      <c r="AI271" s="57">
        <v>8.25</v>
      </c>
      <c r="AJ271" s="56">
        <v>36</v>
      </c>
      <c r="AK271" s="54">
        <v>0</v>
      </c>
      <c r="AL271" s="54">
        <v>0</v>
      </c>
      <c r="AM271" s="54">
        <v>6.4</v>
      </c>
      <c r="AN271" s="57">
        <v>7.5</v>
      </c>
      <c r="AO271" s="53">
        <v>47</v>
      </c>
      <c r="AP271" s="54">
        <v>10</v>
      </c>
      <c r="AQ271" s="54">
        <v>200</v>
      </c>
      <c r="AR271" s="54">
        <v>6.2</v>
      </c>
      <c r="AS271" s="57">
        <v>16.5</v>
      </c>
      <c r="AT271" s="56">
        <v>31</v>
      </c>
      <c r="AU271" s="57">
        <v>170</v>
      </c>
      <c r="AV271" s="56">
        <v>95.064285278320298</v>
      </c>
      <c r="AW271" s="57">
        <v>231.52813853813956</v>
      </c>
      <c r="AX271" s="8"/>
      <c r="AZ271" s="1">
        <v>90</v>
      </c>
      <c r="BB271" s="82">
        <f t="shared" si="23"/>
        <v>19.558499999999999</v>
      </c>
    </row>
    <row r="272" spans="3:54" ht="15" customHeight="1" x14ac:dyDescent="0.25">
      <c r="C272" s="42"/>
      <c r="D272" s="43">
        <f>D268</f>
        <v>45769</v>
      </c>
      <c r="E272" s="44">
        <f t="shared" si="30"/>
        <v>21.583333333333297</v>
      </c>
      <c r="F272" s="45">
        <f t="shared" si="25"/>
        <v>45769.583333333954</v>
      </c>
      <c r="G272" s="52">
        <v>41</v>
      </c>
      <c r="H272" s="53">
        <v>42</v>
      </c>
      <c r="I272" s="54">
        <v>10</v>
      </c>
      <c r="J272" s="54">
        <v>500</v>
      </c>
      <c r="K272" s="55">
        <v>6.2</v>
      </c>
      <c r="L272" s="56">
        <v>41</v>
      </c>
      <c r="M272" s="54">
        <v>10</v>
      </c>
      <c r="N272" s="54">
        <v>500</v>
      </c>
      <c r="O272" s="57">
        <v>6.1</v>
      </c>
      <c r="P272" s="53">
        <v>0</v>
      </c>
      <c r="Q272" s="54">
        <v>0</v>
      </c>
      <c r="R272" s="55">
        <v>0</v>
      </c>
      <c r="S272" s="55">
        <v>0</v>
      </c>
      <c r="T272" s="57">
        <v>0</v>
      </c>
      <c r="U272" s="56">
        <v>38</v>
      </c>
      <c r="V272" s="54">
        <v>0</v>
      </c>
      <c r="W272" s="55">
        <v>0</v>
      </c>
      <c r="X272" s="55">
        <v>5.2</v>
      </c>
      <c r="Y272" s="57">
        <v>6.25</v>
      </c>
      <c r="Z272" s="53">
        <v>37</v>
      </c>
      <c r="AA272" s="54">
        <v>0</v>
      </c>
      <c r="AB272" s="55">
        <v>0</v>
      </c>
      <c r="AC272" s="55">
        <v>5.6</v>
      </c>
      <c r="AD272" s="57">
        <v>6.25</v>
      </c>
      <c r="AE272" s="56">
        <v>36</v>
      </c>
      <c r="AF272" s="54">
        <v>0</v>
      </c>
      <c r="AG272" s="55">
        <v>0</v>
      </c>
      <c r="AH272" s="55">
        <v>5</v>
      </c>
      <c r="AI272" s="57">
        <v>6.25</v>
      </c>
      <c r="AJ272" s="56">
        <v>38</v>
      </c>
      <c r="AK272" s="54">
        <v>0</v>
      </c>
      <c r="AL272" s="54">
        <v>0</v>
      </c>
      <c r="AM272" s="54">
        <v>6.7</v>
      </c>
      <c r="AN272" s="57">
        <v>7.75</v>
      </c>
      <c r="AO272" s="53">
        <v>39</v>
      </c>
      <c r="AP272" s="54">
        <v>10</v>
      </c>
      <c r="AQ272" s="54">
        <v>190</v>
      </c>
      <c r="AR272" s="54">
        <v>6.4</v>
      </c>
      <c r="AS272" s="57">
        <v>16.25</v>
      </c>
      <c r="AT272" s="56">
        <v>32</v>
      </c>
      <c r="AU272" s="57">
        <v>170</v>
      </c>
      <c r="AV272" s="56">
        <v>95.084632873535199</v>
      </c>
      <c r="AW272" s="57">
        <v>261.72321066795848</v>
      </c>
      <c r="AX272" s="8"/>
      <c r="AZ272" s="1">
        <v>90</v>
      </c>
      <c r="BB272" s="82">
        <f t="shared" si="23"/>
        <v>18.895499999999998</v>
      </c>
    </row>
    <row r="273" spans="3:54" ht="15" customHeight="1" x14ac:dyDescent="0.25">
      <c r="C273" s="42"/>
      <c r="D273" s="43">
        <f>D268</f>
        <v>45769</v>
      </c>
      <c r="E273" s="44">
        <f t="shared" si="30"/>
        <v>21.666666666666629</v>
      </c>
      <c r="F273" s="45">
        <f t="shared" si="25"/>
        <v>45769.66666666729</v>
      </c>
      <c r="G273" s="52">
        <v>37</v>
      </c>
      <c r="H273" s="53">
        <v>41</v>
      </c>
      <c r="I273" s="54">
        <v>11</v>
      </c>
      <c r="J273" s="54">
        <v>500</v>
      </c>
      <c r="K273" s="55">
        <v>6</v>
      </c>
      <c r="L273" s="56">
        <v>40</v>
      </c>
      <c r="M273" s="54">
        <v>10</v>
      </c>
      <c r="N273" s="54">
        <v>500</v>
      </c>
      <c r="O273" s="57">
        <v>6.4</v>
      </c>
      <c r="P273" s="53">
        <v>0</v>
      </c>
      <c r="Q273" s="54">
        <v>0</v>
      </c>
      <c r="R273" s="55">
        <v>0</v>
      </c>
      <c r="S273" s="55">
        <v>0</v>
      </c>
      <c r="T273" s="57">
        <v>0</v>
      </c>
      <c r="U273" s="56">
        <v>40</v>
      </c>
      <c r="V273" s="54">
        <v>0</v>
      </c>
      <c r="W273" s="55">
        <v>0</v>
      </c>
      <c r="X273" s="55">
        <v>6.6</v>
      </c>
      <c r="Y273" s="57">
        <v>6.25</v>
      </c>
      <c r="Z273" s="53">
        <v>39</v>
      </c>
      <c r="AA273" s="54">
        <v>0</v>
      </c>
      <c r="AB273" s="55">
        <v>0</v>
      </c>
      <c r="AC273" s="55">
        <v>5.5</v>
      </c>
      <c r="AD273" s="57">
        <v>6.25</v>
      </c>
      <c r="AE273" s="56">
        <v>37</v>
      </c>
      <c r="AF273" s="54">
        <v>0</v>
      </c>
      <c r="AG273" s="55">
        <v>0</v>
      </c>
      <c r="AH273" s="55">
        <v>5.7</v>
      </c>
      <c r="AI273" s="57">
        <v>6.25</v>
      </c>
      <c r="AJ273" s="56">
        <v>38</v>
      </c>
      <c r="AK273" s="54">
        <v>0</v>
      </c>
      <c r="AL273" s="54">
        <v>0</v>
      </c>
      <c r="AM273" s="54">
        <v>7</v>
      </c>
      <c r="AN273" s="57">
        <v>7.5</v>
      </c>
      <c r="AO273" s="53">
        <v>40</v>
      </c>
      <c r="AP273" s="54">
        <v>10</v>
      </c>
      <c r="AQ273" s="54">
        <v>180</v>
      </c>
      <c r="AR273" s="54">
        <v>6.2</v>
      </c>
      <c r="AS273" s="57">
        <v>16.25</v>
      </c>
      <c r="AT273" s="56">
        <v>33</v>
      </c>
      <c r="AU273" s="57">
        <v>160</v>
      </c>
      <c r="AV273" s="56">
        <v>95.133460998535199</v>
      </c>
      <c r="AW273" s="57">
        <v>264.26998984272745</v>
      </c>
      <c r="AX273" s="8"/>
      <c r="AZ273" s="1">
        <v>90</v>
      </c>
      <c r="BB273" s="82">
        <f t="shared" ref="BB273:BB336" si="31">((T273*442)+(Y273*442)+(AD273*442)+(AI273*442)+(AN273*442)+(AS273*442))/1000</f>
        <v>18.785</v>
      </c>
    </row>
    <row r="274" spans="3:54" ht="15" customHeight="1" x14ac:dyDescent="0.25">
      <c r="C274" s="42"/>
      <c r="D274" s="43">
        <f>D268</f>
        <v>45769</v>
      </c>
      <c r="E274" s="44">
        <f t="shared" si="30"/>
        <v>21.749999999999961</v>
      </c>
      <c r="F274" s="45">
        <f t="shared" ref="F274:F337" si="32">F273+(E274-E273)</f>
        <v>45769.750000000626</v>
      </c>
      <c r="G274" s="52">
        <v>44</v>
      </c>
      <c r="H274" s="53">
        <v>42</v>
      </c>
      <c r="I274" s="54">
        <v>10</v>
      </c>
      <c r="J274" s="54">
        <v>500</v>
      </c>
      <c r="K274" s="55">
        <v>6.1</v>
      </c>
      <c r="L274" s="56">
        <v>41</v>
      </c>
      <c r="M274" s="54">
        <v>10</v>
      </c>
      <c r="N274" s="54">
        <v>550</v>
      </c>
      <c r="O274" s="57">
        <v>6.3</v>
      </c>
      <c r="P274" s="53">
        <v>38</v>
      </c>
      <c r="Q274" s="54">
        <v>0</v>
      </c>
      <c r="R274" s="55">
        <v>0</v>
      </c>
      <c r="S274" s="55">
        <v>6.1</v>
      </c>
      <c r="T274" s="57">
        <v>13.75</v>
      </c>
      <c r="U274" s="56">
        <v>40</v>
      </c>
      <c r="V274" s="54">
        <v>0</v>
      </c>
      <c r="W274" s="55">
        <v>0</v>
      </c>
      <c r="X274" s="55">
        <v>6.2</v>
      </c>
      <c r="Y274" s="57">
        <v>11.5</v>
      </c>
      <c r="Z274" s="53">
        <v>3.9</v>
      </c>
      <c r="AA274" s="54">
        <v>0</v>
      </c>
      <c r="AB274" s="55">
        <v>0</v>
      </c>
      <c r="AC274" s="55">
        <v>5.7</v>
      </c>
      <c r="AD274" s="57">
        <v>6.75</v>
      </c>
      <c r="AE274" s="56">
        <v>38</v>
      </c>
      <c r="AF274" s="54">
        <v>0</v>
      </c>
      <c r="AG274" s="55">
        <v>0</v>
      </c>
      <c r="AH274" s="55">
        <v>5.9</v>
      </c>
      <c r="AI274" s="57">
        <v>6.5</v>
      </c>
      <c r="AJ274" s="56">
        <v>38</v>
      </c>
      <c r="AK274" s="54">
        <v>0</v>
      </c>
      <c r="AL274" s="54">
        <v>0</v>
      </c>
      <c r="AM274" s="54">
        <v>6.9</v>
      </c>
      <c r="AN274" s="57">
        <v>10</v>
      </c>
      <c r="AO274" s="53">
        <v>39</v>
      </c>
      <c r="AP274" s="54">
        <v>10</v>
      </c>
      <c r="AQ274" s="54">
        <v>180</v>
      </c>
      <c r="AR274" s="54">
        <v>6.4</v>
      </c>
      <c r="AS274" s="57">
        <v>15</v>
      </c>
      <c r="AT274" s="56">
        <v>34</v>
      </c>
      <c r="AU274" s="57">
        <v>150</v>
      </c>
      <c r="AV274" s="56">
        <v>95.096839904785199</v>
      </c>
      <c r="AW274" s="57">
        <v>266.65231940315573</v>
      </c>
      <c r="AX274" s="8"/>
      <c r="AZ274" s="1">
        <v>90</v>
      </c>
      <c r="BB274" s="82">
        <f t="shared" si="31"/>
        <v>28.067</v>
      </c>
    </row>
    <row r="275" spans="3:54" ht="15" customHeight="1" x14ac:dyDescent="0.25">
      <c r="C275" s="42"/>
      <c r="D275" s="43">
        <f>D268</f>
        <v>45769</v>
      </c>
      <c r="E275" s="44">
        <f t="shared" si="30"/>
        <v>21.833333333333293</v>
      </c>
      <c r="F275" s="45">
        <f t="shared" si="32"/>
        <v>45769.833333333961</v>
      </c>
      <c r="G275" s="52">
        <v>46</v>
      </c>
      <c r="H275" s="53">
        <v>40</v>
      </c>
      <c r="I275" s="54">
        <v>10</v>
      </c>
      <c r="J275" s="54">
        <v>450</v>
      </c>
      <c r="K275" s="55">
        <v>7</v>
      </c>
      <c r="L275" s="56">
        <v>40</v>
      </c>
      <c r="M275" s="54">
        <v>10</v>
      </c>
      <c r="N275" s="54">
        <v>450</v>
      </c>
      <c r="O275" s="57">
        <v>7</v>
      </c>
      <c r="P275" s="53">
        <v>39</v>
      </c>
      <c r="Q275" s="54">
        <v>0</v>
      </c>
      <c r="R275" s="55">
        <v>0</v>
      </c>
      <c r="S275" s="55">
        <v>4.9000000000000004</v>
      </c>
      <c r="T275" s="57">
        <v>13.75</v>
      </c>
      <c r="U275" s="56">
        <v>40</v>
      </c>
      <c r="V275" s="54">
        <v>0</v>
      </c>
      <c r="W275" s="55">
        <v>0</v>
      </c>
      <c r="X275" s="55">
        <v>5.6</v>
      </c>
      <c r="Y275" s="57">
        <v>12.5</v>
      </c>
      <c r="Z275" s="53">
        <v>38</v>
      </c>
      <c r="AA275" s="54">
        <v>0</v>
      </c>
      <c r="AB275" s="55">
        <v>0</v>
      </c>
      <c r="AC275" s="55">
        <v>4.5</v>
      </c>
      <c r="AD275" s="57">
        <v>8.75</v>
      </c>
      <c r="AE275" s="56">
        <v>38</v>
      </c>
      <c r="AF275" s="54">
        <v>0</v>
      </c>
      <c r="AG275" s="55">
        <v>0</v>
      </c>
      <c r="AH275" s="55">
        <v>5.0999999999999996</v>
      </c>
      <c r="AI275" s="57">
        <v>6.25</v>
      </c>
      <c r="AJ275" s="56">
        <v>37</v>
      </c>
      <c r="AK275" s="54">
        <v>0</v>
      </c>
      <c r="AL275" s="54">
        <v>0</v>
      </c>
      <c r="AM275" s="54">
        <v>6.5</v>
      </c>
      <c r="AN275" s="57">
        <v>11.75</v>
      </c>
      <c r="AO275" s="53">
        <v>35</v>
      </c>
      <c r="AP275" s="54">
        <v>10</v>
      </c>
      <c r="AQ275" s="54">
        <v>170</v>
      </c>
      <c r="AR275" s="54">
        <v>7.1</v>
      </c>
      <c r="AS275" s="57">
        <v>18</v>
      </c>
      <c r="AT275" s="56">
        <v>33</v>
      </c>
      <c r="AU275" s="57">
        <v>140</v>
      </c>
      <c r="AV275" s="56">
        <v>88.724769592285199</v>
      </c>
      <c r="AW275" s="57">
        <v>304.79251040709204</v>
      </c>
      <c r="AX275" s="8"/>
      <c r="AZ275" s="1">
        <v>90</v>
      </c>
      <c r="BB275" s="82">
        <f t="shared" si="31"/>
        <v>31.382000000000001</v>
      </c>
    </row>
    <row r="276" spans="3:54" ht="15" customHeight="1" x14ac:dyDescent="0.25">
      <c r="C276" s="42"/>
      <c r="D276" s="43">
        <f>D268</f>
        <v>45769</v>
      </c>
      <c r="E276" s="44">
        <f t="shared" si="30"/>
        <v>21.916666666666625</v>
      </c>
      <c r="F276" s="45">
        <f t="shared" si="32"/>
        <v>45769.916666667297</v>
      </c>
      <c r="G276" s="52">
        <v>39</v>
      </c>
      <c r="H276" s="53">
        <v>41</v>
      </c>
      <c r="I276" s="54">
        <v>10</v>
      </c>
      <c r="J276" s="54">
        <v>450</v>
      </c>
      <c r="K276" s="55">
        <v>7.1</v>
      </c>
      <c r="L276" s="56">
        <v>40</v>
      </c>
      <c r="M276" s="54">
        <v>10</v>
      </c>
      <c r="N276" s="54">
        <v>450</v>
      </c>
      <c r="O276" s="57">
        <v>7.3</v>
      </c>
      <c r="P276" s="53">
        <v>38</v>
      </c>
      <c r="Q276" s="54">
        <v>0</v>
      </c>
      <c r="R276" s="55">
        <v>0</v>
      </c>
      <c r="S276" s="55">
        <v>5.0999999999999996</v>
      </c>
      <c r="T276" s="57">
        <v>16.25</v>
      </c>
      <c r="U276" s="56">
        <v>39</v>
      </c>
      <c r="V276" s="54">
        <v>0</v>
      </c>
      <c r="W276" s="55">
        <v>0</v>
      </c>
      <c r="X276" s="55">
        <v>5.2</v>
      </c>
      <c r="Y276" s="57">
        <v>8.75</v>
      </c>
      <c r="Z276" s="53">
        <v>37</v>
      </c>
      <c r="AA276" s="54">
        <v>0</v>
      </c>
      <c r="AB276" s="55">
        <v>0</v>
      </c>
      <c r="AC276" s="55">
        <v>4.9000000000000004</v>
      </c>
      <c r="AD276" s="57">
        <v>8.5</v>
      </c>
      <c r="AE276" s="56">
        <v>39</v>
      </c>
      <c r="AF276" s="54">
        <v>0</v>
      </c>
      <c r="AG276" s="55">
        <v>0</v>
      </c>
      <c r="AH276" s="55">
        <v>5.2</v>
      </c>
      <c r="AI276" s="57">
        <v>10</v>
      </c>
      <c r="AJ276" s="56">
        <v>36</v>
      </c>
      <c r="AK276" s="54">
        <v>0</v>
      </c>
      <c r="AL276" s="54">
        <v>0</v>
      </c>
      <c r="AM276" s="54">
        <v>6.3</v>
      </c>
      <c r="AN276" s="57">
        <v>8.75</v>
      </c>
      <c r="AO276" s="53">
        <v>35</v>
      </c>
      <c r="AP276" s="54">
        <v>10</v>
      </c>
      <c r="AQ276" s="54">
        <v>160</v>
      </c>
      <c r="AR276" s="54">
        <v>6.9</v>
      </c>
      <c r="AS276" s="57">
        <v>17.5</v>
      </c>
      <c r="AT276" s="56">
        <v>30</v>
      </c>
      <c r="AU276" s="57">
        <v>140</v>
      </c>
      <c r="AV276" s="56">
        <v>89.306640625</v>
      </c>
      <c r="AW276" s="57">
        <v>358.34032643636067</v>
      </c>
      <c r="AX276" s="8"/>
      <c r="AZ276" s="1">
        <v>90</v>
      </c>
      <c r="BB276" s="82">
        <f t="shared" si="31"/>
        <v>30.829499999999999</v>
      </c>
    </row>
    <row r="277" spans="3:54" ht="15" customHeight="1" x14ac:dyDescent="0.25">
      <c r="C277" s="42"/>
      <c r="D277" s="43">
        <f>D268</f>
        <v>45769</v>
      </c>
      <c r="E277" s="44">
        <f t="shared" si="30"/>
        <v>21.999999999999957</v>
      </c>
      <c r="F277" s="45">
        <f t="shared" si="32"/>
        <v>45770.000000000633</v>
      </c>
      <c r="G277" s="52">
        <v>40</v>
      </c>
      <c r="H277" s="53">
        <v>38</v>
      </c>
      <c r="I277" s="54">
        <v>10</v>
      </c>
      <c r="J277" s="54">
        <v>600</v>
      </c>
      <c r="K277" s="55">
        <v>7</v>
      </c>
      <c r="L277" s="56">
        <v>39</v>
      </c>
      <c r="M277" s="54">
        <v>10</v>
      </c>
      <c r="N277" s="54">
        <v>500</v>
      </c>
      <c r="O277" s="57">
        <v>7.1</v>
      </c>
      <c r="P277" s="53">
        <v>41</v>
      </c>
      <c r="Q277" s="54">
        <v>0</v>
      </c>
      <c r="R277" s="55">
        <v>0</v>
      </c>
      <c r="S277" s="55">
        <v>6.1</v>
      </c>
      <c r="T277" s="57">
        <v>16.5</v>
      </c>
      <c r="U277" s="56">
        <v>42</v>
      </c>
      <c r="V277" s="54">
        <v>0</v>
      </c>
      <c r="W277" s="55">
        <v>0</v>
      </c>
      <c r="X277" s="55">
        <v>5.3</v>
      </c>
      <c r="Y277" s="57">
        <v>11.25</v>
      </c>
      <c r="Z277" s="53">
        <v>39</v>
      </c>
      <c r="AA277" s="54">
        <v>0</v>
      </c>
      <c r="AB277" s="55">
        <v>0</v>
      </c>
      <c r="AC277" s="55">
        <v>5.0999999999999996</v>
      </c>
      <c r="AD277" s="57">
        <v>6.25</v>
      </c>
      <c r="AE277" s="56">
        <v>39</v>
      </c>
      <c r="AF277" s="54">
        <v>0</v>
      </c>
      <c r="AG277" s="55">
        <v>0</v>
      </c>
      <c r="AH277" s="55">
        <v>5.5</v>
      </c>
      <c r="AI277" s="57">
        <v>10</v>
      </c>
      <c r="AJ277" s="56">
        <v>38</v>
      </c>
      <c r="AK277" s="54">
        <v>0</v>
      </c>
      <c r="AL277" s="54">
        <v>0</v>
      </c>
      <c r="AM277" s="54">
        <v>6.5</v>
      </c>
      <c r="AN277" s="57">
        <v>13.75</v>
      </c>
      <c r="AO277" s="53">
        <v>38</v>
      </c>
      <c r="AP277" s="54">
        <v>10</v>
      </c>
      <c r="AQ277" s="54">
        <v>170</v>
      </c>
      <c r="AR277" s="54">
        <v>6.7</v>
      </c>
      <c r="AS277" s="57">
        <v>13.25</v>
      </c>
      <c r="AT277" s="56">
        <v>30</v>
      </c>
      <c r="AU277" s="57">
        <v>140</v>
      </c>
      <c r="AV277" s="56">
        <v>89.168289184570298</v>
      </c>
      <c r="AW277" s="57">
        <v>354.87871246337892</v>
      </c>
      <c r="AX277" s="8"/>
      <c r="AZ277" s="1">
        <v>90</v>
      </c>
      <c r="BB277" s="82">
        <f t="shared" si="31"/>
        <v>31.382000000000001</v>
      </c>
    </row>
    <row r="278" spans="3:54" ht="15" customHeight="1" x14ac:dyDescent="0.25">
      <c r="C278" s="42"/>
      <c r="D278" s="43">
        <f>D268</f>
        <v>45769</v>
      </c>
      <c r="E278" s="44">
        <f t="shared" si="30"/>
        <v>22.08333333333329</v>
      </c>
      <c r="F278" s="45">
        <f t="shared" si="32"/>
        <v>45770.083333333969</v>
      </c>
      <c r="G278" s="52">
        <v>39</v>
      </c>
      <c r="H278" s="53">
        <v>39</v>
      </c>
      <c r="I278" s="54">
        <v>10</v>
      </c>
      <c r="J278" s="54">
        <v>500</v>
      </c>
      <c r="K278" s="55">
        <v>7.3</v>
      </c>
      <c r="L278" s="56">
        <v>38</v>
      </c>
      <c r="M278" s="54">
        <v>10</v>
      </c>
      <c r="N278" s="54">
        <v>450</v>
      </c>
      <c r="O278" s="57">
        <v>7</v>
      </c>
      <c r="P278" s="53">
        <v>37</v>
      </c>
      <c r="Q278" s="54">
        <v>0</v>
      </c>
      <c r="R278" s="55">
        <v>0</v>
      </c>
      <c r="S278" s="55">
        <v>6.3</v>
      </c>
      <c r="T278" s="57">
        <v>16.75</v>
      </c>
      <c r="U278" s="56">
        <v>38</v>
      </c>
      <c r="V278" s="54">
        <v>0</v>
      </c>
      <c r="W278" s="55">
        <v>0</v>
      </c>
      <c r="X278" s="55">
        <v>5.8</v>
      </c>
      <c r="Y278" s="57">
        <v>11.75</v>
      </c>
      <c r="Z278" s="53">
        <v>38</v>
      </c>
      <c r="AA278" s="54">
        <v>0</v>
      </c>
      <c r="AB278" s="55">
        <v>0</v>
      </c>
      <c r="AC278" s="55">
        <v>5.3</v>
      </c>
      <c r="AD278" s="57">
        <v>6.5</v>
      </c>
      <c r="AE278" s="56">
        <v>36</v>
      </c>
      <c r="AF278" s="54">
        <v>0</v>
      </c>
      <c r="AG278" s="55">
        <v>0</v>
      </c>
      <c r="AH278" s="55">
        <v>5.4</v>
      </c>
      <c r="AI278" s="57">
        <v>10.5</v>
      </c>
      <c r="AJ278" s="56">
        <v>36</v>
      </c>
      <c r="AK278" s="54">
        <v>0</v>
      </c>
      <c r="AL278" s="54">
        <v>0</v>
      </c>
      <c r="AM278" s="54">
        <v>6.6</v>
      </c>
      <c r="AN278" s="57">
        <v>13.5</v>
      </c>
      <c r="AO278" s="53">
        <v>37</v>
      </c>
      <c r="AP278" s="54">
        <v>10</v>
      </c>
      <c r="AQ278" s="54">
        <v>140</v>
      </c>
      <c r="AR278" s="54">
        <v>7.1</v>
      </c>
      <c r="AS278" s="57">
        <v>13.75</v>
      </c>
      <c r="AT278" s="56">
        <v>31</v>
      </c>
      <c r="AU278" s="57">
        <v>120</v>
      </c>
      <c r="AV278" s="56">
        <v>89.827468872070298</v>
      </c>
      <c r="AW278" s="57">
        <v>350.79547653198244</v>
      </c>
      <c r="AX278" s="8"/>
      <c r="AZ278" s="1">
        <v>90</v>
      </c>
      <c r="BB278" s="82">
        <f t="shared" si="31"/>
        <v>32.155500000000004</v>
      </c>
    </row>
    <row r="279" spans="3:54" ht="15" customHeight="1" x14ac:dyDescent="0.25">
      <c r="C279" s="42"/>
      <c r="D279" s="69">
        <f>D268</f>
        <v>45769</v>
      </c>
      <c r="E279" s="70">
        <f t="shared" si="30"/>
        <v>22.166666666666622</v>
      </c>
      <c r="F279" s="71">
        <f t="shared" si="32"/>
        <v>45770.166666667305</v>
      </c>
      <c r="G279" s="60">
        <v>42</v>
      </c>
      <c r="H279" s="61">
        <v>37</v>
      </c>
      <c r="I279" s="62">
        <v>10</v>
      </c>
      <c r="J279" s="62">
        <v>550</v>
      </c>
      <c r="K279" s="63">
        <v>7.1</v>
      </c>
      <c r="L279" s="64">
        <v>38</v>
      </c>
      <c r="M279" s="62">
        <v>10</v>
      </c>
      <c r="N279" s="62">
        <v>450</v>
      </c>
      <c r="O279" s="65">
        <v>7</v>
      </c>
      <c r="P279" s="61">
        <v>39</v>
      </c>
      <c r="Q279" s="62">
        <v>0</v>
      </c>
      <c r="R279" s="63">
        <v>0</v>
      </c>
      <c r="S279" s="63">
        <v>5.9</v>
      </c>
      <c r="T279" s="65">
        <v>17.5</v>
      </c>
      <c r="U279" s="64">
        <v>38</v>
      </c>
      <c r="V279" s="62">
        <v>0</v>
      </c>
      <c r="W279" s="63">
        <v>0</v>
      </c>
      <c r="X279" s="63">
        <v>5.5</v>
      </c>
      <c r="Y279" s="65">
        <v>12.5</v>
      </c>
      <c r="Z279" s="61">
        <v>41</v>
      </c>
      <c r="AA279" s="62">
        <v>0</v>
      </c>
      <c r="AB279" s="63">
        <v>0</v>
      </c>
      <c r="AC279" s="63">
        <v>5.7</v>
      </c>
      <c r="AD279" s="65">
        <v>6.25</v>
      </c>
      <c r="AE279" s="64">
        <v>40</v>
      </c>
      <c r="AF279" s="62">
        <v>0</v>
      </c>
      <c r="AG279" s="63">
        <v>0</v>
      </c>
      <c r="AH279" s="63">
        <v>5.5</v>
      </c>
      <c r="AI279" s="65">
        <v>10</v>
      </c>
      <c r="AJ279" s="64">
        <v>39</v>
      </c>
      <c r="AK279" s="62">
        <v>0</v>
      </c>
      <c r="AL279" s="62">
        <v>0</v>
      </c>
      <c r="AM279" s="62">
        <v>6.1</v>
      </c>
      <c r="AN279" s="65">
        <v>15</v>
      </c>
      <c r="AO279" s="61">
        <v>37</v>
      </c>
      <c r="AP279" s="62">
        <v>10</v>
      </c>
      <c r="AQ279" s="62">
        <v>170</v>
      </c>
      <c r="AR279" s="62">
        <v>6.9</v>
      </c>
      <c r="AS279" s="65">
        <v>15</v>
      </c>
      <c r="AT279" s="64">
        <v>19</v>
      </c>
      <c r="AU279" s="65">
        <v>130</v>
      </c>
      <c r="AV279" s="64">
        <v>90.043128967285199</v>
      </c>
      <c r="AW279" s="65">
        <v>349.16642589569091</v>
      </c>
      <c r="AX279" s="8"/>
      <c r="AZ279" s="1">
        <v>90</v>
      </c>
      <c r="BB279" s="82">
        <f t="shared" si="31"/>
        <v>33.702500000000001</v>
      </c>
    </row>
    <row r="280" spans="3:54" ht="15" customHeight="1" x14ac:dyDescent="0.25">
      <c r="C280" s="42">
        <f>C268+1</f>
        <v>23</v>
      </c>
      <c r="D280" s="66">
        <f>DATE([4]Dash!$F$3,VLOOKUP([4]Dash!$E$3,[4]Abb!$C$3:$D$14,2,FALSE),C280)</f>
        <v>45770</v>
      </c>
      <c r="E280" s="67">
        <f>E279+2/24</f>
        <v>22.249999999999954</v>
      </c>
      <c r="F280" s="68">
        <f t="shared" si="32"/>
        <v>45770.25000000064</v>
      </c>
      <c r="G280" s="46">
        <v>47</v>
      </c>
      <c r="H280" s="47">
        <v>39</v>
      </c>
      <c r="I280" s="48">
        <v>10</v>
      </c>
      <c r="J280" s="48">
        <v>550</v>
      </c>
      <c r="K280" s="49">
        <v>7</v>
      </c>
      <c r="L280" s="50">
        <v>37</v>
      </c>
      <c r="M280" s="48">
        <v>10</v>
      </c>
      <c r="N280" s="48">
        <v>450</v>
      </c>
      <c r="O280" s="51">
        <v>7.1</v>
      </c>
      <c r="P280" s="47">
        <v>38</v>
      </c>
      <c r="Q280" s="48">
        <v>0</v>
      </c>
      <c r="R280" s="49">
        <v>0</v>
      </c>
      <c r="S280" s="49">
        <v>5.7</v>
      </c>
      <c r="T280" s="51">
        <v>17.25</v>
      </c>
      <c r="U280" s="50">
        <v>36</v>
      </c>
      <c r="V280" s="48">
        <v>0</v>
      </c>
      <c r="W280" s="49">
        <v>0</v>
      </c>
      <c r="X280" s="49">
        <v>5.7</v>
      </c>
      <c r="Y280" s="51">
        <v>12.5</v>
      </c>
      <c r="Z280" s="47">
        <v>40</v>
      </c>
      <c r="AA280" s="48">
        <v>0</v>
      </c>
      <c r="AB280" s="49">
        <v>0</v>
      </c>
      <c r="AC280" s="49">
        <v>5.9</v>
      </c>
      <c r="AD280" s="51">
        <v>8.75</v>
      </c>
      <c r="AE280" s="50">
        <v>37</v>
      </c>
      <c r="AF280" s="48">
        <v>0</v>
      </c>
      <c r="AG280" s="49">
        <v>0</v>
      </c>
      <c r="AH280" s="49">
        <v>6.1</v>
      </c>
      <c r="AI280" s="51">
        <v>10</v>
      </c>
      <c r="AJ280" s="50">
        <v>36</v>
      </c>
      <c r="AK280" s="48">
        <v>0</v>
      </c>
      <c r="AL280" s="48">
        <v>0</v>
      </c>
      <c r="AM280" s="48">
        <v>6.3</v>
      </c>
      <c r="AN280" s="51">
        <v>11.25</v>
      </c>
      <c r="AO280" s="47">
        <v>34</v>
      </c>
      <c r="AP280" s="48">
        <v>10</v>
      </c>
      <c r="AQ280" s="48">
        <v>170</v>
      </c>
      <c r="AR280" s="48">
        <v>6.7</v>
      </c>
      <c r="AS280" s="51">
        <v>15.9</v>
      </c>
      <c r="AT280" s="50">
        <v>29</v>
      </c>
      <c r="AU280" s="51">
        <v>140</v>
      </c>
      <c r="AV280" s="50">
        <v>90.096023559570298</v>
      </c>
      <c r="AW280" s="51">
        <v>349.53993123372396</v>
      </c>
      <c r="AX280" s="8"/>
      <c r="AZ280" s="1">
        <v>90</v>
      </c>
      <c r="BB280" s="82">
        <f t="shared" si="31"/>
        <v>33.4373</v>
      </c>
    </row>
    <row r="281" spans="3:54" ht="15" customHeight="1" x14ac:dyDescent="0.25">
      <c r="C281" s="42"/>
      <c r="D281" s="43">
        <f>D280</f>
        <v>45770</v>
      </c>
      <c r="E281" s="44">
        <f>E280+2/24</f>
        <v>22.333333333333286</v>
      </c>
      <c r="F281" s="45">
        <f t="shared" si="32"/>
        <v>45770.333333333976</v>
      </c>
      <c r="G281" s="52">
        <v>49</v>
      </c>
      <c r="H281" s="53">
        <v>40</v>
      </c>
      <c r="I281" s="54">
        <v>11.7</v>
      </c>
      <c r="J281" s="54">
        <v>750</v>
      </c>
      <c r="K281" s="55">
        <v>6.2</v>
      </c>
      <c r="L281" s="56">
        <v>39</v>
      </c>
      <c r="M281" s="54">
        <v>11</v>
      </c>
      <c r="N281" s="54">
        <v>500</v>
      </c>
      <c r="O281" s="57">
        <v>7.4</v>
      </c>
      <c r="P281" s="53">
        <v>39</v>
      </c>
      <c r="Q281" s="54">
        <v>10.7</v>
      </c>
      <c r="R281" s="55">
        <v>0</v>
      </c>
      <c r="S281" s="55">
        <v>6.4</v>
      </c>
      <c r="T281" s="57">
        <v>17.5</v>
      </c>
      <c r="U281" s="56">
        <v>39</v>
      </c>
      <c r="V281" s="54">
        <v>10.5</v>
      </c>
      <c r="W281" s="55">
        <v>0</v>
      </c>
      <c r="X281" s="55">
        <v>6.2</v>
      </c>
      <c r="Y281" s="57">
        <v>8</v>
      </c>
      <c r="Z281" s="53">
        <v>38</v>
      </c>
      <c r="AA281" s="54">
        <v>10.4</v>
      </c>
      <c r="AB281" s="55">
        <v>0</v>
      </c>
      <c r="AC281" s="55">
        <v>6</v>
      </c>
      <c r="AD281" s="57">
        <v>6.25</v>
      </c>
      <c r="AE281" s="56">
        <v>36</v>
      </c>
      <c r="AF281" s="54">
        <v>10.199999999999999</v>
      </c>
      <c r="AG281" s="55">
        <v>0</v>
      </c>
      <c r="AH281" s="55">
        <v>5.6</v>
      </c>
      <c r="AI281" s="57">
        <v>10</v>
      </c>
      <c r="AJ281" s="56">
        <v>38</v>
      </c>
      <c r="AK281" s="54">
        <v>10.199999999999999</v>
      </c>
      <c r="AL281" s="54">
        <v>0</v>
      </c>
      <c r="AM281" s="54">
        <v>7</v>
      </c>
      <c r="AN281" s="57">
        <v>11.25</v>
      </c>
      <c r="AO281" s="53" t="e">
        <v>#N/A</v>
      </c>
      <c r="AP281" s="54">
        <v>10.3</v>
      </c>
      <c r="AQ281" s="54">
        <v>180</v>
      </c>
      <c r="AR281" s="54">
        <v>6.6</v>
      </c>
      <c r="AS281" s="57">
        <v>13.75</v>
      </c>
      <c r="AT281" s="56">
        <v>31</v>
      </c>
      <c r="AU281" s="57">
        <v>130</v>
      </c>
      <c r="AV281" s="56">
        <v>91.703285217285199</v>
      </c>
      <c r="AW281" s="57">
        <v>346.07000007629392</v>
      </c>
      <c r="AX281" s="8"/>
      <c r="AZ281" s="1">
        <v>90</v>
      </c>
      <c r="BB281" s="82">
        <f t="shared" si="31"/>
        <v>29.503499999999999</v>
      </c>
    </row>
    <row r="282" spans="3:54" ht="15" customHeight="1" x14ac:dyDescent="0.25">
      <c r="C282" s="42"/>
      <c r="D282" s="43">
        <f>D280</f>
        <v>45770</v>
      </c>
      <c r="E282" s="44">
        <f t="shared" ref="E282:E291" si="33">E281+2/24</f>
        <v>22.416666666666618</v>
      </c>
      <c r="F282" s="45">
        <f t="shared" si="32"/>
        <v>45770.416666667312</v>
      </c>
      <c r="G282" s="52">
        <v>45</v>
      </c>
      <c r="H282" s="53">
        <v>41</v>
      </c>
      <c r="I282" s="54">
        <v>10.5</v>
      </c>
      <c r="J282" s="54">
        <v>600</v>
      </c>
      <c r="K282" s="55">
        <v>6.4</v>
      </c>
      <c r="L282" s="56">
        <v>40</v>
      </c>
      <c r="M282" s="54">
        <v>10.8</v>
      </c>
      <c r="N282" s="54">
        <v>600</v>
      </c>
      <c r="O282" s="57">
        <v>7.1</v>
      </c>
      <c r="P282" s="53">
        <v>40</v>
      </c>
      <c r="Q282" s="54">
        <v>10.5</v>
      </c>
      <c r="R282" s="55">
        <v>0</v>
      </c>
      <c r="S282" s="55">
        <v>6.2</v>
      </c>
      <c r="T282" s="57">
        <v>16.25</v>
      </c>
      <c r="U282" s="56">
        <v>39</v>
      </c>
      <c r="V282" s="54">
        <v>10.4</v>
      </c>
      <c r="W282" s="55">
        <v>0</v>
      </c>
      <c r="X282" s="55">
        <v>6</v>
      </c>
      <c r="Y282" s="57">
        <v>8.75</v>
      </c>
      <c r="Z282" s="53">
        <v>38</v>
      </c>
      <c r="AA282" s="54">
        <v>10.3</v>
      </c>
      <c r="AB282" s="55">
        <v>0</v>
      </c>
      <c r="AC282" s="55">
        <v>6.1</v>
      </c>
      <c r="AD282" s="57">
        <v>6.5</v>
      </c>
      <c r="AE282" s="56">
        <v>37</v>
      </c>
      <c r="AF282" s="54">
        <v>10.1</v>
      </c>
      <c r="AG282" s="55">
        <v>0</v>
      </c>
      <c r="AH282" s="55">
        <v>5.4</v>
      </c>
      <c r="AI282" s="57">
        <v>10</v>
      </c>
      <c r="AJ282" s="56">
        <v>37</v>
      </c>
      <c r="AK282" s="54">
        <v>10.199999999999999</v>
      </c>
      <c r="AL282" s="54">
        <v>0</v>
      </c>
      <c r="AM282" s="54">
        <v>7.2</v>
      </c>
      <c r="AN282" s="57">
        <v>12</v>
      </c>
      <c r="AO282" s="53" t="e">
        <v>#N/A</v>
      </c>
      <c r="AP282" s="54">
        <v>10.3</v>
      </c>
      <c r="AQ282" s="54">
        <v>150</v>
      </c>
      <c r="AR282" s="54">
        <v>6.8</v>
      </c>
      <c r="AS282" s="57">
        <v>28.75</v>
      </c>
      <c r="AT282" s="56">
        <v>27</v>
      </c>
      <c r="AU282" s="57">
        <v>120</v>
      </c>
      <c r="AV282" s="56">
        <v>91.695144653320298</v>
      </c>
      <c r="AW282" s="57">
        <v>344.2878330230713</v>
      </c>
      <c r="AX282" s="8"/>
      <c r="AZ282" s="1">
        <v>90</v>
      </c>
      <c r="BB282" s="82">
        <f t="shared" si="31"/>
        <v>36.354500000000002</v>
      </c>
    </row>
    <row r="283" spans="3:54" ht="15" customHeight="1" x14ac:dyDescent="0.25">
      <c r="C283" s="42"/>
      <c r="D283" s="43">
        <f>D280</f>
        <v>45770</v>
      </c>
      <c r="E283" s="44">
        <f t="shared" si="33"/>
        <v>22.49999999999995</v>
      </c>
      <c r="F283" s="45">
        <f t="shared" si="32"/>
        <v>45770.500000000648</v>
      </c>
      <c r="G283" s="52">
        <v>43</v>
      </c>
      <c r="H283" s="53">
        <v>41</v>
      </c>
      <c r="I283" s="54">
        <v>10</v>
      </c>
      <c r="J283" s="54">
        <v>400</v>
      </c>
      <c r="K283" s="55">
        <v>6.1</v>
      </c>
      <c r="L283" s="56">
        <v>40</v>
      </c>
      <c r="M283" s="54">
        <v>10.4</v>
      </c>
      <c r="N283" s="54">
        <v>500</v>
      </c>
      <c r="O283" s="57">
        <v>6.8</v>
      </c>
      <c r="P283" s="53">
        <v>40</v>
      </c>
      <c r="Q283" s="54">
        <v>10.4</v>
      </c>
      <c r="R283" s="55">
        <v>0</v>
      </c>
      <c r="S283" s="55">
        <v>6.5</v>
      </c>
      <c r="T283" s="57">
        <v>17</v>
      </c>
      <c r="U283" s="56">
        <v>39</v>
      </c>
      <c r="V283" s="54">
        <v>10.3</v>
      </c>
      <c r="W283" s="55">
        <v>0</v>
      </c>
      <c r="X283" s="55">
        <v>6.3</v>
      </c>
      <c r="Y283" s="57">
        <v>15</v>
      </c>
      <c r="Z283" s="53">
        <v>37</v>
      </c>
      <c r="AA283" s="54">
        <v>10.199999999999999</v>
      </c>
      <c r="AB283" s="55">
        <v>0</v>
      </c>
      <c r="AC283" s="55">
        <v>6.4</v>
      </c>
      <c r="AD283" s="57">
        <v>8.5</v>
      </c>
      <c r="AE283" s="56">
        <v>36</v>
      </c>
      <c r="AF283" s="54">
        <v>10.1</v>
      </c>
      <c r="AG283" s="55">
        <v>0</v>
      </c>
      <c r="AH283" s="55">
        <v>5.8</v>
      </c>
      <c r="AI283" s="57">
        <v>6.25</v>
      </c>
      <c r="AJ283" s="56">
        <v>37</v>
      </c>
      <c r="AK283" s="54">
        <v>10.1</v>
      </c>
      <c r="AL283" s="54">
        <v>0</v>
      </c>
      <c r="AM283" s="54">
        <v>6.9</v>
      </c>
      <c r="AN283" s="57">
        <v>12.5</v>
      </c>
      <c r="AO283" s="53" t="e">
        <v>#N/A</v>
      </c>
      <c r="AP283" s="54">
        <v>10.3</v>
      </c>
      <c r="AQ283" s="54">
        <v>150</v>
      </c>
      <c r="AR283" s="54">
        <v>6.7</v>
      </c>
      <c r="AS283" s="57">
        <v>18.75</v>
      </c>
      <c r="AT283" s="56">
        <v>29</v>
      </c>
      <c r="AU283" s="57">
        <v>140</v>
      </c>
      <c r="AV283" s="56">
        <v>91.280105590820298</v>
      </c>
      <c r="AW283" s="57">
        <v>343.81209119160968</v>
      </c>
      <c r="AX283" s="8"/>
      <c r="AZ283" s="1">
        <v>90</v>
      </c>
      <c r="BB283" s="82">
        <f t="shared" si="31"/>
        <v>34.475999999999999</v>
      </c>
    </row>
    <row r="284" spans="3:54" ht="15" customHeight="1" x14ac:dyDescent="0.25">
      <c r="C284" s="42"/>
      <c r="D284" s="43">
        <f>D280</f>
        <v>45770</v>
      </c>
      <c r="E284" s="44">
        <f t="shared" si="33"/>
        <v>22.583333333333282</v>
      </c>
      <c r="F284" s="45">
        <f t="shared" si="32"/>
        <v>45770.583333333983</v>
      </c>
      <c r="G284" s="52">
        <v>43</v>
      </c>
      <c r="H284" s="53">
        <v>41</v>
      </c>
      <c r="I284" s="54">
        <v>10.6</v>
      </c>
      <c r="J284" s="54">
        <v>500</v>
      </c>
      <c r="K284" s="55">
        <v>6.2</v>
      </c>
      <c r="L284" s="56">
        <v>40</v>
      </c>
      <c r="M284" s="54">
        <v>10</v>
      </c>
      <c r="N284" s="54">
        <v>1250</v>
      </c>
      <c r="O284" s="57">
        <v>6.4</v>
      </c>
      <c r="P284" s="53">
        <v>40</v>
      </c>
      <c r="Q284" s="54">
        <v>10.4</v>
      </c>
      <c r="R284" s="55">
        <v>0</v>
      </c>
      <c r="S284" s="55">
        <v>6.3</v>
      </c>
      <c r="T284" s="57">
        <v>16.5</v>
      </c>
      <c r="U284" s="56">
        <v>39</v>
      </c>
      <c r="V284" s="54">
        <v>10.3</v>
      </c>
      <c r="W284" s="55">
        <v>0</v>
      </c>
      <c r="X284" s="55">
        <v>6.1</v>
      </c>
      <c r="Y284" s="57">
        <v>15</v>
      </c>
      <c r="Z284" s="53">
        <v>38</v>
      </c>
      <c r="AA284" s="54">
        <v>10.199999999999999</v>
      </c>
      <c r="AB284" s="55">
        <v>0</v>
      </c>
      <c r="AC284" s="55">
        <v>6.3</v>
      </c>
      <c r="AD284" s="57">
        <v>9.5</v>
      </c>
      <c r="AE284" s="56">
        <v>37</v>
      </c>
      <c r="AF284" s="54">
        <v>10.1</v>
      </c>
      <c r="AG284" s="55">
        <v>0</v>
      </c>
      <c r="AH284" s="55">
        <v>5.9</v>
      </c>
      <c r="AI284" s="57">
        <v>6.25</v>
      </c>
      <c r="AJ284" s="56">
        <v>38</v>
      </c>
      <c r="AK284" s="54">
        <v>10.199999999999999</v>
      </c>
      <c r="AL284" s="54">
        <v>0</v>
      </c>
      <c r="AM284" s="54">
        <v>7.1</v>
      </c>
      <c r="AN284" s="57">
        <v>10</v>
      </c>
      <c r="AO284" s="53" t="e">
        <v>#N/A</v>
      </c>
      <c r="AP284" s="54">
        <v>10.3</v>
      </c>
      <c r="AQ284" s="54">
        <v>170</v>
      </c>
      <c r="AR284" s="54">
        <v>7.2</v>
      </c>
      <c r="AS284" s="57">
        <v>23.25</v>
      </c>
      <c r="AT284" s="56">
        <v>32</v>
      </c>
      <c r="AU284" s="57">
        <v>150</v>
      </c>
      <c r="AV284" s="56">
        <v>92.34619140625</v>
      </c>
      <c r="AW284" s="57">
        <v>341.29099146525067</v>
      </c>
      <c r="AX284" s="8"/>
      <c r="AZ284" s="1">
        <v>90</v>
      </c>
      <c r="BB284" s="82">
        <f t="shared" si="31"/>
        <v>35.581000000000003</v>
      </c>
    </row>
    <row r="285" spans="3:54" ht="15" customHeight="1" x14ac:dyDescent="0.25">
      <c r="C285" s="42"/>
      <c r="D285" s="43">
        <f>D280</f>
        <v>45770</v>
      </c>
      <c r="E285" s="44">
        <f t="shared" si="33"/>
        <v>22.666666666666615</v>
      </c>
      <c r="F285" s="45">
        <f t="shared" si="32"/>
        <v>45770.666666667319</v>
      </c>
      <c r="G285" s="52">
        <v>43</v>
      </c>
      <c r="H285" s="53">
        <v>40</v>
      </c>
      <c r="I285" s="54">
        <v>11</v>
      </c>
      <c r="J285" s="54">
        <v>500</v>
      </c>
      <c r="K285" s="55">
        <v>6.1</v>
      </c>
      <c r="L285" s="56">
        <v>39</v>
      </c>
      <c r="M285" s="54">
        <v>10.7</v>
      </c>
      <c r="N285" s="54">
        <v>1000</v>
      </c>
      <c r="O285" s="57">
        <v>6.5</v>
      </c>
      <c r="P285" s="53">
        <v>39</v>
      </c>
      <c r="Q285" s="54">
        <v>10.4</v>
      </c>
      <c r="R285" s="55">
        <v>0</v>
      </c>
      <c r="S285" s="55">
        <v>6.2</v>
      </c>
      <c r="T285" s="57">
        <v>16.25</v>
      </c>
      <c r="U285" s="56">
        <v>39</v>
      </c>
      <c r="V285" s="54">
        <v>10.9</v>
      </c>
      <c r="W285" s="55">
        <v>0</v>
      </c>
      <c r="X285" s="55">
        <v>6.4</v>
      </c>
      <c r="Y285" s="57">
        <v>15</v>
      </c>
      <c r="Z285" s="53">
        <v>40</v>
      </c>
      <c r="AA285" s="54">
        <v>10.199999999999999</v>
      </c>
      <c r="AB285" s="55">
        <v>0</v>
      </c>
      <c r="AC285" s="55">
        <v>6</v>
      </c>
      <c r="AD285" s="57">
        <v>10</v>
      </c>
      <c r="AE285" s="56">
        <v>39</v>
      </c>
      <c r="AF285" s="54">
        <v>10.1</v>
      </c>
      <c r="AG285" s="55">
        <v>0</v>
      </c>
      <c r="AH285" s="55">
        <v>6.2</v>
      </c>
      <c r="AI285" s="57">
        <v>6.25</v>
      </c>
      <c r="AJ285" s="56">
        <v>39</v>
      </c>
      <c r="AK285" s="54">
        <v>10.199999999999999</v>
      </c>
      <c r="AL285" s="54">
        <v>0</v>
      </c>
      <c r="AM285" s="54">
        <v>7</v>
      </c>
      <c r="AN285" s="57">
        <v>8.75</v>
      </c>
      <c r="AO285" s="53" t="e">
        <v>#N/A</v>
      </c>
      <c r="AP285" s="54">
        <v>10.3</v>
      </c>
      <c r="AQ285" s="54">
        <v>200</v>
      </c>
      <c r="AR285" s="54">
        <v>7.6</v>
      </c>
      <c r="AS285" s="57">
        <v>25</v>
      </c>
      <c r="AT285" s="56">
        <v>34</v>
      </c>
      <c r="AU285" s="57">
        <v>160</v>
      </c>
      <c r="AV285" s="56">
        <v>92.1875</v>
      </c>
      <c r="AW285" s="57">
        <v>344.36499315897623</v>
      </c>
      <c r="AX285" s="8"/>
      <c r="AZ285" s="1">
        <v>90</v>
      </c>
      <c r="BB285" s="82">
        <f t="shared" si="31"/>
        <v>35.912500000000001</v>
      </c>
    </row>
    <row r="286" spans="3:54" ht="15" customHeight="1" x14ac:dyDescent="0.25">
      <c r="C286" s="42"/>
      <c r="D286" s="43">
        <f>D280</f>
        <v>45770</v>
      </c>
      <c r="E286" s="44">
        <f t="shared" si="33"/>
        <v>22.749999999999947</v>
      </c>
      <c r="F286" s="45">
        <f t="shared" si="32"/>
        <v>45770.750000000655</v>
      </c>
      <c r="G286" s="52">
        <v>42</v>
      </c>
      <c r="H286" s="53">
        <v>40</v>
      </c>
      <c r="I286" s="54">
        <v>11</v>
      </c>
      <c r="J286" s="54">
        <v>550</v>
      </c>
      <c r="K286" s="55">
        <v>6.2</v>
      </c>
      <c r="L286" s="56">
        <v>41</v>
      </c>
      <c r="M286" s="54">
        <v>10.7</v>
      </c>
      <c r="N286" s="54">
        <v>800</v>
      </c>
      <c r="O286" s="57">
        <v>6.4</v>
      </c>
      <c r="P286" s="53">
        <v>36</v>
      </c>
      <c r="Q286" s="54">
        <v>10.5</v>
      </c>
      <c r="R286" s="55">
        <v>0</v>
      </c>
      <c r="S286" s="55">
        <v>6.1</v>
      </c>
      <c r="T286" s="57">
        <v>12.5</v>
      </c>
      <c r="U286" s="56">
        <v>39</v>
      </c>
      <c r="V286" s="54">
        <v>10.4</v>
      </c>
      <c r="W286" s="55">
        <v>0</v>
      </c>
      <c r="X286" s="55">
        <v>6.2</v>
      </c>
      <c r="Y286" s="57">
        <v>15</v>
      </c>
      <c r="Z286" s="53">
        <v>39</v>
      </c>
      <c r="AA286" s="54">
        <v>10.3</v>
      </c>
      <c r="AB286" s="55">
        <v>0</v>
      </c>
      <c r="AC286" s="55">
        <v>6.1</v>
      </c>
      <c r="AD286" s="57">
        <v>10</v>
      </c>
      <c r="AE286" s="56">
        <v>39</v>
      </c>
      <c r="AF286" s="54">
        <v>10.199999999999999</v>
      </c>
      <c r="AG286" s="55">
        <v>0</v>
      </c>
      <c r="AH286" s="55">
        <v>10.3</v>
      </c>
      <c r="AI286" s="57">
        <v>8</v>
      </c>
      <c r="AJ286" s="56">
        <v>39</v>
      </c>
      <c r="AK286" s="54">
        <v>10.199999999999999</v>
      </c>
      <c r="AL286" s="54">
        <v>0</v>
      </c>
      <c r="AM286" s="54">
        <v>7.1</v>
      </c>
      <c r="AN286" s="57">
        <v>5</v>
      </c>
      <c r="AO286" s="53" t="e">
        <v>#N/A</v>
      </c>
      <c r="AP286" s="54">
        <v>10.199999999999999</v>
      </c>
      <c r="AQ286" s="54">
        <v>200</v>
      </c>
      <c r="AR286" s="54">
        <v>7.4</v>
      </c>
      <c r="AS286" s="57">
        <v>25</v>
      </c>
      <c r="AT286" s="56">
        <v>32</v>
      </c>
      <c r="AU286" s="57">
        <v>160</v>
      </c>
      <c r="AV286" s="56">
        <v>91.85791015625</v>
      </c>
      <c r="AW286" s="57">
        <v>346.23155352274574</v>
      </c>
      <c r="AX286" s="8"/>
      <c r="AZ286" s="1">
        <v>90</v>
      </c>
      <c r="BB286" s="82">
        <f t="shared" si="31"/>
        <v>33.371000000000002</v>
      </c>
    </row>
    <row r="287" spans="3:54" ht="15" customHeight="1" x14ac:dyDescent="0.25">
      <c r="C287" s="42"/>
      <c r="D287" s="43">
        <f>D280</f>
        <v>45770</v>
      </c>
      <c r="E287" s="44">
        <f t="shared" si="33"/>
        <v>22.833333333333279</v>
      </c>
      <c r="F287" s="45">
        <f t="shared" si="32"/>
        <v>45770.833333333991</v>
      </c>
      <c r="G287" s="52">
        <v>43</v>
      </c>
      <c r="H287" s="53">
        <v>42</v>
      </c>
      <c r="I287" s="54">
        <v>10.9</v>
      </c>
      <c r="J287" s="54">
        <v>450</v>
      </c>
      <c r="K287" s="55">
        <v>6.9</v>
      </c>
      <c r="L287" s="56">
        <v>40</v>
      </c>
      <c r="M287" s="54">
        <v>10.8</v>
      </c>
      <c r="N287" s="54">
        <v>650</v>
      </c>
      <c r="O287" s="57">
        <v>6.7</v>
      </c>
      <c r="P287" s="53">
        <v>37</v>
      </c>
      <c r="Q287" s="54">
        <v>10.4</v>
      </c>
      <c r="R287" s="55">
        <v>0</v>
      </c>
      <c r="S287" s="55">
        <v>6.5</v>
      </c>
      <c r="T287" s="57">
        <v>6.75</v>
      </c>
      <c r="U287" s="56">
        <v>36</v>
      </c>
      <c r="V287" s="54">
        <v>10.7</v>
      </c>
      <c r="W287" s="55">
        <v>0</v>
      </c>
      <c r="X287" s="55">
        <v>6.2</v>
      </c>
      <c r="Y287" s="57">
        <v>14.25</v>
      </c>
      <c r="Z287" s="53">
        <v>36</v>
      </c>
      <c r="AA287" s="54">
        <v>10.3</v>
      </c>
      <c r="AB287" s="55">
        <v>0</v>
      </c>
      <c r="AC287" s="55">
        <v>6.3</v>
      </c>
      <c r="AD287" s="57">
        <v>8.75</v>
      </c>
      <c r="AE287" s="56">
        <v>35</v>
      </c>
      <c r="AF287" s="54">
        <v>10.199999999999999</v>
      </c>
      <c r="AG287" s="55">
        <v>0</v>
      </c>
      <c r="AH287" s="55">
        <v>6.1</v>
      </c>
      <c r="AI287" s="57">
        <v>6</v>
      </c>
      <c r="AJ287" s="56">
        <v>36</v>
      </c>
      <c r="AK287" s="54">
        <v>10.1</v>
      </c>
      <c r="AL287" s="54">
        <v>0</v>
      </c>
      <c r="AM287" s="54">
        <v>7.2</v>
      </c>
      <c r="AN287" s="57">
        <v>8.75</v>
      </c>
      <c r="AO287" s="53">
        <v>37</v>
      </c>
      <c r="AP287" s="54">
        <v>10.1</v>
      </c>
      <c r="AQ287" s="54">
        <v>210</v>
      </c>
      <c r="AR287" s="54">
        <v>7.5</v>
      </c>
      <c r="AS287" s="57">
        <v>21.25</v>
      </c>
      <c r="AT287" s="56">
        <v>31</v>
      </c>
      <c r="AU287" s="57">
        <v>140</v>
      </c>
      <c r="AV287" s="56">
        <v>92.521156311035199</v>
      </c>
      <c r="AW287" s="57">
        <v>345.33311564127604</v>
      </c>
      <c r="AX287" s="8"/>
      <c r="AZ287" s="1">
        <v>90</v>
      </c>
      <c r="BB287" s="82">
        <f t="shared" si="31"/>
        <v>29.061499999999999</v>
      </c>
    </row>
    <row r="288" spans="3:54" ht="15" customHeight="1" x14ac:dyDescent="0.25">
      <c r="C288" s="42"/>
      <c r="D288" s="43">
        <f>D280</f>
        <v>45770</v>
      </c>
      <c r="E288" s="44">
        <f t="shared" si="33"/>
        <v>22.916666666666611</v>
      </c>
      <c r="F288" s="45">
        <f t="shared" si="32"/>
        <v>45770.916666667326</v>
      </c>
      <c r="G288" s="52">
        <v>41</v>
      </c>
      <c r="H288" s="53">
        <v>38</v>
      </c>
      <c r="I288" s="54">
        <v>11</v>
      </c>
      <c r="J288" s="54">
        <v>450</v>
      </c>
      <c r="K288" s="55">
        <v>7.1</v>
      </c>
      <c r="L288" s="56">
        <v>38</v>
      </c>
      <c r="M288" s="54">
        <v>11</v>
      </c>
      <c r="N288" s="54">
        <v>600</v>
      </c>
      <c r="O288" s="57">
        <v>6.9</v>
      </c>
      <c r="P288" s="53">
        <v>37</v>
      </c>
      <c r="Q288" s="54">
        <v>10.6</v>
      </c>
      <c r="R288" s="55">
        <v>0</v>
      </c>
      <c r="S288" s="55">
        <v>6.6</v>
      </c>
      <c r="T288" s="57" t="s">
        <v>38</v>
      </c>
      <c r="U288" s="56">
        <v>36</v>
      </c>
      <c r="V288" s="54">
        <v>10.5</v>
      </c>
      <c r="W288" s="55">
        <v>0</v>
      </c>
      <c r="X288" s="55">
        <v>6.6</v>
      </c>
      <c r="Y288" s="57">
        <v>13.75</v>
      </c>
      <c r="Z288" s="53">
        <v>37</v>
      </c>
      <c r="AA288" s="54">
        <v>10.4</v>
      </c>
      <c r="AB288" s="55">
        <v>0</v>
      </c>
      <c r="AC288" s="55">
        <v>6.3</v>
      </c>
      <c r="AD288" s="57">
        <v>7.5</v>
      </c>
      <c r="AE288" s="56">
        <v>36</v>
      </c>
      <c r="AF288" s="54">
        <v>10.199999999999999</v>
      </c>
      <c r="AG288" s="55">
        <v>0</v>
      </c>
      <c r="AH288" s="55">
        <v>6.3</v>
      </c>
      <c r="AI288" s="57">
        <v>6</v>
      </c>
      <c r="AJ288" s="56">
        <v>37</v>
      </c>
      <c r="AK288" s="54">
        <v>10.199999999999999</v>
      </c>
      <c r="AL288" s="54">
        <v>0</v>
      </c>
      <c r="AM288" s="54">
        <v>7.1</v>
      </c>
      <c r="AN288" s="57">
        <v>13.75</v>
      </c>
      <c r="AO288" s="53">
        <v>37</v>
      </c>
      <c r="AP288" s="54">
        <v>10.3</v>
      </c>
      <c r="AQ288" s="54">
        <v>190</v>
      </c>
      <c r="AR288" s="54">
        <v>7.4</v>
      </c>
      <c r="AS288" s="57">
        <v>17.75</v>
      </c>
      <c r="AT288" s="56">
        <v>32</v>
      </c>
      <c r="AU288" s="57">
        <v>150</v>
      </c>
      <c r="AV288" s="56">
        <v>92.7001953125</v>
      </c>
      <c r="AW288" s="57">
        <v>347.01292368570961</v>
      </c>
      <c r="AX288" s="8"/>
      <c r="AZ288" s="1">
        <v>90</v>
      </c>
      <c r="BB288" s="82" t="e">
        <f t="shared" si="31"/>
        <v>#VALUE!</v>
      </c>
    </row>
    <row r="289" spans="3:54" ht="15" customHeight="1" x14ac:dyDescent="0.25">
      <c r="C289" s="42"/>
      <c r="D289" s="43">
        <f>D280</f>
        <v>45770</v>
      </c>
      <c r="E289" s="44">
        <f t="shared" si="33"/>
        <v>22.999999999999943</v>
      </c>
      <c r="F289" s="45">
        <f t="shared" si="32"/>
        <v>45771.000000000662</v>
      </c>
      <c r="G289" s="52">
        <v>45</v>
      </c>
      <c r="H289" s="53">
        <v>39</v>
      </c>
      <c r="I289" s="54">
        <v>10.8</v>
      </c>
      <c r="J289" s="54">
        <v>500</v>
      </c>
      <c r="K289" s="55">
        <v>6.5</v>
      </c>
      <c r="L289" s="56">
        <v>38</v>
      </c>
      <c r="M289" s="54">
        <v>10.8</v>
      </c>
      <c r="N289" s="54">
        <v>400</v>
      </c>
      <c r="O289" s="57">
        <v>6.7</v>
      </c>
      <c r="P289" s="53">
        <v>36</v>
      </c>
      <c r="Q289" s="54">
        <v>10.7</v>
      </c>
      <c r="R289" s="55">
        <v>0</v>
      </c>
      <c r="S289" s="55">
        <v>6.4</v>
      </c>
      <c r="T289" s="57">
        <v>11.25</v>
      </c>
      <c r="U289" s="56">
        <v>35</v>
      </c>
      <c r="V289" s="54">
        <v>10.7</v>
      </c>
      <c r="W289" s="55">
        <v>0</v>
      </c>
      <c r="X289" s="55">
        <v>6.4</v>
      </c>
      <c r="Y289" s="57">
        <v>7.5</v>
      </c>
      <c r="Z289" s="53">
        <v>36</v>
      </c>
      <c r="AA289" s="54">
        <v>10.6</v>
      </c>
      <c r="AB289" s="55">
        <v>0</v>
      </c>
      <c r="AC289" s="55">
        <v>5.9</v>
      </c>
      <c r="AD289" s="57">
        <v>8.75</v>
      </c>
      <c r="AE289" s="56">
        <v>36</v>
      </c>
      <c r="AF289" s="54">
        <v>10.3</v>
      </c>
      <c r="AG289" s="55">
        <v>0</v>
      </c>
      <c r="AH289" s="55">
        <v>6.4</v>
      </c>
      <c r="AI289" s="57">
        <v>6.25</v>
      </c>
      <c r="AJ289" s="56">
        <v>35</v>
      </c>
      <c r="AK289" s="54">
        <v>10.199999999999999</v>
      </c>
      <c r="AL289" s="54">
        <v>0</v>
      </c>
      <c r="AM289" s="54">
        <v>7</v>
      </c>
      <c r="AN289" s="57">
        <v>13</v>
      </c>
      <c r="AO289" s="53">
        <v>37</v>
      </c>
      <c r="AP289" s="54">
        <v>10.3</v>
      </c>
      <c r="AQ289" s="54">
        <v>180</v>
      </c>
      <c r="AR289" s="54">
        <v>7.2</v>
      </c>
      <c r="AS289" s="57">
        <v>18.25</v>
      </c>
      <c r="AT289" s="56">
        <v>30</v>
      </c>
      <c r="AU289" s="57">
        <v>150</v>
      </c>
      <c r="AV289" s="56">
        <v>92.716468811035199</v>
      </c>
      <c r="AW289" s="57">
        <v>346.62326418558757</v>
      </c>
      <c r="AX289" s="8"/>
      <c r="AZ289" s="1">
        <v>90</v>
      </c>
      <c r="BB289" s="82">
        <f t="shared" si="31"/>
        <v>28.73</v>
      </c>
    </row>
    <row r="290" spans="3:54" ht="15" customHeight="1" x14ac:dyDescent="0.25">
      <c r="C290" s="42"/>
      <c r="D290" s="43">
        <f>D280</f>
        <v>45770</v>
      </c>
      <c r="E290" s="44">
        <f t="shared" si="33"/>
        <v>23.083333333333275</v>
      </c>
      <c r="F290" s="45">
        <f t="shared" si="32"/>
        <v>45771.083333333998</v>
      </c>
      <c r="G290" s="52">
        <v>43</v>
      </c>
      <c r="H290" s="53">
        <v>42</v>
      </c>
      <c r="I290" s="54">
        <v>11</v>
      </c>
      <c r="J290" s="54">
        <v>550</v>
      </c>
      <c r="K290" s="55">
        <v>6.2</v>
      </c>
      <c r="L290" s="56">
        <v>40</v>
      </c>
      <c r="M290" s="54">
        <v>10.9</v>
      </c>
      <c r="N290" s="54">
        <v>350</v>
      </c>
      <c r="O290" s="57">
        <v>6</v>
      </c>
      <c r="P290" s="53">
        <v>38</v>
      </c>
      <c r="Q290" s="54">
        <v>10.7</v>
      </c>
      <c r="R290" s="55">
        <v>0</v>
      </c>
      <c r="S290" s="55">
        <v>5.9</v>
      </c>
      <c r="T290" s="57">
        <v>16.25</v>
      </c>
      <c r="U290" s="56">
        <v>37</v>
      </c>
      <c r="V290" s="54">
        <v>10.7</v>
      </c>
      <c r="W290" s="55">
        <v>0</v>
      </c>
      <c r="X290" s="55">
        <v>5.9</v>
      </c>
      <c r="Y290" s="57" t="s">
        <v>38</v>
      </c>
      <c r="Z290" s="53">
        <v>37</v>
      </c>
      <c r="AA290" s="54">
        <v>10.6</v>
      </c>
      <c r="AB290" s="55">
        <v>0</v>
      </c>
      <c r="AC290" s="55">
        <v>5.6</v>
      </c>
      <c r="AD290" s="57">
        <v>8.75</v>
      </c>
      <c r="AE290" s="56">
        <v>37</v>
      </c>
      <c r="AF290" s="54">
        <v>10.5</v>
      </c>
      <c r="AG290" s="55">
        <v>0</v>
      </c>
      <c r="AH290" s="55">
        <v>6.1</v>
      </c>
      <c r="AI290" s="57">
        <v>6.25</v>
      </c>
      <c r="AJ290" s="56">
        <v>36</v>
      </c>
      <c r="AK290" s="54">
        <v>10.3</v>
      </c>
      <c r="AL290" s="54">
        <v>0</v>
      </c>
      <c r="AM290" s="54">
        <v>6.9</v>
      </c>
      <c r="AN290" s="57">
        <v>13</v>
      </c>
      <c r="AO290" s="53">
        <v>38</v>
      </c>
      <c r="AP290" s="54">
        <v>10.4</v>
      </c>
      <c r="AQ290" s="54">
        <v>170</v>
      </c>
      <c r="AR290" s="54">
        <v>7.1</v>
      </c>
      <c r="AS290" s="57">
        <v>18.25</v>
      </c>
      <c r="AT290" s="56">
        <v>32</v>
      </c>
      <c r="AU290" s="57">
        <v>140</v>
      </c>
      <c r="AV290" s="56">
        <v>92.903640747070298</v>
      </c>
      <c r="AW290" s="57">
        <v>348.15055885314939</v>
      </c>
      <c r="AX290" s="8"/>
      <c r="AZ290" s="1">
        <v>90</v>
      </c>
      <c r="BB290" s="82" t="e">
        <f t="shared" si="31"/>
        <v>#VALUE!</v>
      </c>
    </row>
    <row r="291" spans="3:54" ht="15" customHeight="1" x14ac:dyDescent="0.25">
      <c r="C291" s="42"/>
      <c r="D291" s="69">
        <f>D280</f>
        <v>45770</v>
      </c>
      <c r="E291" s="70">
        <f t="shared" si="33"/>
        <v>23.166666666666607</v>
      </c>
      <c r="F291" s="71">
        <f t="shared" si="32"/>
        <v>45771.166666667334</v>
      </c>
      <c r="G291" s="60">
        <v>44</v>
      </c>
      <c r="H291" s="61">
        <v>39</v>
      </c>
      <c r="I291" s="62">
        <v>10.9</v>
      </c>
      <c r="J291" s="62">
        <v>500</v>
      </c>
      <c r="K291" s="63">
        <v>6.4</v>
      </c>
      <c r="L291" s="64">
        <v>37</v>
      </c>
      <c r="M291" s="62">
        <v>10.8</v>
      </c>
      <c r="N291" s="62">
        <v>550</v>
      </c>
      <c r="O291" s="65">
        <v>6.1</v>
      </c>
      <c r="P291" s="61">
        <v>38</v>
      </c>
      <c r="Q291" s="62">
        <v>10.7</v>
      </c>
      <c r="R291" s="63">
        <v>0</v>
      </c>
      <c r="S291" s="63">
        <v>5.7</v>
      </c>
      <c r="T291" s="65">
        <v>17.5</v>
      </c>
      <c r="U291" s="64">
        <v>38</v>
      </c>
      <c r="V291" s="62">
        <v>10.7</v>
      </c>
      <c r="W291" s="63">
        <v>0</v>
      </c>
      <c r="X291" s="63">
        <v>5.7</v>
      </c>
      <c r="Y291" s="65">
        <v>8.75</v>
      </c>
      <c r="Z291" s="61">
        <v>38</v>
      </c>
      <c r="AA291" s="62">
        <v>10.6</v>
      </c>
      <c r="AB291" s="63">
        <v>0</v>
      </c>
      <c r="AC291" s="63">
        <v>5.7</v>
      </c>
      <c r="AD291" s="65">
        <v>9</v>
      </c>
      <c r="AE291" s="64">
        <v>37</v>
      </c>
      <c r="AF291" s="62">
        <v>10.6</v>
      </c>
      <c r="AG291" s="63">
        <v>0</v>
      </c>
      <c r="AH291" s="63">
        <v>6.2</v>
      </c>
      <c r="AI291" s="65" t="s">
        <v>38</v>
      </c>
      <c r="AJ291" s="64">
        <v>36</v>
      </c>
      <c r="AK291" s="62">
        <v>10.5</v>
      </c>
      <c r="AL291" s="62">
        <v>0</v>
      </c>
      <c r="AM291" s="62">
        <v>6.7</v>
      </c>
      <c r="AN291" s="65">
        <v>12.5</v>
      </c>
      <c r="AO291" s="61">
        <v>36</v>
      </c>
      <c r="AP291" s="62">
        <v>10.4</v>
      </c>
      <c r="AQ291" s="62">
        <v>180</v>
      </c>
      <c r="AR291" s="62">
        <v>6.9</v>
      </c>
      <c r="AS291" s="65">
        <v>18.25</v>
      </c>
      <c r="AT291" s="64">
        <v>30</v>
      </c>
      <c r="AU291" s="65">
        <v>140</v>
      </c>
      <c r="AV291" s="64">
        <v>93.00537109375</v>
      </c>
      <c r="AW291" s="65">
        <v>346.70753784179686</v>
      </c>
      <c r="AX291" s="8"/>
      <c r="AZ291" s="1">
        <v>90</v>
      </c>
      <c r="BB291" s="82" t="e">
        <f t="shared" si="31"/>
        <v>#VALUE!</v>
      </c>
    </row>
    <row r="292" spans="3:54" ht="15" customHeight="1" x14ac:dyDescent="0.25">
      <c r="C292" s="42">
        <f>C280+1</f>
        <v>24</v>
      </c>
      <c r="D292" s="66">
        <f>DATE([4]Dash!$F$3,VLOOKUP([4]Dash!$E$3,[4]Abb!$C$3:$D$14,2,FALSE),C292)</f>
        <v>45771</v>
      </c>
      <c r="E292" s="67">
        <f>E291+2/24</f>
        <v>23.24999999999994</v>
      </c>
      <c r="F292" s="68">
        <f t="shared" si="32"/>
        <v>45771.250000000669</v>
      </c>
      <c r="G292" s="46">
        <v>47</v>
      </c>
      <c r="H292" s="47">
        <v>39</v>
      </c>
      <c r="I292" s="48">
        <v>10.8</v>
      </c>
      <c r="J292" s="48">
        <v>550</v>
      </c>
      <c r="K292" s="49">
        <v>6.3</v>
      </c>
      <c r="L292" s="50">
        <v>38</v>
      </c>
      <c r="M292" s="48">
        <v>10.9</v>
      </c>
      <c r="N292" s="48">
        <v>600</v>
      </c>
      <c r="O292" s="51">
        <v>6.5</v>
      </c>
      <c r="P292" s="47">
        <v>37</v>
      </c>
      <c r="Q292" s="48">
        <v>10.8</v>
      </c>
      <c r="R292" s="49">
        <v>0</v>
      </c>
      <c r="S292" s="49">
        <v>6.4</v>
      </c>
      <c r="T292" s="51">
        <v>17.5</v>
      </c>
      <c r="U292" s="50">
        <v>37</v>
      </c>
      <c r="V292" s="48">
        <v>10.7</v>
      </c>
      <c r="W292" s="49">
        <v>0</v>
      </c>
      <c r="X292" s="49">
        <v>6.1</v>
      </c>
      <c r="Y292" s="51">
        <v>9.25</v>
      </c>
      <c r="Z292" s="47">
        <v>38</v>
      </c>
      <c r="AA292" s="48">
        <v>10.7</v>
      </c>
      <c r="AB292" s="49">
        <v>0</v>
      </c>
      <c r="AC292" s="49">
        <v>6.2</v>
      </c>
      <c r="AD292" s="51">
        <v>8.25</v>
      </c>
      <c r="AE292" s="50">
        <v>38</v>
      </c>
      <c r="AF292" s="48">
        <v>10.6</v>
      </c>
      <c r="AG292" s="49">
        <v>0</v>
      </c>
      <c r="AH292" s="49">
        <v>6</v>
      </c>
      <c r="AI292" s="51">
        <v>6.75</v>
      </c>
      <c r="AJ292" s="50">
        <v>37</v>
      </c>
      <c r="AK292" s="48">
        <v>10.5</v>
      </c>
      <c r="AL292" s="48">
        <v>0</v>
      </c>
      <c r="AM292" s="48">
        <v>6.9</v>
      </c>
      <c r="AN292" s="51">
        <v>13</v>
      </c>
      <c r="AO292" s="47">
        <v>37</v>
      </c>
      <c r="AP292" s="48">
        <v>10.5</v>
      </c>
      <c r="AQ292" s="48">
        <v>190</v>
      </c>
      <c r="AR292" s="48">
        <v>6.7</v>
      </c>
      <c r="AS292" s="51">
        <v>16.75</v>
      </c>
      <c r="AT292" s="50">
        <v>32</v>
      </c>
      <c r="AU292" s="51">
        <v>160</v>
      </c>
      <c r="AV292" s="50">
        <v>92.606605529785199</v>
      </c>
      <c r="AW292" s="51">
        <v>346.15511728922525</v>
      </c>
      <c r="AX292" s="8"/>
      <c r="AZ292" s="1">
        <v>90</v>
      </c>
      <c r="BB292" s="82">
        <f t="shared" si="31"/>
        <v>31.603000000000002</v>
      </c>
    </row>
    <row r="293" spans="3:54" ht="15" customHeight="1" x14ac:dyDescent="0.25">
      <c r="C293" s="42"/>
      <c r="D293" s="43">
        <f>D292</f>
        <v>45771</v>
      </c>
      <c r="E293" s="44">
        <f>E292+2/24</f>
        <v>23.333333333333272</v>
      </c>
      <c r="F293" s="45">
        <f t="shared" si="32"/>
        <v>45771.333333334005</v>
      </c>
      <c r="G293" s="52">
        <v>41</v>
      </c>
      <c r="H293" s="53">
        <v>41</v>
      </c>
      <c r="I293" s="54">
        <v>10.7</v>
      </c>
      <c r="J293" s="54">
        <v>600</v>
      </c>
      <c r="K293" s="55">
        <v>6.6</v>
      </c>
      <c r="L293" s="56">
        <v>38</v>
      </c>
      <c r="M293" s="54">
        <v>10.6</v>
      </c>
      <c r="N293" s="54">
        <v>500</v>
      </c>
      <c r="O293" s="57">
        <v>5.0999999999999996</v>
      </c>
      <c r="P293" s="53">
        <v>36</v>
      </c>
      <c r="Q293" s="54">
        <v>10.6</v>
      </c>
      <c r="R293" s="55">
        <v>0</v>
      </c>
      <c r="S293" s="55">
        <v>7</v>
      </c>
      <c r="T293" s="57">
        <v>15.75</v>
      </c>
      <c r="U293" s="56">
        <v>36</v>
      </c>
      <c r="V293" s="54">
        <v>10.6</v>
      </c>
      <c r="W293" s="55">
        <v>0</v>
      </c>
      <c r="X293" s="55">
        <v>7.2</v>
      </c>
      <c r="Y293" s="57">
        <v>8.25</v>
      </c>
      <c r="Z293" s="53">
        <v>35</v>
      </c>
      <c r="AA293" s="54">
        <v>10.4</v>
      </c>
      <c r="AB293" s="55">
        <v>0</v>
      </c>
      <c r="AC293" s="55">
        <v>8.4</v>
      </c>
      <c r="AD293" s="57" t="s">
        <v>49</v>
      </c>
      <c r="AE293" s="56">
        <v>33</v>
      </c>
      <c r="AF293" s="54">
        <v>10.5</v>
      </c>
      <c r="AG293" s="55">
        <v>0</v>
      </c>
      <c r="AH293" s="55">
        <v>7.6</v>
      </c>
      <c r="AI293" s="57">
        <v>3.75</v>
      </c>
      <c r="AJ293" s="56">
        <v>34</v>
      </c>
      <c r="AK293" s="54">
        <v>10.3</v>
      </c>
      <c r="AL293" s="54">
        <v>0</v>
      </c>
      <c r="AM293" s="54">
        <v>8.3000000000000007</v>
      </c>
      <c r="AN293" s="57">
        <v>14.25</v>
      </c>
      <c r="AO293" s="53">
        <v>36</v>
      </c>
      <c r="AP293" s="54">
        <v>10.1</v>
      </c>
      <c r="AQ293" s="54">
        <v>380</v>
      </c>
      <c r="AR293" s="54">
        <v>8.1</v>
      </c>
      <c r="AS293" s="57">
        <v>18.75</v>
      </c>
      <c r="AT293" s="56">
        <v>30</v>
      </c>
      <c r="AU293" s="57">
        <v>250</v>
      </c>
      <c r="AV293" s="56">
        <v>92.989089965820298</v>
      </c>
      <c r="AW293" s="57">
        <v>345.05533828735349</v>
      </c>
      <c r="AX293" s="8"/>
      <c r="AZ293" s="1">
        <v>90</v>
      </c>
      <c r="BB293" s="82">
        <f t="shared" si="31"/>
        <v>30.719000000000001</v>
      </c>
    </row>
    <row r="294" spans="3:54" ht="15" customHeight="1" x14ac:dyDescent="0.25">
      <c r="C294" s="42"/>
      <c r="D294" s="43">
        <f>D292</f>
        <v>45771</v>
      </c>
      <c r="E294" s="44">
        <f t="shared" ref="E294:E303" si="34">E293+2/24</f>
        <v>23.416666666666604</v>
      </c>
      <c r="F294" s="45">
        <f t="shared" si="32"/>
        <v>45771.416666667341</v>
      </c>
      <c r="G294" s="52">
        <v>43</v>
      </c>
      <c r="H294" s="53">
        <v>40</v>
      </c>
      <c r="I294" s="54">
        <v>10.7</v>
      </c>
      <c r="J294" s="54">
        <v>600</v>
      </c>
      <c r="K294" s="55">
        <v>6.5</v>
      </c>
      <c r="L294" s="56">
        <v>40</v>
      </c>
      <c r="M294" s="54">
        <v>10.7</v>
      </c>
      <c r="N294" s="54">
        <v>500</v>
      </c>
      <c r="O294" s="57">
        <v>5.8</v>
      </c>
      <c r="P294" s="53">
        <v>37</v>
      </c>
      <c r="Q294" s="54">
        <v>10.6</v>
      </c>
      <c r="R294" s="55">
        <v>0</v>
      </c>
      <c r="S294" s="55">
        <v>7.3</v>
      </c>
      <c r="T294" s="57">
        <v>15.25</v>
      </c>
      <c r="U294" s="56">
        <v>36</v>
      </c>
      <c r="V294" s="54">
        <v>10.6</v>
      </c>
      <c r="W294" s="55">
        <v>0</v>
      </c>
      <c r="X294" s="55">
        <v>7.3</v>
      </c>
      <c r="Y294" s="57">
        <v>7.5</v>
      </c>
      <c r="Z294" s="53">
        <v>36</v>
      </c>
      <c r="AA294" s="54">
        <v>10.4</v>
      </c>
      <c r="AB294" s="55">
        <v>0</v>
      </c>
      <c r="AC294" s="55">
        <v>7.8</v>
      </c>
      <c r="AD294" s="57" t="s">
        <v>49</v>
      </c>
      <c r="AE294" s="56">
        <v>33</v>
      </c>
      <c r="AF294" s="54">
        <v>10.5</v>
      </c>
      <c r="AG294" s="55">
        <v>0</v>
      </c>
      <c r="AH294" s="55">
        <v>7.4</v>
      </c>
      <c r="AI294" s="57">
        <v>4.5</v>
      </c>
      <c r="AJ294" s="56">
        <v>34</v>
      </c>
      <c r="AK294" s="54">
        <v>10.3</v>
      </c>
      <c r="AL294" s="54">
        <v>0</v>
      </c>
      <c r="AM294" s="54">
        <v>8.1</v>
      </c>
      <c r="AN294" s="57">
        <v>14.5</v>
      </c>
      <c r="AO294" s="53">
        <v>36</v>
      </c>
      <c r="AP294" s="54">
        <v>10.4</v>
      </c>
      <c r="AQ294" s="54">
        <v>250</v>
      </c>
      <c r="AR294" s="54">
        <v>0</v>
      </c>
      <c r="AS294" s="57">
        <v>18.75</v>
      </c>
      <c r="AT294" s="56">
        <v>30</v>
      </c>
      <c r="AU294" s="57">
        <v>190</v>
      </c>
      <c r="AV294" s="56">
        <v>92.85888671875</v>
      </c>
      <c r="AW294" s="57">
        <v>343.99185015360513</v>
      </c>
      <c r="AX294" s="8"/>
      <c r="AZ294" s="1">
        <v>90</v>
      </c>
      <c r="BB294" s="82">
        <f t="shared" si="31"/>
        <v>30.608499999999999</v>
      </c>
    </row>
    <row r="295" spans="3:54" ht="15" customHeight="1" x14ac:dyDescent="0.25">
      <c r="C295" s="42"/>
      <c r="D295" s="43">
        <f>D292</f>
        <v>45771</v>
      </c>
      <c r="E295" s="44">
        <f t="shared" si="34"/>
        <v>23.499999999999936</v>
      </c>
      <c r="F295" s="45">
        <f t="shared" si="32"/>
        <v>45771.500000000677</v>
      </c>
      <c r="G295" s="52">
        <v>38</v>
      </c>
      <c r="H295" s="53">
        <v>49</v>
      </c>
      <c r="I295" s="54">
        <v>10.7</v>
      </c>
      <c r="J295" s="54">
        <v>550</v>
      </c>
      <c r="K295" s="55">
        <v>6.7</v>
      </c>
      <c r="L295" s="56">
        <v>40</v>
      </c>
      <c r="M295" s="54">
        <v>10.7</v>
      </c>
      <c r="N295" s="54">
        <v>500</v>
      </c>
      <c r="O295" s="57">
        <v>6.9</v>
      </c>
      <c r="P295" s="53">
        <v>38</v>
      </c>
      <c r="Q295" s="54">
        <v>10.6</v>
      </c>
      <c r="R295" s="55">
        <v>0</v>
      </c>
      <c r="S295" s="55">
        <v>7.4</v>
      </c>
      <c r="T295" s="57">
        <v>16.25</v>
      </c>
      <c r="U295" s="56">
        <v>36</v>
      </c>
      <c r="V295" s="54">
        <v>10.6</v>
      </c>
      <c r="W295" s="55">
        <v>0</v>
      </c>
      <c r="X295" s="55">
        <v>7.4</v>
      </c>
      <c r="Y295" s="57">
        <v>8.75</v>
      </c>
      <c r="Z295" s="53">
        <v>36</v>
      </c>
      <c r="AA295" s="54">
        <v>10.4</v>
      </c>
      <c r="AB295" s="55">
        <v>0</v>
      </c>
      <c r="AC295" s="55">
        <v>7.6</v>
      </c>
      <c r="AD295" s="57">
        <v>8</v>
      </c>
      <c r="AE295" s="56">
        <v>33</v>
      </c>
      <c r="AF295" s="54">
        <v>10.5</v>
      </c>
      <c r="AG295" s="55">
        <v>0</v>
      </c>
      <c r="AH295" s="55">
        <v>7.4</v>
      </c>
      <c r="AI295" s="57">
        <v>5</v>
      </c>
      <c r="AJ295" s="56">
        <v>34</v>
      </c>
      <c r="AK295" s="54">
        <v>10.3</v>
      </c>
      <c r="AL295" s="54">
        <v>0</v>
      </c>
      <c r="AM295" s="54">
        <v>9</v>
      </c>
      <c r="AN295" s="57">
        <v>13.5</v>
      </c>
      <c r="AO295" s="53">
        <v>36</v>
      </c>
      <c r="AP295" s="54">
        <v>10.4</v>
      </c>
      <c r="AQ295" s="54">
        <v>240</v>
      </c>
      <c r="AR295" s="54">
        <v>0</v>
      </c>
      <c r="AS295" s="57">
        <v>18.5</v>
      </c>
      <c r="AT295" s="56">
        <v>29</v>
      </c>
      <c r="AU295" s="57">
        <v>180</v>
      </c>
      <c r="AV295" s="56">
        <v>92.256668090820298</v>
      </c>
      <c r="AW295" s="57">
        <v>343.43521003723146</v>
      </c>
      <c r="AX295" s="8"/>
      <c r="AZ295" s="1">
        <v>90</v>
      </c>
      <c r="BB295" s="82">
        <f t="shared" si="31"/>
        <v>30.94</v>
      </c>
    </row>
    <row r="296" spans="3:54" ht="15" customHeight="1" x14ac:dyDescent="0.25">
      <c r="C296" s="42"/>
      <c r="D296" s="43">
        <f>D292</f>
        <v>45771</v>
      </c>
      <c r="E296" s="44">
        <f t="shared" si="34"/>
        <v>23.583333333333268</v>
      </c>
      <c r="F296" s="45">
        <f t="shared" si="32"/>
        <v>45771.583333334012</v>
      </c>
      <c r="G296" s="52">
        <v>42</v>
      </c>
      <c r="H296" s="53">
        <v>10</v>
      </c>
      <c r="I296" s="54">
        <v>9.8000000000000007</v>
      </c>
      <c r="J296" s="54">
        <v>500</v>
      </c>
      <c r="K296" s="55">
        <v>6.4</v>
      </c>
      <c r="L296" s="56">
        <v>40</v>
      </c>
      <c r="M296" s="54">
        <v>10.5</v>
      </c>
      <c r="N296" s="54">
        <v>500</v>
      </c>
      <c r="O296" s="57">
        <v>7.1</v>
      </c>
      <c r="P296" s="53">
        <v>39</v>
      </c>
      <c r="Q296" s="54">
        <v>10.3</v>
      </c>
      <c r="R296" s="55">
        <v>0</v>
      </c>
      <c r="S296" s="55">
        <v>7.3</v>
      </c>
      <c r="T296" s="57">
        <v>15</v>
      </c>
      <c r="U296" s="56">
        <v>38</v>
      </c>
      <c r="V296" s="54">
        <v>10.5</v>
      </c>
      <c r="W296" s="55">
        <v>0</v>
      </c>
      <c r="X296" s="55">
        <v>7.3</v>
      </c>
      <c r="Y296" s="57">
        <v>8</v>
      </c>
      <c r="Z296" s="53">
        <v>37</v>
      </c>
      <c r="AA296" s="54">
        <v>10.4</v>
      </c>
      <c r="AB296" s="55">
        <v>0</v>
      </c>
      <c r="AC296" s="55">
        <v>7.5</v>
      </c>
      <c r="AD296" s="57" t="s">
        <v>50</v>
      </c>
      <c r="AE296" s="56">
        <v>35</v>
      </c>
      <c r="AF296" s="54">
        <v>10.5</v>
      </c>
      <c r="AG296" s="55">
        <v>0</v>
      </c>
      <c r="AH296" s="55">
        <v>7.3</v>
      </c>
      <c r="AI296" s="57">
        <v>5</v>
      </c>
      <c r="AJ296" s="56">
        <v>35</v>
      </c>
      <c r="AK296" s="54">
        <v>10.5</v>
      </c>
      <c r="AL296" s="54">
        <v>0</v>
      </c>
      <c r="AM296" s="54">
        <v>8.1</v>
      </c>
      <c r="AN296" s="57">
        <v>13.75</v>
      </c>
      <c r="AO296" s="53">
        <v>36</v>
      </c>
      <c r="AP296" s="54">
        <v>10.5</v>
      </c>
      <c r="AQ296" s="54">
        <v>240</v>
      </c>
      <c r="AR296" s="54">
        <v>0</v>
      </c>
      <c r="AS296" s="57">
        <v>18</v>
      </c>
      <c r="AT296" s="56">
        <v>30</v>
      </c>
      <c r="AU296" s="57">
        <v>190</v>
      </c>
      <c r="AV296" s="56">
        <v>92.49267578125</v>
      </c>
      <c r="AW296" s="57">
        <v>340.86070048014324</v>
      </c>
      <c r="AX296" s="8"/>
      <c r="AZ296" s="1">
        <v>90</v>
      </c>
      <c r="BB296" s="82">
        <f t="shared" si="31"/>
        <v>30.056000000000001</v>
      </c>
    </row>
    <row r="297" spans="3:54" ht="15" customHeight="1" x14ac:dyDescent="0.25">
      <c r="C297" s="42"/>
      <c r="D297" s="43">
        <f>D292</f>
        <v>45771</v>
      </c>
      <c r="E297" s="44">
        <f t="shared" si="34"/>
        <v>23.6666666666666</v>
      </c>
      <c r="F297" s="45">
        <f t="shared" si="32"/>
        <v>45771.666666667348</v>
      </c>
      <c r="G297" s="52">
        <v>42</v>
      </c>
      <c r="H297" s="53">
        <v>41</v>
      </c>
      <c r="I297" s="54">
        <v>9.1999999999999993</v>
      </c>
      <c r="J297" s="54">
        <v>500</v>
      </c>
      <c r="K297" s="55">
        <v>7.2</v>
      </c>
      <c r="L297" s="56">
        <v>41</v>
      </c>
      <c r="M297" s="54">
        <v>10.1</v>
      </c>
      <c r="N297" s="54">
        <v>500</v>
      </c>
      <c r="O297" s="57">
        <v>7.5</v>
      </c>
      <c r="P297" s="53">
        <v>41</v>
      </c>
      <c r="Q297" s="54">
        <v>10.1</v>
      </c>
      <c r="R297" s="55">
        <v>0</v>
      </c>
      <c r="S297" s="55">
        <v>6.7</v>
      </c>
      <c r="T297" s="57">
        <v>16.75</v>
      </c>
      <c r="U297" s="56">
        <v>40</v>
      </c>
      <c r="V297" s="54">
        <v>10.3</v>
      </c>
      <c r="W297" s="55">
        <v>0</v>
      </c>
      <c r="X297" s="55">
        <v>6.7</v>
      </c>
      <c r="Y297" s="57">
        <v>8.75</v>
      </c>
      <c r="Z297" s="53">
        <v>39</v>
      </c>
      <c r="AA297" s="54">
        <v>10.4</v>
      </c>
      <c r="AB297" s="55">
        <v>0</v>
      </c>
      <c r="AC297" s="55">
        <v>6.2</v>
      </c>
      <c r="AD297" s="57">
        <v>7.5</v>
      </c>
      <c r="AE297" s="56">
        <v>37</v>
      </c>
      <c r="AF297" s="54">
        <v>10.5</v>
      </c>
      <c r="AG297" s="55">
        <v>0</v>
      </c>
      <c r="AH297" s="55">
        <v>6.8</v>
      </c>
      <c r="AI297" s="57">
        <v>6.25</v>
      </c>
      <c r="AJ297" s="56">
        <v>37</v>
      </c>
      <c r="AK297" s="54">
        <v>10.5</v>
      </c>
      <c r="AL297" s="54">
        <v>0</v>
      </c>
      <c r="AM297" s="54">
        <v>7.8</v>
      </c>
      <c r="AN297" s="57">
        <v>12.5</v>
      </c>
      <c r="AO297" s="53">
        <v>36</v>
      </c>
      <c r="AP297" s="54">
        <v>10.5</v>
      </c>
      <c r="AQ297" s="54">
        <v>220</v>
      </c>
      <c r="AR297" s="54">
        <v>6.8</v>
      </c>
      <c r="AS297" s="57">
        <v>17.5</v>
      </c>
      <c r="AT297" s="56">
        <v>30</v>
      </c>
      <c r="AU297" s="57">
        <v>170</v>
      </c>
      <c r="AV297" s="56">
        <v>92.41943359375</v>
      </c>
      <c r="AW297" s="57">
        <v>343.40410410563152</v>
      </c>
      <c r="AX297" s="8"/>
      <c r="AZ297" s="1">
        <v>90</v>
      </c>
      <c r="BB297" s="82">
        <f t="shared" si="31"/>
        <v>30.608499999999999</v>
      </c>
    </row>
    <row r="298" spans="3:54" ht="15" customHeight="1" x14ac:dyDescent="0.25">
      <c r="C298" s="42"/>
      <c r="D298" s="43">
        <f>D292</f>
        <v>45771</v>
      </c>
      <c r="E298" s="44">
        <f t="shared" si="34"/>
        <v>23.749999999999932</v>
      </c>
      <c r="F298" s="45">
        <f t="shared" si="32"/>
        <v>45771.750000000684</v>
      </c>
      <c r="G298" s="52">
        <v>42</v>
      </c>
      <c r="H298" s="53">
        <v>40</v>
      </c>
      <c r="I298" s="54">
        <v>10.1</v>
      </c>
      <c r="J298" s="54">
        <v>500</v>
      </c>
      <c r="K298" s="55">
        <v>7.3</v>
      </c>
      <c r="L298" s="56">
        <v>40</v>
      </c>
      <c r="M298" s="54">
        <v>10.9</v>
      </c>
      <c r="N298" s="54">
        <v>500</v>
      </c>
      <c r="O298" s="57">
        <v>7.5</v>
      </c>
      <c r="P298" s="53">
        <v>41</v>
      </c>
      <c r="Q298" s="54">
        <v>10.199999999999999</v>
      </c>
      <c r="R298" s="55">
        <v>0</v>
      </c>
      <c r="S298" s="55">
        <v>6.7</v>
      </c>
      <c r="T298" s="57">
        <v>15.75</v>
      </c>
      <c r="U298" s="56">
        <v>40</v>
      </c>
      <c r="V298" s="54">
        <v>10.3</v>
      </c>
      <c r="W298" s="55">
        <v>0</v>
      </c>
      <c r="X298" s="55">
        <v>6.4</v>
      </c>
      <c r="Y298" s="57">
        <v>7.5</v>
      </c>
      <c r="Z298" s="53">
        <v>39</v>
      </c>
      <c r="AA298" s="54">
        <v>10.4</v>
      </c>
      <c r="AB298" s="55">
        <v>0</v>
      </c>
      <c r="AC298" s="55">
        <v>6.4</v>
      </c>
      <c r="AD298" s="57">
        <v>8.25</v>
      </c>
      <c r="AE298" s="56">
        <v>39</v>
      </c>
      <c r="AF298" s="54">
        <v>10.4</v>
      </c>
      <c r="AG298" s="55">
        <v>0</v>
      </c>
      <c r="AH298" s="55">
        <v>6.4</v>
      </c>
      <c r="AI298" s="57">
        <v>6.25</v>
      </c>
      <c r="AJ298" s="56">
        <v>37</v>
      </c>
      <c r="AK298" s="54">
        <v>10.5</v>
      </c>
      <c r="AL298" s="54">
        <v>0</v>
      </c>
      <c r="AM298" s="54">
        <v>7.4</v>
      </c>
      <c r="AN298" s="57">
        <v>13.75</v>
      </c>
      <c r="AO298" s="53">
        <v>36</v>
      </c>
      <c r="AP298" s="54">
        <v>10.5</v>
      </c>
      <c r="AQ298" s="54">
        <v>220</v>
      </c>
      <c r="AR298" s="54">
        <v>6.5</v>
      </c>
      <c r="AS298" s="57">
        <v>18.75</v>
      </c>
      <c r="AT298" s="56">
        <v>30</v>
      </c>
      <c r="AU298" s="57">
        <v>180</v>
      </c>
      <c r="AV298" s="56">
        <v>92.085769653320298</v>
      </c>
      <c r="AW298" s="57">
        <v>344.11518605550128</v>
      </c>
      <c r="AX298" s="8"/>
      <c r="AZ298" s="1">
        <v>90</v>
      </c>
      <c r="BB298" s="82">
        <f t="shared" si="31"/>
        <v>31.0505</v>
      </c>
    </row>
    <row r="299" spans="3:54" ht="15" customHeight="1" x14ac:dyDescent="0.25">
      <c r="C299" s="42"/>
      <c r="D299" s="43">
        <f>D292</f>
        <v>45771</v>
      </c>
      <c r="E299" s="44">
        <f t="shared" si="34"/>
        <v>23.833333333333265</v>
      </c>
      <c r="F299" s="45">
        <f t="shared" si="32"/>
        <v>45771.83333333402</v>
      </c>
      <c r="G299" s="52">
        <v>43</v>
      </c>
      <c r="H299" s="53">
        <v>40</v>
      </c>
      <c r="I299" s="54">
        <v>11</v>
      </c>
      <c r="J299" s="54">
        <v>500</v>
      </c>
      <c r="K299" s="55">
        <v>7.1</v>
      </c>
      <c r="L299" s="56">
        <v>40</v>
      </c>
      <c r="M299" s="54">
        <v>10.9</v>
      </c>
      <c r="N299" s="54">
        <v>500</v>
      </c>
      <c r="O299" s="57">
        <v>6.7</v>
      </c>
      <c r="P299" s="53">
        <v>39</v>
      </c>
      <c r="Q299" s="54">
        <v>10.5</v>
      </c>
      <c r="R299" s="55">
        <v>0</v>
      </c>
      <c r="S299" s="55">
        <v>6.5</v>
      </c>
      <c r="T299" s="57">
        <v>16.25</v>
      </c>
      <c r="U299" s="56">
        <v>37</v>
      </c>
      <c r="V299" s="54">
        <v>10.4</v>
      </c>
      <c r="W299" s="55">
        <v>0</v>
      </c>
      <c r="X299" s="55">
        <v>6.6</v>
      </c>
      <c r="Y299" s="57">
        <v>10</v>
      </c>
      <c r="Z299" s="53">
        <v>38</v>
      </c>
      <c r="AA299" s="54">
        <v>10.4</v>
      </c>
      <c r="AB299" s="55">
        <v>0</v>
      </c>
      <c r="AC299" s="55">
        <v>6.8</v>
      </c>
      <c r="AD299" s="57">
        <v>7.5</v>
      </c>
      <c r="AE299" s="56">
        <v>36</v>
      </c>
      <c r="AF299" s="54">
        <v>10.5</v>
      </c>
      <c r="AG299" s="55">
        <v>0</v>
      </c>
      <c r="AH299" s="55">
        <v>6.9</v>
      </c>
      <c r="AI299" s="57">
        <v>6.5</v>
      </c>
      <c r="AJ299" s="56">
        <v>36</v>
      </c>
      <c r="AK299" s="54">
        <v>10.5</v>
      </c>
      <c r="AL299" s="54">
        <v>0</v>
      </c>
      <c r="AM299" s="54">
        <v>7.5</v>
      </c>
      <c r="AN299" s="57">
        <v>12.5</v>
      </c>
      <c r="AO299" s="53">
        <v>33</v>
      </c>
      <c r="AP299" s="54">
        <v>10.4</v>
      </c>
      <c r="AQ299" s="54">
        <v>240</v>
      </c>
      <c r="AR299" s="54">
        <v>7.9</v>
      </c>
      <c r="AS299" s="57">
        <v>17</v>
      </c>
      <c r="AT299" s="56">
        <v>29</v>
      </c>
      <c r="AU299" s="57">
        <v>190</v>
      </c>
      <c r="AV299" s="56">
        <v>92.801918029785199</v>
      </c>
      <c r="AW299" s="57">
        <v>344.08251253763837</v>
      </c>
      <c r="AX299" s="8"/>
      <c r="AZ299" s="1">
        <v>90</v>
      </c>
      <c r="BB299" s="82">
        <f t="shared" si="31"/>
        <v>30.829499999999999</v>
      </c>
    </row>
    <row r="300" spans="3:54" ht="15" customHeight="1" x14ac:dyDescent="0.25">
      <c r="C300" s="42"/>
      <c r="D300" s="43">
        <f>D292</f>
        <v>45771</v>
      </c>
      <c r="E300" s="44">
        <f t="shared" si="34"/>
        <v>23.916666666666597</v>
      </c>
      <c r="F300" s="45">
        <f t="shared" si="32"/>
        <v>45771.916666667355</v>
      </c>
      <c r="G300" s="52">
        <v>43</v>
      </c>
      <c r="H300" s="53">
        <v>40</v>
      </c>
      <c r="I300" s="54">
        <v>11</v>
      </c>
      <c r="J300" s="54">
        <v>500</v>
      </c>
      <c r="K300" s="55">
        <v>7.3</v>
      </c>
      <c r="L300" s="56">
        <v>40</v>
      </c>
      <c r="M300" s="54">
        <v>10.8</v>
      </c>
      <c r="N300" s="54">
        <v>500</v>
      </c>
      <c r="O300" s="57">
        <v>7.1</v>
      </c>
      <c r="P300" s="53">
        <v>38</v>
      </c>
      <c r="Q300" s="54">
        <v>10.6</v>
      </c>
      <c r="R300" s="55">
        <v>0</v>
      </c>
      <c r="S300" s="55">
        <v>6.7</v>
      </c>
      <c r="T300" s="57">
        <v>16.5</v>
      </c>
      <c r="U300" s="56">
        <v>38</v>
      </c>
      <c r="V300" s="54">
        <v>10.5</v>
      </c>
      <c r="W300" s="55">
        <v>0</v>
      </c>
      <c r="X300" s="55">
        <v>6.3</v>
      </c>
      <c r="Y300" s="57">
        <v>10.25</v>
      </c>
      <c r="Z300" s="53">
        <v>37</v>
      </c>
      <c r="AA300" s="54">
        <v>10.4</v>
      </c>
      <c r="AB300" s="55">
        <v>0</v>
      </c>
      <c r="AC300" s="55">
        <v>6.8</v>
      </c>
      <c r="AD300" s="57">
        <v>7.25</v>
      </c>
      <c r="AE300" s="56">
        <v>37</v>
      </c>
      <c r="AF300" s="54">
        <v>10.5</v>
      </c>
      <c r="AG300" s="55">
        <v>0</v>
      </c>
      <c r="AH300" s="55">
        <v>6.7</v>
      </c>
      <c r="AI300" s="57">
        <v>6.75</v>
      </c>
      <c r="AJ300" s="56">
        <v>35</v>
      </c>
      <c r="AK300" s="54">
        <v>10.5</v>
      </c>
      <c r="AL300" s="54">
        <v>0</v>
      </c>
      <c r="AM300" s="54">
        <v>6.9</v>
      </c>
      <c r="AN300" s="57">
        <v>12.5</v>
      </c>
      <c r="AO300" s="53">
        <v>35</v>
      </c>
      <c r="AP300" s="54">
        <v>10.5</v>
      </c>
      <c r="AQ300" s="54">
        <v>230</v>
      </c>
      <c r="AR300" s="54">
        <v>7.3</v>
      </c>
      <c r="AS300" s="57">
        <v>16.75</v>
      </c>
      <c r="AT300" s="56">
        <v>32</v>
      </c>
      <c r="AU300" s="57">
        <v>190</v>
      </c>
      <c r="AV300" s="56">
        <v>92.862953186035199</v>
      </c>
      <c r="AW300" s="57">
        <v>344.63806940714517</v>
      </c>
      <c r="AX300" s="8"/>
      <c r="AZ300" s="1">
        <v>90</v>
      </c>
      <c r="BB300" s="82">
        <f t="shared" si="31"/>
        <v>30.94</v>
      </c>
    </row>
    <row r="301" spans="3:54" ht="15" customHeight="1" x14ac:dyDescent="0.25">
      <c r="C301" s="42"/>
      <c r="D301" s="43">
        <f>D292</f>
        <v>45771</v>
      </c>
      <c r="E301" s="44">
        <f t="shared" si="34"/>
        <v>23.999999999999929</v>
      </c>
      <c r="F301" s="45">
        <f t="shared" si="32"/>
        <v>45772.000000000691</v>
      </c>
      <c r="G301" s="52">
        <v>41</v>
      </c>
      <c r="H301" s="53">
        <v>43</v>
      </c>
      <c r="I301" s="54">
        <v>10.8</v>
      </c>
      <c r="J301" s="54">
        <v>450</v>
      </c>
      <c r="K301" s="55">
        <v>7</v>
      </c>
      <c r="L301" s="56">
        <v>40</v>
      </c>
      <c r="M301" s="54">
        <v>10.9</v>
      </c>
      <c r="N301" s="54">
        <v>500</v>
      </c>
      <c r="O301" s="57">
        <v>6.9</v>
      </c>
      <c r="P301" s="53">
        <v>40</v>
      </c>
      <c r="Q301" s="54">
        <v>10.9</v>
      </c>
      <c r="R301" s="55">
        <v>0</v>
      </c>
      <c r="S301" s="55">
        <v>6.4</v>
      </c>
      <c r="T301" s="57">
        <v>16</v>
      </c>
      <c r="U301" s="56">
        <v>39</v>
      </c>
      <c r="V301" s="54">
        <v>10.8</v>
      </c>
      <c r="W301" s="55">
        <v>0</v>
      </c>
      <c r="X301" s="55">
        <v>6.5</v>
      </c>
      <c r="Y301" s="57">
        <v>9.25</v>
      </c>
      <c r="Z301" s="53">
        <v>37</v>
      </c>
      <c r="AA301" s="54">
        <v>10.7</v>
      </c>
      <c r="AB301" s="55">
        <v>0</v>
      </c>
      <c r="AC301" s="55">
        <v>6.4</v>
      </c>
      <c r="AD301" s="57">
        <v>7</v>
      </c>
      <c r="AE301" s="56">
        <v>37</v>
      </c>
      <c r="AF301" s="54">
        <v>10.4</v>
      </c>
      <c r="AG301" s="55">
        <v>0</v>
      </c>
      <c r="AH301" s="55">
        <v>6.3</v>
      </c>
      <c r="AI301" s="57">
        <v>6.25</v>
      </c>
      <c r="AJ301" s="56">
        <v>35</v>
      </c>
      <c r="AK301" s="54">
        <v>10.4</v>
      </c>
      <c r="AL301" s="54">
        <v>0</v>
      </c>
      <c r="AM301" s="54">
        <v>7.3</v>
      </c>
      <c r="AN301" s="57">
        <v>11.75</v>
      </c>
      <c r="AO301" s="53">
        <v>36</v>
      </c>
      <c r="AP301" s="54">
        <v>10.4</v>
      </c>
      <c r="AQ301" s="54">
        <v>230</v>
      </c>
      <c r="AR301" s="54">
        <v>7.5</v>
      </c>
      <c r="AS301" s="57">
        <v>16.25</v>
      </c>
      <c r="AT301" s="56">
        <v>34</v>
      </c>
      <c r="AU301" s="57">
        <v>180</v>
      </c>
      <c r="AV301" s="56">
        <v>92.862953186035199</v>
      </c>
      <c r="AW301" s="57">
        <v>342.48649673461915</v>
      </c>
      <c r="AX301" s="8"/>
      <c r="AZ301" s="1">
        <v>90</v>
      </c>
      <c r="BB301" s="82">
        <f t="shared" si="31"/>
        <v>29.393000000000001</v>
      </c>
    </row>
    <row r="302" spans="3:54" ht="15" customHeight="1" x14ac:dyDescent="0.25">
      <c r="C302" s="42"/>
      <c r="D302" s="43">
        <f>D292</f>
        <v>45771</v>
      </c>
      <c r="E302" s="44">
        <f t="shared" si="34"/>
        <v>24.083333333333261</v>
      </c>
      <c r="F302" s="45">
        <f t="shared" si="32"/>
        <v>45772.083333334027</v>
      </c>
      <c r="G302" s="52">
        <v>41</v>
      </c>
      <c r="H302" s="53">
        <v>40</v>
      </c>
      <c r="I302" s="54">
        <v>10.7</v>
      </c>
      <c r="J302" s="54">
        <v>450</v>
      </c>
      <c r="K302" s="55">
        <v>7.3</v>
      </c>
      <c r="L302" s="56">
        <v>39</v>
      </c>
      <c r="M302" s="54">
        <v>10.8</v>
      </c>
      <c r="N302" s="54">
        <v>500</v>
      </c>
      <c r="O302" s="57">
        <v>7.2</v>
      </c>
      <c r="P302" s="53">
        <v>38</v>
      </c>
      <c r="Q302" s="54">
        <v>10.7</v>
      </c>
      <c r="R302" s="55">
        <v>0</v>
      </c>
      <c r="S302" s="55">
        <v>6.7</v>
      </c>
      <c r="T302" s="57">
        <v>15.75</v>
      </c>
      <c r="U302" s="56">
        <v>38</v>
      </c>
      <c r="V302" s="54">
        <v>10.6</v>
      </c>
      <c r="W302" s="55">
        <v>0</v>
      </c>
      <c r="X302" s="55">
        <v>6.6</v>
      </c>
      <c r="Y302" s="57">
        <v>10</v>
      </c>
      <c r="Z302" s="53">
        <v>38</v>
      </c>
      <c r="AA302" s="54">
        <v>10.6</v>
      </c>
      <c r="AB302" s="55">
        <v>0</v>
      </c>
      <c r="AC302" s="55">
        <v>6.5</v>
      </c>
      <c r="AD302" s="57">
        <v>7.5</v>
      </c>
      <c r="AE302" s="56">
        <v>38</v>
      </c>
      <c r="AF302" s="54">
        <v>10.5</v>
      </c>
      <c r="AG302" s="55">
        <v>0</v>
      </c>
      <c r="AH302" s="55">
        <v>6.8</v>
      </c>
      <c r="AI302" s="57">
        <v>6.25</v>
      </c>
      <c r="AJ302" s="56">
        <v>36</v>
      </c>
      <c r="AK302" s="54">
        <v>10.5</v>
      </c>
      <c r="AL302" s="54">
        <v>0</v>
      </c>
      <c r="AM302" s="54">
        <v>7.1</v>
      </c>
      <c r="AN302" s="57">
        <v>11.75</v>
      </c>
      <c r="AO302" s="53">
        <v>36</v>
      </c>
      <c r="AP302" s="54">
        <v>10.4</v>
      </c>
      <c r="AQ302" s="54">
        <v>240</v>
      </c>
      <c r="AR302" s="54">
        <v>7.2</v>
      </c>
      <c r="AS302" s="57">
        <v>16.75</v>
      </c>
      <c r="AT302" s="56">
        <v>33</v>
      </c>
      <c r="AU302" s="57">
        <v>180</v>
      </c>
      <c r="AV302" s="56">
        <v>92.976882934570298</v>
      </c>
      <c r="AW302" s="57">
        <v>343.21277033487956</v>
      </c>
      <c r="AX302" s="8"/>
      <c r="AZ302" s="1">
        <v>90</v>
      </c>
      <c r="BB302" s="82">
        <f t="shared" si="31"/>
        <v>30.056000000000001</v>
      </c>
    </row>
    <row r="303" spans="3:54" ht="15" customHeight="1" x14ac:dyDescent="0.25">
      <c r="C303" s="42"/>
      <c r="D303" s="69">
        <f>D292</f>
        <v>45771</v>
      </c>
      <c r="E303" s="70">
        <f t="shared" si="34"/>
        <v>24.166666666666593</v>
      </c>
      <c r="F303" s="71">
        <f t="shared" si="32"/>
        <v>45772.166666667363</v>
      </c>
      <c r="G303" s="60">
        <v>38</v>
      </c>
      <c r="H303" s="61">
        <v>41</v>
      </c>
      <c r="I303" s="62">
        <v>10.5</v>
      </c>
      <c r="J303" s="62">
        <v>400</v>
      </c>
      <c r="K303" s="63">
        <v>7</v>
      </c>
      <c r="L303" s="64">
        <v>41</v>
      </c>
      <c r="M303" s="62">
        <v>10.9</v>
      </c>
      <c r="N303" s="62">
        <v>450</v>
      </c>
      <c r="O303" s="65">
        <v>6.5</v>
      </c>
      <c r="P303" s="61">
        <v>41</v>
      </c>
      <c r="Q303" s="62">
        <v>10.7</v>
      </c>
      <c r="R303" s="63">
        <v>0</v>
      </c>
      <c r="S303" s="63">
        <v>6.5</v>
      </c>
      <c r="T303" s="65">
        <v>15.75</v>
      </c>
      <c r="U303" s="64">
        <v>37</v>
      </c>
      <c r="V303" s="62">
        <v>10.6</v>
      </c>
      <c r="W303" s="63">
        <v>0</v>
      </c>
      <c r="X303" s="63">
        <v>6.7</v>
      </c>
      <c r="Y303" s="65">
        <v>9.5</v>
      </c>
      <c r="Z303" s="61">
        <v>37</v>
      </c>
      <c r="AA303" s="62">
        <v>10.6</v>
      </c>
      <c r="AB303" s="63">
        <v>0</v>
      </c>
      <c r="AC303" s="63">
        <v>6.3</v>
      </c>
      <c r="AD303" s="65">
        <v>6.25</v>
      </c>
      <c r="AE303" s="64">
        <v>37</v>
      </c>
      <c r="AF303" s="62">
        <v>10.4</v>
      </c>
      <c r="AG303" s="63">
        <v>0</v>
      </c>
      <c r="AH303" s="63">
        <v>6.5</v>
      </c>
      <c r="AI303" s="65">
        <v>7</v>
      </c>
      <c r="AJ303" s="64">
        <v>35</v>
      </c>
      <c r="AK303" s="62">
        <v>10.5</v>
      </c>
      <c r="AL303" s="62">
        <v>0</v>
      </c>
      <c r="AM303" s="62">
        <v>7</v>
      </c>
      <c r="AN303" s="65">
        <v>12.5</v>
      </c>
      <c r="AO303" s="61">
        <v>35</v>
      </c>
      <c r="AP303" s="62">
        <v>10.4</v>
      </c>
      <c r="AQ303" s="62">
        <v>230</v>
      </c>
      <c r="AR303" s="62">
        <v>7.3</v>
      </c>
      <c r="AS303" s="65">
        <v>17.5</v>
      </c>
      <c r="AT303" s="64">
        <v>31</v>
      </c>
      <c r="AU303" s="65">
        <v>150</v>
      </c>
      <c r="AV303" s="64">
        <v>93.009437561035199</v>
      </c>
      <c r="AW303" s="65">
        <v>343.86393280029296</v>
      </c>
      <c r="AX303" s="8"/>
      <c r="AZ303" s="1">
        <v>90</v>
      </c>
      <c r="BB303" s="82">
        <f t="shared" si="31"/>
        <v>30.277000000000001</v>
      </c>
    </row>
    <row r="304" spans="3:54" ht="15" customHeight="1" x14ac:dyDescent="0.25">
      <c r="C304" s="42">
        <f>C292+1</f>
        <v>25</v>
      </c>
      <c r="D304" s="66">
        <f>DATE([4]Dash!$F$3,VLOOKUP([4]Dash!$E$3,[4]Abb!$C$3:$D$14,2,FALSE),C304)</f>
        <v>45772</v>
      </c>
      <c r="E304" s="67">
        <f>E303+2/24</f>
        <v>24.249999999999925</v>
      </c>
      <c r="F304" s="68">
        <f t="shared" si="32"/>
        <v>45772.250000000698</v>
      </c>
      <c r="G304" s="46"/>
      <c r="H304" s="47"/>
      <c r="I304" s="48"/>
      <c r="J304" s="48"/>
      <c r="K304" s="49"/>
      <c r="L304" s="50"/>
      <c r="M304" s="48"/>
      <c r="N304" s="48"/>
      <c r="O304" s="51"/>
      <c r="P304" s="47"/>
      <c r="Q304" s="48"/>
      <c r="R304" s="49"/>
      <c r="S304" s="49"/>
      <c r="T304" s="51"/>
      <c r="U304" s="50"/>
      <c r="V304" s="48"/>
      <c r="W304" s="49"/>
      <c r="X304" s="49"/>
      <c r="Y304" s="51"/>
      <c r="Z304" s="47"/>
      <c r="AA304" s="48"/>
      <c r="AB304" s="49"/>
      <c r="AC304" s="49"/>
      <c r="AD304" s="51"/>
      <c r="AE304" s="50"/>
      <c r="AF304" s="48"/>
      <c r="AG304" s="49"/>
      <c r="AH304" s="49"/>
      <c r="AI304" s="51"/>
      <c r="AJ304" s="50"/>
      <c r="AK304" s="48"/>
      <c r="AL304" s="48"/>
      <c r="AM304" s="48"/>
      <c r="AN304" s="51"/>
      <c r="AO304" s="47"/>
      <c r="AP304" s="48"/>
      <c r="AQ304" s="48"/>
      <c r="AR304" s="48"/>
      <c r="AS304" s="51"/>
      <c r="AT304" s="50"/>
      <c r="AU304" s="51"/>
      <c r="AV304" s="50"/>
      <c r="AW304" s="51"/>
      <c r="AX304" s="8"/>
      <c r="AZ304" s="1">
        <v>90</v>
      </c>
      <c r="BB304" s="82">
        <f t="shared" si="31"/>
        <v>0</v>
      </c>
    </row>
    <row r="305" spans="3:54" ht="15" customHeight="1" x14ac:dyDescent="0.25">
      <c r="C305" s="42"/>
      <c r="D305" s="43">
        <f>D304</f>
        <v>45772</v>
      </c>
      <c r="E305" s="44">
        <f>E304+2/24</f>
        <v>24.333333333333258</v>
      </c>
      <c r="F305" s="45">
        <f t="shared" si="32"/>
        <v>45772.333333334034</v>
      </c>
      <c r="G305" s="52"/>
      <c r="H305" s="53"/>
      <c r="I305" s="54"/>
      <c r="J305" s="54"/>
      <c r="K305" s="55"/>
      <c r="L305" s="56"/>
      <c r="M305" s="54"/>
      <c r="N305" s="54"/>
      <c r="O305" s="57"/>
      <c r="P305" s="53"/>
      <c r="Q305" s="54"/>
      <c r="R305" s="55"/>
      <c r="S305" s="55"/>
      <c r="T305" s="57"/>
      <c r="U305" s="56"/>
      <c r="V305" s="54"/>
      <c r="W305" s="55"/>
      <c r="X305" s="55"/>
      <c r="Y305" s="57"/>
      <c r="Z305" s="53"/>
      <c r="AA305" s="54"/>
      <c r="AB305" s="55"/>
      <c r="AC305" s="55"/>
      <c r="AD305" s="57"/>
      <c r="AE305" s="56"/>
      <c r="AF305" s="54"/>
      <c r="AG305" s="55"/>
      <c r="AH305" s="55"/>
      <c r="AI305" s="57"/>
      <c r="AJ305" s="56"/>
      <c r="AK305" s="54"/>
      <c r="AL305" s="54"/>
      <c r="AM305" s="54"/>
      <c r="AN305" s="57"/>
      <c r="AO305" s="53"/>
      <c r="AP305" s="54"/>
      <c r="AQ305" s="54"/>
      <c r="AR305" s="54"/>
      <c r="AS305" s="57"/>
      <c r="AT305" s="56"/>
      <c r="AU305" s="57"/>
      <c r="AV305" s="56"/>
      <c r="AW305" s="57"/>
      <c r="AX305" s="8"/>
      <c r="AZ305" s="1">
        <v>90</v>
      </c>
      <c r="BB305" s="82">
        <f t="shared" si="31"/>
        <v>0</v>
      </c>
    </row>
    <row r="306" spans="3:54" ht="15" customHeight="1" x14ac:dyDescent="0.25">
      <c r="C306" s="42"/>
      <c r="D306" s="43">
        <f>D304</f>
        <v>45772</v>
      </c>
      <c r="E306" s="44">
        <f t="shared" ref="E306:E315" si="35">E305+2/24</f>
        <v>24.41666666666659</v>
      </c>
      <c r="F306" s="45">
        <f t="shared" si="32"/>
        <v>45772.41666666737</v>
      </c>
      <c r="G306" s="52"/>
      <c r="H306" s="53"/>
      <c r="I306" s="54"/>
      <c r="J306" s="54"/>
      <c r="K306" s="55"/>
      <c r="L306" s="56"/>
      <c r="M306" s="54"/>
      <c r="N306" s="54"/>
      <c r="O306" s="57"/>
      <c r="P306" s="53"/>
      <c r="Q306" s="54"/>
      <c r="R306" s="55"/>
      <c r="S306" s="55"/>
      <c r="T306" s="57"/>
      <c r="U306" s="56"/>
      <c r="V306" s="54"/>
      <c r="W306" s="55"/>
      <c r="X306" s="55"/>
      <c r="Y306" s="57"/>
      <c r="Z306" s="53"/>
      <c r="AA306" s="54"/>
      <c r="AB306" s="55"/>
      <c r="AC306" s="55"/>
      <c r="AD306" s="57"/>
      <c r="AE306" s="56"/>
      <c r="AF306" s="54"/>
      <c r="AG306" s="55"/>
      <c r="AH306" s="55"/>
      <c r="AI306" s="57"/>
      <c r="AJ306" s="56"/>
      <c r="AK306" s="54"/>
      <c r="AL306" s="54"/>
      <c r="AM306" s="54"/>
      <c r="AN306" s="57"/>
      <c r="AO306" s="53"/>
      <c r="AP306" s="54"/>
      <c r="AQ306" s="54"/>
      <c r="AR306" s="54"/>
      <c r="AS306" s="57"/>
      <c r="AT306" s="56"/>
      <c r="AU306" s="57"/>
      <c r="AV306" s="56"/>
      <c r="AW306" s="57"/>
      <c r="AX306" s="8"/>
      <c r="AZ306" s="1">
        <v>90</v>
      </c>
      <c r="BB306" s="82">
        <f t="shared" si="31"/>
        <v>0</v>
      </c>
    </row>
    <row r="307" spans="3:54" ht="15" customHeight="1" x14ac:dyDescent="0.25">
      <c r="C307" s="42"/>
      <c r="D307" s="43">
        <f>D304</f>
        <v>45772</v>
      </c>
      <c r="E307" s="44">
        <f t="shared" si="35"/>
        <v>24.499999999999922</v>
      </c>
      <c r="F307" s="45">
        <f t="shared" si="32"/>
        <v>45772.500000000706</v>
      </c>
      <c r="G307" s="52"/>
      <c r="H307" s="53"/>
      <c r="I307" s="54"/>
      <c r="J307" s="54"/>
      <c r="K307" s="55"/>
      <c r="L307" s="56"/>
      <c r="M307" s="54"/>
      <c r="N307" s="54"/>
      <c r="O307" s="57"/>
      <c r="P307" s="53"/>
      <c r="Q307" s="54"/>
      <c r="R307" s="55"/>
      <c r="S307" s="55"/>
      <c r="T307" s="57"/>
      <c r="U307" s="56"/>
      <c r="V307" s="54"/>
      <c r="W307" s="55"/>
      <c r="X307" s="55"/>
      <c r="Y307" s="57"/>
      <c r="Z307" s="53"/>
      <c r="AA307" s="54"/>
      <c r="AB307" s="55"/>
      <c r="AC307" s="55"/>
      <c r="AD307" s="57"/>
      <c r="AE307" s="56"/>
      <c r="AF307" s="54"/>
      <c r="AG307" s="55"/>
      <c r="AH307" s="55"/>
      <c r="AI307" s="57"/>
      <c r="AJ307" s="56"/>
      <c r="AK307" s="54"/>
      <c r="AL307" s="54"/>
      <c r="AM307" s="54"/>
      <c r="AN307" s="57"/>
      <c r="AO307" s="53"/>
      <c r="AP307" s="54"/>
      <c r="AQ307" s="54"/>
      <c r="AR307" s="54"/>
      <c r="AS307" s="57"/>
      <c r="AT307" s="56"/>
      <c r="AU307" s="57"/>
      <c r="AV307" s="56"/>
      <c r="AW307" s="57"/>
      <c r="AX307" s="8"/>
      <c r="AZ307" s="1">
        <v>90</v>
      </c>
      <c r="BB307" s="82">
        <f t="shared" si="31"/>
        <v>0</v>
      </c>
    </row>
    <row r="308" spans="3:54" ht="15" customHeight="1" x14ac:dyDescent="0.25">
      <c r="C308" s="42"/>
      <c r="D308" s="43">
        <f>D304</f>
        <v>45772</v>
      </c>
      <c r="E308" s="44">
        <f t="shared" si="35"/>
        <v>24.583333333333254</v>
      </c>
      <c r="F308" s="45">
        <f t="shared" si="32"/>
        <v>45772.583333334042</v>
      </c>
      <c r="G308" s="52"/>
      <c r="H308" s="53"/>
      <c r="I308" s="54"/>
      <c r="J308" s="54"/>
      <c r="K308" s="55"/>
      <c r="L308" s="56"/>
      <c r="M308" s="54"/>
      <c r="N308" s="54"/>
      <c r="O308" s="57"/>
      <c r="P308" s="53"/>
      <c r="Q308" s="54"/>
      <c r="R308" s="55"/>
      <c r="S308" s="55"/>
      <c r="T308" s="57"/>
      <c r="U308" s="56"/>
      <c r="V308" s="54"/>
      <c r="W308" s="55"/>
      <c r="X308" s="55"/>
      <c r="Y308" s="57"/>
      <c r="Z308" s="53"/>
      <c r="AA308" s="54"/>
      <c r="AB308" s="55"/>
      <c r="AC308" s="55"/>
      <c r="AD308" s="57"/>
      <c r="AE308" s="56"/>
      <c r="AF308" s="54"/>
      <c r="AG308" s="55"/>
      <c r="AH308" s="55"/>
      <c r="AI308" s="57"/>
      <c r="AJ308" s="56"/>
      <c r="AK308" s="54"/>
      <c r="AL308" s="54"/>
      <c r="AM308" s="54"/>
      <c r="AN308" s="57"/>
      <c r="AO308" s="53"/>
      <c r="AP308" s="54"/>
      <c r="AQ308" s="54"/>
      <c r="AR308" s="54"/>
      <c r="AS308" s="57"/>
      <c r="AT308" s="56"/>
      <c r="AU308" s="57"/>
      <c r="AV308" s="56"/>
      <c r="AW308" s="57"/>
      <c r="AX308" s="8"/>
      <c r="AZ308" s="1">
        <v>90</v>
      </c>
      <c r="BB308" s="82">
        <f t="shared" si="31"/>
        <v>0</v>
      </c>
    </row>
    <row r="309" spans="3:54" ht="15" customHeight="1" x14ac:dyDescent="0.25">
      <c r="C309" s="42"/>
      <c r="D309" s="43">
        <f>D304</f>
        <v>45772</v>
      </c>
      <c r="E309" s="44">
        <f t="shared" si="35"/>
        <v>24.666666666666586</v>
      </c>
      <c r="F309" s="45">
        <f t="shared" si="32"/>
        <v>45772.666666667377</v>
      </c>
      <c r="G309" s="52"/>
      <c r="H309" s="53"/>
      <c r="I309" s="54"/>
      <c r="J309" s="54"/>
      <c r="K309" s="55"/>
      <c r="L309" s="56"/>
      <c r="M309" s="54"/>
      <c r="N309" s="54"/>
      <c r="O309" s="57"/>
      <c r="P309" s="53"/>
      <c r="Q309" s="54"/>
      <c r="R309" s="55"/>
      <c r="S309" s="55"/>
      <c r="T309" s="57"/>
      <c r="U309" s="56"/>
      <c r="V309" s="54"/>
      <c r="W309" s="55"/>
      <c r="X309" s="55"/>
      <c r="Y309" s="57"/>
      <c r="Z309" s="53"/>
      <c r="AA309" s="54"/>
      <c r="AB309" s="55"/>
      <c r="AC309" s="55"/>
      <c r="AD309" s="57"/>
      <c r="AE309" s="56"/>
      <c r="AF309" s="54"/>
      <c r="AG309" s="55"/>
      <c r="AH309" s="55"/>
      <c r="AI309" s="57"/>
      <c r="AJ309" s="56"/>
      <c r="AK309" s="54"/>
      <c r="AL309" s="54"/>
      <c r="AM309" s="54"/>
      <c r="AN309" s="57"/>
      <c r="AO309" s="53"/>
      <c r="AP309" s="54"/>
      <c r="AQ309" s="54"/>
      <c r="AR309" s="54"/>
      <c r="AS309" s="57"/>
      <c r="AT309" s="56"/>
      <c r="AU309" s="57"/>
      <c r="AV309" s="56"/>
      <c r="AW309" s="57"/>
      <c r="AX309" s="8"/>
      <c r="AZ309" s="1">
        <v>90</v>
      </c>
      <c r="BB309" s="82">
        <f t="shared" si="31"/>
        <v>0</v>
      </c>
    </row>
    <row r="310" spans="3:54" ht="15" customHeight="1" x14ac:dyDescent="0.25">
      <c r="C310" s="42"/>
      <c r="D310" s="43">
        <f>D304</f>
        <v>45772</v>
      </c>
      <c r="E310" s="44">
        <f t="shared" si="35"/>
        <v>24.749999999999918</v>
      </c>
      <c r="F310" s="45">
        <f t="shared" si="32"/>
        <v>45772.750000000713</v>
      </c>
      <c r="G310" s="52"/>
      <c r="H310" s="53"/>
      <c r="I310" s="54"/>
      <c r="J310" s="54"/>
      <c r="K310" s="55"/>
      <c r="L310" s="56"/>
      <c r="M310" s="54"/>
      <c r="N310" s="54"/>
      <c r="O310" s="57"/>
      <c r="P310" s="53"/>
      <c r="Q310" s="54"/>
      <c r="R310" s="55"/>
      <c r="S310" s="55"/>
      <c r="T310" s="57"/>
      <c r="U310" s="56"/>
      <c r="V310" s="54"/>
      <c r="W310" s="55"/>
      <c r="X310" s="55"/>
      <c r="Y310" s="57"/>
      <c r="Z310" s="53"/>
      <c r="AA310" s="54"/>
      <c r="AB310" s="55"/>
      <c r="AC310" s="55"/>
      <c r="AD310" s="57"/>
      <c r="AE310" s="56"/>
      <c r="AF310" s="54"/>
      <c r="AG310" s="55"/>
      <c r="AH310" s="55"/>
      <c r="AI310" s="57"/>
      <c r="AJ310" s="56"/>
      <c r="AK310" s="54"/>
      <c r="AL310" s="54"/>
      <c r="AM310" s="54"/>
      <c r="AN310" s="57"/>
      <c r="AO310" s="53"/>
      <c r="AP310" s="54"/>
      <c r="AQ310" s="54"/>
      <c r="AR310" s="54"/>
      <c r="AS310" s="57"/>
      <c r="AT310" s="56"/>
      <c r="AU310" s="57"/>
      <c r="AV310" s="56"/>
      <c r="AW310" s="57"/>
      <c r="AX310" s="8"/>
      <c r="AZ310" s="1">
        <v>90</v>
      </c>
      <c r="BB310" s="82">
        <f t="shared" si="31"/>
        <v>0</v>
      </c>
    </row>
    <row r="311" spans="3:54" ht="15" customHeight="1" x14ac:dyDescent="0.25">
      <c r="C311" s="42"/>
      <c r="D311" s="43">
        <f>D304</f>
        <v>45772</v>
      </c>
      <c r="E311" s="44">
        <f t="shared" si="35"/>
        <v>24.83333333333325</v>
      </c>
      <c r="F311" s="45">
        <f t="shared" si="32"/>
        <v>45772.833333334049</v>
      </c>
      <c r="G311" s="52"/>
      <c r="H311" s="53"/>
      <c r="I311" s="54"/>
      <c r="J311" s="54"/>
      <c r="K311" s="55"/>
      <c r="L311" s="56"/>
      <c r="M311" s="54"/>
      <c r="N311" s="54"/>
      <c r="O311" s="57"/>
      <c r="P311" s="53"/>
      <c r="Q311" s="54"/>
      <c r="R311" s="55"/>
      <c r="S311" s="55"/>
      <c r="T311" s="57"/>
      <c r="U311" s="56"/>
      <c r="V311" s="54"/>
      <c r="W311" s="55"/>
      <c r="X311" s="55"/>
      <c r="Y311" s="57"/>
      <c r="Z311" s="53"/>
      <c r="AA311" s="54"/>
      <c r="AB311" s="55"/>
      <c r="AC311" s="55"/>
      <c r="AD311" s="57"/>
      <c r="AE311" s="56"/>
      <c r="AF311" s="54"/>
      <c r="AG311" s="55"/>
      <c r="AH311" s="55"/>
      <c r="AI311" s="57"/>
      <c r="AJ311" s="56"/>
      <c r="AK311" s="54"/>
      <c r="AL311" s="54"/>
      <c r="AM311" s="54"/>
      <c r="AN311" s="57"/>
      <c r="AO311" s="53"/>
      <c r="AP311" s="54"/>
      <c r="AQ311" s="54"/>
      <c r="AR311" s="54"/>
      <c r="AS311" s="57"/>
      <c r="AT311" s="56"/>
      <c r="AU311" s="57"/>
      <c r="AV311" s="56"/>
      <c r="AW311" s="57"/>
      <c r="AX311" s="8"/>
      <c r="AZ311" s="1">
        <v>90</v>
      </c>
      <c r="BB311" s="82">
        <f t="shared" si="31"/>
        <v>0</v>
      </c>
    </row>
    <row r="312" spans="3:54" ht="15" customHeight="1" x14ac:dyDescent="0.25">
      <c r="C312" s="42"/>
      <c r="D312" s="43">
        <f>D304</f>
        <v>45772</v>
      </c>
      <c r="E312" s="44">
        <f t="shared" si="35"/>
        <v>24.916666666666583</v>
      </c>
      <c r="F312" s="45">
        <f t="shared" si="32"/>
        <v>45772.916666667385</v>
      </c>
      <c r="G312" s="52"/>
      <c r="H312" s="53"/>
      <c r="I312" s="54"/>
      <c r="J312" s="54"/>
      <c r="K312" s="55"/>
      <c r="L312" s="56"/>
      <c r="M312" s="54"/>
      <c r="N312" s="54"/>
      <c r="O312" s="57"/>
      <c r="P312" s="53"/>
      <c r="Q312" s="54"/>
      <c r="R312" s="55"/>
      <c r="S312" s="55"/>
      <c r="T312" s="57"/>
      <c r="U312" s="56"/>
      <c r="V312" s="54"/>
      <c r="W312" s="55"/>
      <c r="X312" s="55"/>
      <c r="Y312" s="57"/>
      <c r="Z312" s="53"/>
      <c r="AA312" s="54"/>
      <c r="AB312" s="55"/>
      <c r="AC312" s="55"/>
      <c r="AD312" s="57"/>
      <c r="AE312" s="56"/>
      <c r="AF312" s="54"/>
      <c r="AG312" s="55"/>
      <c r="AH312" s="55"/>
      <c r="AI312" s="57"/>
      <c r="AJ312" s="56"/>
      <c r="AK312" s="54"/>
      <c r="AL312" s="54"/>
      <c r="AM312" s="54"/>
      <c r="AN312" s="57"/>
      <c r="AO312" s="53"/>
      <c r="AP312" s="54"/>
      <c r="AQ312" s="54"/>
      <c r="AR312" s="54"/>
      <c r="AS312" s="57"/>
      <c r="AT312" s="56"/>
      <c r="AU312" s="57"/>
      <c r="AV312" s="56"/>
      <c r="AW312" s="57"/>
      <c r="AX312" s="8"/>
      <c r="AZ312" s="1">
        <v>90</v>
      </c>
      <c r="BB312" s="82">
        <f t="shared" si="31"/>
        <v>0</v>
      </c>
    </row>
    <row r="313" spans="3:54" ht="15" customHeight="1" x14ac:dyDescent="0.25">
      <c r="C313" s="42"/>
      <c r="D313" s="43">
        <f>D304</f>
        <v>45772</v>
      </c>
      <c r="E313" s="44">
        <f t="shared" si="35"/>
        <v>24.999999999999915</v>
      </c>
      <c r="F313" s="45">
        <f t="shared" si="32"/>
        <v>45773.00000000072</v>
      </c>
      <c r="G313" s="52"/>
      <c r="H313" s="53"/>
      <c r="I313" s="54"/>
      <c r="J313" s="54"/>
      <c r="K313" s="55"/>
      <c r="L313" s="56"/>
      <c r="M313" s="54"/>
      <c r="N313" s="54"/>
      <c r="O313" s="57"/>
      <c r="P313" s="53"/>
      <c r="Q313" s="54"/>
      <c r="R313" s="55"/>
      <c r="S313" s="55"/>
      <c r="T313" s="57"/>
      <c r="U313" s="56"/>
      <c r="V313" s="54"/>
      <c r="W313" s="55"/>
      <c r="X313" s="55"/>
      <c r="Y313" s="57"/>
      <c r="Z313" s="53"/>
      <c r="AA313" s="54"/>
      <c r="AB313" s="55"/>
      <c r="AC313" s="55"/>
      <c r="AD313" s="57"/>
      <c r="AE313" s="56"/>
      <c r="AF313" s="54"/>
      <c r="AG313" s="55"/>
      <c r="AH313" s="55"/>
      <c r="AI313" s="57"/>
      <c r="AJ313" s="56"/>
      <c r="AK313" s="54"/>
      <c r="AL313" s="54"/>
      <c r="AM313" s="54"/>
      <c r="AN313" s="57"/>
      <c r="AO313" s="53"/>
      <c r="AP313" s="54"/>
      <c r="AQ313" s="54"/>
      <c r="AR313" s="54"/>
      <c r="AS313" s="57"/>
      <c r="AT313" s="56"/>
      <c r="AU313" s="57"/>
      <c r="AV313" s="56"/>
      <c r="AW313" s="57"/>
      <c r="AX313" s="8"/>
      <c r="AZ313" s="1">
        <v>90</v>
      </c>
      <c r="BB313" s="82">
        <f t="shared" si="31"/>
        <v>0</v>
      </c>
    </row>
    <row r="314" spans="3:54" ht="15" customHeight="1" x14ac:dyDescent="0.25">
      <c r="C314" s="42"/>
      <c r="D314" s="43">
        <f>D304</f>
        <v>45772</v>
      </c>
      <c r="E314" s="44">
        <f t="shared" si="35"/>
        <v>25.083333333333247</v>
      </c>
      <c r="F314" s="45">
        <f t="shared" si="32"/>
        <v>45773.083333334056</v>
      </c>
      <c r="G314" s="52"/>
      <c r="H314" s="53"/>
      <c r="I314" s="54"/>
      <c r="J314" s="54"/>
      <c r="K314" s="55"/>
      <c r="L314" s="56"/>
      <c r="M314" s="54"/>
      <c r="N314" s="54"/>
      <c r="O314" s="57"/>
      <c r="P314" s="53"/>
      <c r="Q314" s="54"/>
      <c r="R314" s="55"/>
      <c r="S314" s="55"/>
      <c r="T314" s="57"/>
      <c r="U314" s="56"/>
      <c r="V314" s="54"/>
      <c r="W314" s="55"/>
      <c r="X314" s="55"/>
      <c r="Y314" s="57"/>
      <c r="Z314" s="53"/>
      <c r="AA314" s="54"/>
      <c r="AB314" s="55"/>
      <c r="AC314" s="55"/>
      <c r="AD314" s="57"/>
      <c r="AE314" s="56"/>
      <c r="AF314" s="54"/>
      <c r="AG314" s="55"/>
      <c r="AH314" s="55"/>
      <c r="AI314" s="57"/>
      <c r="AJ314" s="56"/>
      <c r="AK314" s="54"/>
      <c r="AL314" s="54"/>
      <c r="AM314" s="54"/>
      <c r="AN314" s="57"/>
      <c r="AO314" s="53"/>
      <c r="AP314" s="54"/>
      <c r="AQ314" s="54"/>
      <c r="AR314" s="54"/>
      <c r="AS314" s="57"/>
      <c r="AT314" s="56"/>
      <c r="AU314" s="57"/>
      <c r="AV314" s="56"/>
      <c r="AW314" s="57"/>
      <c r="AX314" s="8"/>
      <c r="AZ314" s="1">
        <v>90</v>
      </c>
      <c r="BB314" s="82">
        <f t="shared" si="31"/>
        <v>0</v>
      </c>
    </row>
    <row r="315" spans="3:54" ht="15" customHeight="1" x14ac:dyDescent="0.25">
      <c r="C315" s="42"/>
      <c r="D315" s="69">
        <f>D304</f>
        <v>45772</v>
      </c>
      <c r="E315" s="70">
        <f t="shared" si="35"/>
        <v>25.166666666666579</v>
      </c>
      <c r="F315" s="71">
        <f t="shared" si="32"/>
        <v>45773.166666667392</v>
      </c>
      <c r="G315" s="60"/>
      <c r="H315" s="61"/>
      <c r="I315" s="62"/>
      <c r="J315" s="62"/>
      <c r="K315" s="63"/>
      <c r="L315" s="64"/>
      <c r="M315" s="62"/>
      <c r="N315" s="62"/>
      <c r="O315" s="65"/>
      <c r="P315" s="61"/>
      <c r="Q315" s="62"/>
      <c r="R315" s="63"/>
      <c r="S315" s="63"/>
      <c r="T315" s="65"/>
      <c r="U315" s="64"/>
      <c r="V315" s="62"/>
      <c r="W315" s="63"/>
      <c r="X315" s="63"/>
      <c r="Y315" s="65"/>
      <c r="Z315" s="61"/>
      <c r="AA315" s="62"/>
      <c r="AB315" s="63"/>
      <c r="AC315" s="63"/>
      <c r="AD315" s="65"/>
      <c r="AE315" s="64"/>
      <c r="AF315" s="62"/>
      <c r="AG315" s="63"/>
      <c r="AH315" s="63"/>
      <c r="AI315" s="65"/>
      <c r="AJ315" s="64"/>
      <c r="AK315" s="62"/>
      <c r="AL315" s="62"/>
      <c r="AM315" s="62"/>
      <c r="AN315" s="65"/>
      <c r="AO315" s="61"/>
      <c r="AP315" s="62"/>
      <c r="AQ315" s="62"/>
      <c r="AR315" s="62"/>
      <c r="AS315" s="65"/>
      <c r="AT315" s="64"/>
      <c r="AU315" s="65"/>
      <c r="AV315" s="64"/>
      <c r="AW315" s="65"/>
      <c r="AX315" s="8"/>
      <c r="AZ315" s="1">
        <v>90</v>
      </c>
      <c r="BB315" s="82">
        <f t="shared" si="31"/>
        <v>0</v>
      </c>
    </row>
    <row r="316" spans="3:54" ht="15" customHeight="1" x14ac:dyDescent="0.25">
      <c r="C316" s="42">
        <f>C304+1</f>
        <v>26</v>
      </c>
      <c r="D316" s="66">
        <f>DATE([4]Dash!$F$3,VLOOKUP([4]Dash!$E$3,[4]Abb!$C$3:$D$14,2,FALSE),C316)</f>
        <v>45773</v>
      </c>
      <c r="E316" s="67">
        <f>E315+2/24</f>
        <v>25.249999999999911</v>
      </c>
      <c r="F316" s="68">
        <f t="shared" si="32"/>
        <v>45773.250000000728</v>
      </c>
      <c r="G316" s="46"/>
      <c r="H316" s="47"/>
      <c r="I316" s="48"/>
      <c r="J316" s="48"/>
      <c r="K316" s="49"/>
      <c r="L316" s="50"/>
      <c r="M316" s="48"/>
      <c r="N316" s="48"/>
      <c r="O316" s="51"/>
      <c r="P316" s="47"/>
      <c r="Q316" s="48"/>
      <c r="R316" s="49"/>
      <c r="S316" s="49"/>
      <c r="T316" s="51"/>
      <c r="U316" s="50"/>
      <c r="V316" s="48"/>
      <c r="W316" s="49"/>
      <c r="X316" s="49"/>
      <c r="Y316" s="51"/>
      <c r="Z316" s="47"/>
      <c r="AA316" s="48"/>
      <c r="AB316" s="49"/>
      <c r="AC316" s="49"/>
      <c r="AD316" s="51"/>
      <c r="AE316" s="50"/>
      <c r="AF316" s="48"/>
      <c r="AG316" s="49"/>
      <c r="AH316" s="49"/>
      <c r="AI316" s="51"/>
      <c r="AJ316" s="50"/>
      <c r="AK316" s="48"/>
      <c r="AL316" s="48"/>
      <c r="AM316" s="48"/>
      <c r="AN316" s="51"/>
      <c r="AO316" s="47"/>
      <c r="AP316" s="48"/>
      <c r="AQ316" s="48"/>
      <c r="AR316" s="48"/>
      <c r="AS316" s="51"/>
      <c r="AT316" s="50"/>
      <c r="AU316" s="51"/>
      <c r="AV316" s="50"/>
      <c r="AW316" s="51"/>
      <c r="AX316" s="8"/>
      <c r="AZ316" s="1">
        <v>90</v>
      </c>
      <c r="BB316" s="82">
        <f t="shared" si="31"/>
        <v>0</v>
      </c>
    </row>
    <row r="317" spans="3:54" ht="15" customHeight="1" x14ac:dyDescent="0.25">
      <c r="C317" s="42"/>
      <c r="D317" s="43">
        <f>D316</f>
        <v>45773</v>
      </c>
      <c r="E317" s="44">
        <f>E316+2/24</f>
        <v>25.333333333333243</v>
      </c>
      <c r="F317" s="45">
        <f t="shared" si="32"/>
        <v>45773.333333334063</v>
      </c>
      <c r="G317" s="52"/>
      <c r="H317" s="53"/>
      <c r="I317" s="54"/>
      <c r="J317" s="54"/>
      <c r="K317" s="55"/>
      <c r="L317" s="56"/>
      <c r="M317" s="54"/>
      <c r="N317" s="54"/>
      <c r="O317" s="57"/>
      <c r="P317" s="53"/>
      <c r="Q317" s="54"/>
      <c r="R317" s="55"/>
      <c r="S317" s="55"/>
      <c r="T317" s="57"/>
      <c r="U317" s="56"/>
      <c r="V317" s="54"/>
      <c r="W317" s="55"/>
      <c r="X317" s="55"/>
      <c r="Y317" s="57"/>
      <c r="Z317" s="53"/>
      <c r="AA317" s="54"/>
      <c r="AB317" s="55"/>
      <c r="AC317" s="55"/>
      <c r="AD317" s="57"/>
      <c r="AE317" s="56"/>
      <c r="AF317" s="54"/>
      <c r="AG317" s="55"/>
      <c r="AH317" s="55"/>
      <c r="AI317" s="57"/>
      <c r="AJ317" s="56"/>
      <c r="AK317" s="54"/>
      <c r="AL317" s="54"/>
      <c r="AM317" s="54"/>
      <c r="AN317" s="57"/>
      <c r="AO317" s="53"/>
      <c r="AP317" s="54"/>
      <c r="AQ317" s="54"/>
      <c r="AR317" s="54"/>
      <c r="AS317" s="57"/>
      <c r="AT317" s="56"/>
      <c r="AU317" s="57"/>
      <c r="AV317" s="56"/>
      <c r="AW317" s="57"/>
      <c r="AX317" s="8"/>
      <c r="AZ317" s="1">
        <v>90</v>
      </c>
      <c r="BB317" s="82">
        <f t="shared" si="31"/>
        <v>0</v>
      </c>
    </row>
    <row r="318" spans="3:54" ht="15" customHeight="1" x14ac:dyDescent="0.25">
      <c r="C318" s="42"/>
      <c r="D318" s="43">
        <f>D316</f>
        <v>45773</v>
      </c>
      <c r="E318" s="44">
        <f t="shared" ref="E318:E327" si="36">E317+2/24</f>
        <v>25.416666666666575</v>
      </c>
      <c r="F318" s="45">
        <f t="shared" si="32"/>
        <v>45773.416666667399</v>
      </c>
      <c r="G318" s="52"/>
      <c r="H318" s="53"/>
      <c r="I318" s="54"/>
      <c r="J318" s="54"/>
      <c r="K318" s="55"/>
      <c r="L318" s="56"/>
      <c r="M318" s="54"/>
      <c r="N318" s="54"/>
      <c r="O318" s="57"/>
      <c r="P318" s="53"/>
      <c r="Q318" s="54"/>
      <c r="R318" s="55"/>
      <c r="S318" s="55"/>
      <c r="T318" s="57"/>
      <c r="U318" s="56"/>
      <c r="V318" s="54"/>
      <c r="W318" s="55"/>
      <c r="X318" s="55"/>
      <c r="Y318" s="57"/>
      <c r="Z318" s="53"/>
      <c r="AA318" s="54"/>
      <c r="AB318" s="55"/>
      <c r="AC318" s="55"/>
      <c r="AD318" s="57"/>
      <c r="AE318" s="56"/>
      <c r="AF318" s="54"/>
      <c r="AG318" s="55"/>
      <c r="AH318" s="55"/>
      <c r="AI318" s="57"/>
      <c r="AJ318" s="56"/>
      <c r="AK318" s="54"/>
      <c r="AL318" s="54"/>
      <c r="AM318" s="54"/>
      <c r="AN318" s="57"/>
      <c r="AO318" s="53"/>
      <c r="AP318" s="54"/>
      <c r="AQ318" s="54"/>
      <c r="AR318" s="54"/>
      <c r="AS318" s="57"/>
      <c r="AT318" s="56"/>
      <c r="AU318" s="57"/>
      <c r="AV318" s="56"/>
      <c r="AW318" s="57"/>
      <c r="AX318" s="8"/>
      <c r="AZ318" s="1">
        <v>90</v>
      </c>
      <c r="BB318" s="82">
        <f t="shared" si="31"/>
        <v>0</v>
      </c>
    </row>
    <row r="319" spans="3:54" ht="15" customHeight="1" x14ac:dyDescent="0.25">
      <c r="C319" s="42"/>
      <c r="D319" s="43">
        <f>D316</f>
        <v>45773</v>
      </c>
      <c r="E319" s="44">
        <f t="shared" si="36"/>
        <v>25.499999999999908</v>
      </c>
      <c r="F319" s="45">
        <f t="shared" si="32"/>
        <v>45773.500000000735</v>
      </c>
      <c r="G319" s="52"/>
      <c r="H319" s="53"/>
      <c r="I319" s="54"/>
      <c r="J319" s="54"/>
      <c r="K319" s="55"/>
      <c r="L319" s="56"/>
      <c r="M319" s="54"/>
      <c r="N319" s="54"/>
      <c r="O319" s="57"/>
      <c r="P319" s="53"/>
      <c r="Q319" s="54"/>
      <c r="R319" s="55"/>
      <c r="S319" s="55"/>
      <c r="T319" s="57"/>
      <c r="U319" s="56"/>
      <c r="V319" s="54"/>
      <c r="W319" s="55"/>
      <c r="X319" s="55"/>
      <c r="Y319" s="57"/>
      <c r="Z319" s="53"/>
      <c r="AA319" s="54"/>
      <c r="AB319" s="55"/>
      <c r="AC319" s="55"/>
      <c r="AD319" s="57"/>
      <c r="AE319" s="56"/>
      <c r="AF319" s="54"/>
      <c r="AG319" s="55"/>
      <c r="AH319" s="55"/>
      <c r="AI319" s="57"/>
      <c r="AJ319" s="56"/>
      <c r="AK319" s="54"/>
      <c r="AL319" s="54"/>
      <c r="AM319" s="54"/>
      <c r="AN319" s="57"/>
      <c r="AO319" s="53"/>
      <c r="AP319" s="54"/>
      <c r="AQ319" s="54"/>
      <c r="AR319" s="54"/>
      <c r="AS319" s="57"/>
      <c r="AT319" s="56"/>
      <c r="AU319" s="57"/>
      <c r="AV319" s="56"/>
      <c r="AW319" s="57"/>
      <c r="AX319" s="8"/>
      <c r="AZ319" s="1">
        <v>90</v>
      </c>
      <c r="BB319" s="82">
        <f t="shared" si="31"/>
        <v>0</v>
      </c>
    </row>
    <row r="320" spans="3:54" ht="15" customHeight="1" x14ac:dyDescent="0.25">
      <c r="C320" s="42"/>
      <c r="D320" s="43">
        <f>D316</f>
        <v>45773</v>
      </c>
      <c r="E320" s="44">
        <f t="shared" si="36"/>
        <v>25.58333333333324</v>
      </c>
      <c r="F320" s="45">
        <f t="shared" si="32"/>
        <v>45773.583333334071</v>
      </c>
      <c r="G320" s="52"/>
      <c r="H320" s="53"/>
      <c r="I320" s="54"/>
      <c r="J320" s="54"/>
      <c r="K320" s="55"/>
      <c r="L320" s="56"/>
      <c r="M320" s="54"/>
      <c r="N320" s="54"/>
      <c r="O320" s="57"/>
      <c r="P320" s="53"/>
      <c r="Q320" s="54"/>
      <c r="R320" s="55"/>
      <c r="S320" s="55"/>
      <c r="T320" s="57"/>
      <c r="U320" s="56"/>
      <c r="V320" s="54"/>
      <c r="W320" s="55"/>
      <c r="X320" s="55"/>
      <c r="Y320" s="57"/>
      <c r="Z320" s="53"/>
      <c r="AA320" s="54"/>
      <c r="AB320" s="55"/>
      <c r="AC320" s="55"/>
      <c r="AD320" s="57"/>
      <c r="AE320" s="56"/>
      <c r="AF320" s="54"/>
      <c r="AG320" s="55"/>
      <c r="AH320" s="55"/>
      <c r="AI320" s="57"/>
      <c r="AJ320" s="56"/>
      <c r="AK320" s="54"/>
      <c r="AL320" s="54"/>
      <c r="AM320" s="54"/>
      <c r="AN320" s="57"/>
      <c r="AO320" s="53"/>
      <c r="AP320" s="54"/>
      <c r="AQ320" s="54"/>
      <c r="AR320" s="54"/>
      <c r="AS320" s="57"/>
      <c r="AT320" s="56"/>
      <c r="AU320" s="57"/>
      <c r="AV320" s="56"/>
      <c r="AW320" s="57"/>
      <c r="AX320" s="8"/>
      <c r="AZ320" s="1">
        <v>90</v>
      </c>
      <c r="BB320" s="82">
        <f t="shared" si="31"/>
        <v>0</v>
      </c>
    </row>
    <row r="321" spans="3:54" ht="15" customHeight="1" x14ac:dyDescent="0.25">
      <c r="C321" s="42"/>
      <c r="D321" s="43">
        <f>D316</f>
        <v>45773</v>
      </c>
      <c r="E321" s="44">
        <f t="shared" si="36"/>
        <v>25.666666666666572</v>
      </c>
      <c r="F321" s="45">
        <f t="shared" si="32"/>
        <v>45773.666666667406</v>
      </c>
      <c r="G321" s="52"/>
      <c r="H321" s="53"/>
      <c r="I321" s="54"/>
      <c r="J321" s="54"/>
      <c r="K321" s="55"/>
      <c r="L321" s="56"/>
      <c r="M321" s="54"/>
      <c r="N321" s="54"/>
      <c r="O321" s="57"/>
      <c r="P321" s="53"/>
      <c r="Q321" s="54"/>
      <c r="R321" s="55"/>
      <c r="S321" s="55"/>
      <c r="T321" s="57"/>
      <c r="U321" s="56"/>
      <c r="V321" s="54"/>
      <c r="W321" s="55"/>
      <c r="X321" s="55"/>
      <c r="Y321" s="57"/>
      <c r="Z321" s="53"/>
      <c r="AA321" s="54"/>
      <c r="AB321" s="55"/>
      <c r="AC321" s="55"/>
      <c r="AD321" s="57"/>
      <c r="AE321" s="56"/>
      <c r="AF321" s="54"/>
      <c r="AG321" s="55"/>
      <c r="AH321" s="55"/>
      <c r="AI321" s="57"/>
      <c r="AJ321" s="56"/>
      <c r="AK321" s="54"/>
      <c r="AL321" s="54"/>
      <c r="AM321" s="54"/>
      <c r="AN321" s="57"/>
      <c r="AO321" s="53"/>
      <c r="AP321" s="54"/>
      <c r="AQ321" s="54"/>
      <c r="AR321" s="54"/>
      <c r="AS321" s="57"/>
      <c r="AT321" s="56"/>
      <c r="AU321" s="57"/>
      <c r="AV321" s="56"/>
      <c r="AW321" s="57"/>
      <c r="AX321" s="8"/>
      <c r="AZ321" s="1">
        <v>90</v>
      </c>
      <c r="BB321" s="82">
        <f t="shared" si="31"/>
        <v>0</v>
      </c>
    </row>
    <row r="322" spans="3:54" ht="15" customHeight="1" x14ac:dyDescent="0.25">
      <c r="C322" s="42"/>
      <c r="D322" s="43">
        <f>D316</f>
        <v>45773</v>
      </c>
      <c r="E322" s="44">
        <f t="shared" si="36"/>
        <v>25.749999999999904</v>
      </c>
      <c r="F322" s="45">
        <f t="shared" si="32"/>
        <v>45773.750000000742</v>
      </c>
      <c r="G322" s="52"/>
      <c r="H322" s="53"/>
      <c r="I322" s="54"/>
      <c r="J322" s="54"/>
      <c r="K322" s="55"/>
      <c r="L322" s="56"/>
      <c r="M322" s="54"/>
      <c r="N322" s="54"/>
      <c r="O322" s="57"/>
      <c r="P322" s="53"/>
      <c r="Q322" s="54"/>
      <c r="R322" s="55"/>
      <c r="S322" s="55"/>
      <c r="T322" s="57"/>
      <c r="U322" s="56"/>
      <c r="V322" s="54"/>
      <c r="W322" s="55"/>
      <c r="X322" s="55"/>
      <c r="Y322" s="57"/>
      <c r="Z322" s="53"/>
      <c r="AA322" s="54"/>
      <c r="AB322" s="55"/>
      <c r="AC322" s="55"/>
      <c r="AD322" s="57"/>
      <c r="AE322" s="56"/>
      <c r="AF322" s="54"/>
      <c r="AG322" s="55"/>
      <c r="AH322" s="55"/>
      <c r="AI322" s="57"/>
      <c r="AJ322" s="56"/>
      <c r="AK322" s="54"/>
      <c r="AL322" s="54"/>
      <c r="AM322" s="54"/>
      <c r="AN322" s="57"/>
      <c r="AO322" s="53"/>
      <c r="AP322" s="54"/>
      <c r="AQ322" s="54"/>
      <c r="AR322" s="54"/>
      <c r="AS322" s="57"/>
      <c r="AT322" s="56"/>
      <c r="AU322" s="57"/>
      <c r="AV322" s="56"/>
      <c r="AW322" s="57"/>
      <c r="AX322" s="8"/>
      <c r="AZ322" s="1">
        <v>90</v>
      </c>
      <c r="BB322" s="82">
        <f t="shared" si="31"/>
        <v>0</v>
      </c>
    </row>
    <row r="323" spans="3:54" ht="15" customHeight="1" x14ac:dyDescent="0.25">
      <c r="C323" s="42"/>
      <c r="D323" s="43">
        <f>D316</f>
        <v>45773</v>
      </c>
      <c r="E323" s="44">
        <f t="shared" si="36"/>
        <v>25.833333333333236</v>
      </c>
      <c r="F323" s="45">
        <f t="shared" si="32"/>
        <v>45773.833333334078</v>
      </c>
      <c r="G323" s="52"/>
      <c r="H323" s="53"/>
      <c r="I323" s="54"/>
      <c r="J323" s="54"/>
      <c r="K323" s="55"/>
      <c r="L323" s="56"/>
      <c r="M323" s="54"/>
      <c r="N323" s="54"/>
      <c r="O323" s="57"/>
      <c r="P323" s="53"/>
      <c r="Q323" s="54"/>
      <c r="R323" s="55"/>
      <c r="S323" s="55"/>
      <c r="T323" s="57"/>
      <c r="U323" s="56"/>
      <c r="V323" s="54"/>
      <c r="W323" s="55"/>
      <c r="X323" s="55"/>
      <c r="Y323" s="57"/>
      <c r="Z323" s="53"/>
      <c r="AA323" s="54"/>
      <c r="AB323" s="55"/>
      <c r="AC323" s="55"/>
      <c r="AD323" s="57"/>
      <c r="AE323" s="56"/>
      <c r="AF323" s="54"/>
      <c r="AG323" s="55"/>
      <c r="AH323" s="55"/>
      <c r="AI323" s="57"/>
      <c r="AJ323" s="56"/>
      <c r="AK323" s="54"/>
      <c r="AL323" s="54"/>
      <c r="AM323" s="54"/>
      <c r="AN323" s="57"/>
      <c r="AO323" s="53"/>
      <c r="AP323" s="54"/>
      <c r="AQ323" s="54"/>
      <c r="AR323" s="54"/>
      <c r="AS323" s="57"/>
      <c r="AT323" s="56"/>
      <c r="AU323" s="57"/>
      <c r="AV323" s="56"/>
      <c r="AW323" s="57"/>
      <c r="AX323" s="8"/>
      <c r="AZ323" s="1">
        <v>90</v>
      </c>
      <c r="BB323" s="82">
        <f t="shared" si="31"/>
        <v>0</v>
      </c>
    </row>
    <row r="324" spans="3:54" ht="15" customHeight="1" x14ac:dyDescent="0.25">
      <c r="C324" s="42"/>
      <c r="D324" s="43">
        <f>D316</f>
        <v>45773</v>
      </c>
      <c r="E324" s="44">
        <f t="shared" si="36"/>
        <v>25.916666666666568</v>
      </c>
      <c r="F324" s="45">
        <f t="shared" si="32"/>
        <v>45773.916666667414</v>
      </c>
      <c r="G324" s="52"/>
      <c r="H324" s="53"/>
      <c r="I324" s="54"/>
      <c r="J324" s="54"/>
      <c r="K324" s="55"/>
      <c r="L324" s="56"/>
      <c r="M324" s="54"/>
      <c r="N324" s="54"/>
      <c r="O324" s="57"/>
      <c r="P324" s="53"/>
      <c r="Q324" s="54"/>
      <c r="R324" s="55"/>
      <c r="S324" s="55"/>
      <c r="T324" s="57"/>
      <c r="U324" s="56"/>
      <c r="V324" s="54"/>
      <c r="W324" s="55"/>
      <c r="X324" s="55"/>
      <c r="Y324" s="57"/>
      <c r="Z324" s="53"/>
      <c r="AA324" s="54"/>
      <c r="AB324" s="55"/>
      <c r="AC324" s="55"/>
      <c r="AD324" s="57"/>
      <c r="AE324" s="56"/>
      <c r="AF324" s="54"/>
      <c r="AG324" s="55"/>
      <c r="AH324" s="55"/>
      <c r="AI324" s="57"/>
      <c r="AJ324" s="56"/>
      <c r="AK324" s="54"/>
      <c r="AL324" s="54"/>
      <c r="AM324" s="54"/>
      <c r="AN324" s="57"/>
      <c r="AO324" s="53"/>
      <c r="AP324" s="54"/>
      <c r="AQ324" s="54"/>
      <c r="AR324" s="54"/>
      <c r="AS324" s="57"/>
      <c r="AT324" s="56"/>
      <c r="AU324" s="57"/>
      <c r="AV324" s="56"/>
      <c r="AW324" s="57"/>
      <c r="AX324" s="8"/>
      <c r="AZ324" s="1">
        <v>90</v>
      </c>
      <c r="BB324" s="82">
        <f t="shared" si="31"/>
        <v>0</v>
      </c>
    </row>
    <row r="325" spans="3:54" ht="15" customHeight="1" x14ac:dyDescent="0.25">
      <c r="C325" s="42"/>
      <c r="D325" s="43">
        <f>D316</f>
        <v>45773</v>
      </c>
      <c r="E325" s="44">
        <f t="shared" si="36"/>
        <v>25.999999999999901</v>
      </c>
      <c r="F325" s="45">
        <f t="shared" si="32"/>
        <v>45774.000000000749</v>
      </c>
      <c r="G325" s="52"/>
      <c r="H325" s="53"/>
      <c r="I325" s="54"/>
      <c r="J325" s="54"/>
      <c r="K325" s="55"/>
      <c r="L325" s="56"/>
      <c r="M325" s="54"/>
      <c r="N325" s="54"/>
      <c r="O325" s="57"/>
      <c r="P325" s="53"/>
      <c r="Q325" s="54"/>
      <c r="R325" s="55"/>
      <c r="S325" s="55"/>
      <c r="T325" s="57"/>
      <c r="U325" s="56"/>
      <c r="V325" s="54"/>
      <c r="W325" s="55"/>
      <c r="X325" s="55"/>
      <c r="Y325" s="57"/>
      <c r="Z325" s="53"/>
      <c r="AA325" s="54"/>
      <c r="AB325" s="55"/>
      <c r="AC325" s="55"/>
      <c r="AD325" s="57"/>
      <c r="AE325" s="56"/>
      <c r="AF325" s="54"/>
      <c r="AG325" s="55"/>
      <c r="AH325" s="55"/>
      <c r="AI325" s="57"/>
      <c r="AJ325" s="56"/>
      <c r="AK325" s="54"/>
      <c r="AL325" s="54"/>
      <c r="AM325" s="54"/>
      <c r="AN325" s="57"/>
      <c r="AO325" s="53"/>
      <c r="AP325" s="54"/>
      <c r="AQ325" s="54"/>
      <c r="AR325" s="54"/>
      <c r="AS325" s="57"/>
      <c r="AT325" s="56"/>
      <c r="AU325" s="57"/>
      <c r="AV325" s="56"/>
      <c r="AW325" s="57"/>
      <c r="AX325" s="8"/>
      <c r="AZ325" s="1">
        <v>90</v>
      </c>
      <c r="BB325" s="82">
        <f t="shared" si="31"/>
        <v>0</v>
      </c>
    </row>
    <row r="326" spans="3:54" ht="15" customHeight="1" x14ac:dyDescent="0.25">
      <c r="C326" s="42"/>
      <c r="D326" s="43">
        <f>D316</f>
        <v>45773</v>
      </c>
      <c r="E326" s="44">
        <f t="shared" si="36"/>
        <v>26.083333333333233</v>
      </c>
      <c r="F326" s="45">
        <f t="shared" si="32"/>
        <v>45774.083333334085</v>
      </c>
      <c r="G326" s="52"/>
      <c r="H326" s="53"/>
      <c r="I326" s="54"/>
      <c r="J326" s="54"/>
      <c r="K326" s="55"/>
      <c r="L326" s="56"/>
      <c r="M326" s="54"/>
      <c r="N326" s="54"/>
      <c r="O326" s="57"/>
      <c r="P326" s="53"/>
      <c r="Q326" s="54"/>
      <c r="R326" s="55"/>
      <c r="S326" s="55"/>
      <c r="T326" s="57"/>
      <c r="U326" s="56"/>
      <c r="V326" s="54"/>
      <c r="W326" s="55"/>
      <c r="X326" s="55"/>
      <c r="Y326" s="57"/>
      <c r="Z326" s="53"/>
      <c r="AA326" s="54"/>
      <c r="AB326" s="55"/>
      <c r="AC326" s="55"/>
      <c r="AD326" s="57"/>
      <c r="AE326" s="56"/>
      <c r="AF326" s="54"/>
      <c r="AG326" s="55"/>
      <c r="AH326" s="55"/>
      <c r="AI326" s="57"/>
      <c r="AJ326" s="56"/>
      <c r="AK326" s="54"/>
      <c r="AL326" s="54"/>
      <c r="AM326" s="54"/>
      <c r="AN326" s="57"/>
      <c r="AO326" s="53"/>
      <c r="AP326" s="54"/>
      <c r="AQ326" s="54"/>
      <c r="AR326" s="54"/>
      <c r="AS326" s="57"/>
      <c r="AT326" s="56"/>
      <c r="AU326" s="57"/>
      <c r="AV326" s="56"/>
      <c r="AW326" s="57"/>
      <c r="AX326" s="8"/>
      <c r="AZ326" s="1">
        <v>90</v>
      </c>
      <c r="BB326" s="82">
        <f t="shared" si="31"/>
        <v>0</v>
      </c>
    </row>
    <row r="327" spans="3:54" ht="15" customHeight="1" x14ac:dyDescent="0.25">
      <c r="C327" s="42"/>
      <c r="D327" s="69">
        <f>D316</f>
        <v>45773</v>
      </c>
      <c r="E327" s="70">
        <f t="shared" si="36"/>
        <v>26.166666666666565</v>
      </c>
      <c r="F327" s="71">
        <f t="shared" si="32"/>
        <v>45774.166666667421</v>
      </c>
      <c r="G327" s="60"/>
      <c r="H327" s="61"/>
      <c r="I327" s="62"/>
      <c r="J327" s="62"/>
      <c r="K327" s="63"/>
      <c r="L327" s="64"/>
      <c r="M327" s="62"/>
      <c r="N327" s="62"/>
      <c r="O327" s="65"/>
      <c r="P327" s="61"/>
      <c r="Q327" s="62"/>
      <c r="R327" s="63"/>
      <c r="S327" s="63"/>
      <c r="T327" s="65"/>
      <c r="U327" s="64"/>
      <c r="V327" s="62"/>
      <c r="W327" s="63"/>
      <c r="X327" s="63"/>
      <c r="Y327" s="65"/>
      <c r="Z327" s="61"/>
      <c r="AA327" s="62"/>
      <c r="AB327" s="63"/>
      <c r="AC327" s="63"/>
      <c r="AD327" s="65"/>
      <c r="AE327" s="64"/>
      <c r="AF327" s="62"/>
      <c r="AG327" s="63"/>
      <c r="AH327" s="63"/>
      <c r="AI327" s="65"/>
      <c r="AJ327" s="64"/>
      <c r="AK327" s="62"/>
      <c r="AL327" s="62"/>
      <c r="AM327" s="62"/>
      <c r="AN327" s="65"/>
      <c r="AO327" s="61"/>
      <c r="AP327" s="62"/>
      <c r="AQ327" s="62"/>
      <c r="AR327" s="62"/>
      <c r="AS327" s="65"/>
      <c r="AT327" s="64"/>
      <c r="AU327" s="65"/>
      <c r="AV327" s="64"/>
      <c r="AW327" s="65"/>
      <c r="AX327" s="8"/>
      <c r="AZ327" s="1">
        <v>90</v>
      </c>
      <c r="BB327" s="82">
        <f t="shared" si="31"/>
        <v>0</v>
      </c>
    </row>
    <row r="328" spans="3:54" ht="15" customHeight="1" x14ac:dyDescent="0.25">
      <c r="C328" s="42">
        <f>C316+1</f>
        <v>27</v>
      </c>
      <c r="D328" s="66">
        <f>DATE([4]Dash!$F$3,VLOOKUP([4]Dash!$E$3,[4]Abb!$C$3:$D$14,2,FALSE),C328)</f>
        <v>45774</v>
      </c>
      <c r="E328" s="67">
        <f>E327+2/24</f>
        <v>26.249999999999897</v>
      </c>
      <c r="F328" s="68">
        <f t="shared" si="32"/>
        <v>45774.250000000757</v>
      </c>
      <c r="G328" s="46"/>
      <c r="H328" s="47"/>
      <c r="I328" s="48"/>
      <c r="J328" s="48"/>
      <c r="K328" s="49"/>
      <c r="L328" s="50"/>
      <c r="M328" s="48"/>
      <c r="N328" s="48"/>
      <c r="O328" s="51"/>
      <c r="P328" s="47"/>
      <c r="Q328" s="48"/>
      <c r="R328" s="49"/>
      <c r="S328" s="49"/>
      <c r="T328" s="51"/>
      <c r="U328" s="50"/>
      <c r="V328" s="48"/>
      <c r="W328" s="49"/>
      <c r="X328" s="49"/>
      <c r="Y328" s="51"/>
      <c r="Z328" s="47"/>
      <c r="AA328" s="48"/>
      <c r="AB328" s="49"/>
      <c r="AC328" s="49"/>
      <c r="AD328" s="51"/>
      <c r="AE328" s="50"/>
      <c r="AF328" s="48"/>
      <c r="AG328" s="49"/>
      <c r="AH328" s="49"/>
      <c r="AI328" s="51"/>
      <c r="AJ328" s="50"/>
      <c r="AK328" s="48"/>
      <c r="AL328" s="48"/>
      <c r="AM328" s="48"/>
      <c r="AN328" s="51"/>
      <c r="AO328" s="47"/>
      <c r="AP328" s="48"/>
      <c r="AQ328" s="48"/>
      <c r="AR328" s="48"/>
      <c r="AS328" s="51"/>
      <c r="AT328" s="50"/>
      <c r="AU328" s="51"/>
      <c r="AV328" s="50"/>
      <c r="AW328" s="51"/>
      <c r="AX328" s="8"/>
      <c r="AZ328" s="1">
        <v>90</v>
      </c>
      <c r="BB328" s="82">
        <f t="shared" si="31"/>
        <v>0</v>
      </c>
    </row>
    <row r="329" spans="3:54" ht="15" customHeight="1" x14ac:dyDescent="0.25">
      <c r="C329" s="42"/>
      <c r="D329" s="43">
        <f>D328</f>
        <v>45774</v>
      </c>
      <c r="E329" s="44">
        <f>E328+2/24</f>
        <v>26.333333333333229</v>
      </c>
      <c r="F329" s="45">
        <f t="shared" si="32"/>
        <v>45774.333333334092</v>
      </c>
      <c r="G329" s="52"/>
      <c r="H329" s="53"/>
      <c r="I329" s="54"/>
      <c r="J329" s="54"/>
      <c r="K329" s="55"/>
      <c r="L329" s="56"/>
      <c r="M329" s="54"/>
      <c r="N329" s="54"/>
      <c r="O329" s="57"/>
      <c r="P329" s="53"/>
      <c r="Q329" s="54"/>
      <c r="R329" s="55"/>
      <c r="S329" s="55"/>
      <c r="T329" s="57"/>
      <c r="U329" s="56"/>
      <c r="V329" s="54"/>
      <c r="W329" s="55"/>
      <c r="X329" s="55"/>
      <c r="Y329" s="57"/>
      <c r="Z329" s="53"/>
      <c r="AA329" s="54"/>
      <c r="AB329" s="55"/>
      <c r="AC329" s="55"/>
      <c r="AD329" s="57"/>
      <c r="AE329" s="56"/>
      <c r="AF329" s="54"/>
      <c r="AG329" s="55"/>
      <c r="AH329" s="55"/>
      <c r="AI329" s="57"/>
      <c r="AJ329" s="56"/>
      <c r="AK329" s="54"/>
      <c r="AL329" s="54"/>
      <c r="AM329" s="54"/>
      <c r="AN329" s="57"/>
      <c r="AO329" s="53"/>
      <c r="AP329" s="54"/>
      <c r="AQ329" s="54"/>
      <c r="AR329" s="54"/>
      <c r="AS329" s="57"/>
      <c r="AT329" s="56"/>
      <c r="AU329" s="57"/>
      <c r="AV329" s="56"/>
      <c r="AW329" s="57"/>
      <c r="AX329" s="8"/>
      <c r="AZ329" s="1">
        <v>90</v>
      </c>
      <c r="BB329" s="82">
        <f t="shared" si="31"/>
        <v>0</v>
      </c>
    </row>
    <row r="330" spans="3:54" ht="15" customHeight="1" x14ac:dyDescent="0.25">
      <c r="C330" s="42"/>
      <c r="D330" s="43">
        <f>D328</f>
        <v>45774</v>
      </c>
      <c r="E330" s="44">
        <f t="shared" ref="E330:E339" si="37">E329+2/24</f>
        <v>26.416666666666561</v>
      </c>
      <c r="F330" s="45">
        <f t="shared" si="32"/>
        <v>45774.416666667428</v>
      </c>
      <c r="G330" s="52"/>
      <c r="H330" s="53"/>
      <c r="I330" s="54"/>
      <c r="J330" s="54"/>
      <c r="K330" s="55"/>
      <c r="L330" s="56"/>
      <c r="M330" s="54"/>
      <c r="N330" s="54"/>
      <c r="O330" s="57"/>
      <c r="P330" s="53"/>
      <c r="Q330" s="54"/>
      <c r="R330" s="55"/>
      <c r="S330" s="55"/>
      <c r="T330" s="57"/>
      <c r="U330" s="56"/>
      <c r="V330" s="54"/>
      <c r="W330" s="55"/>
      <c r="X330" s="55"/>
      <c r="Y330" s="57"/>
      <c r="Z330" s="53"/>
      <c r="AA330" s="54"/>
      <c r="AB330" s="55"/>
      <c r="AC330" s="55"/>
      <c r="AD330" s="57"/>
      <c r="AE330" s="56"/>
      <c r="AF330" s="54"/>
      <c r="AG330" s="55"/>
      <c r="AH330" s="55"/>
      <c r="AI330" s="57"/>
      <c r="AJ330" s="56"/>
      <c r="AK330" s="54"/>
      <c r="AL330" s="54"/>
      <c r="AM330" s="54"/>
      <c r="AN330" s="57"/>
      <c r="AO330" s="53"/>
      <c r="AP330" s="54"/>
      <c r="AQ330" s="54"/>
      <c r="AR330" s="54"/>
      <c r="AS330" s="57"/>
      <c r="AT330" s="56"/>
      <c r="AU330" s="57"/>
      <c r="AV330" s="56"/>
      <c r="AW330" s="57"/>
      <c r="AX330" s="8"/>
      <c r="AZ330" s="1">
        <v>90</v>
      </c>
      <c r="BB330" s="82">
        <f t="shared" si="31"/>
        <v>0</v>
      </c>
    </row>
    <row r="331" spans="3:54" ht="15" customHeight="1" x14ac:dyDescent="0.25">
      <c r="C331" s="42"/>
      <c r="D331" s="43">
        <f>D328</f>
        <v>45774</v>
      </c>
      <c r="E331" s="44">
        <f t="shared" si="37"/>
        <v>26.499999999999893</v>
      </c>
      <c r="F331" s="45">
        <f t="shared" si="32"/>
        <v>45774.500000000764</v>
      </c>
      <c r="G331" s="52"/>
      <c r="H331" s="53"/>
      <c r="I331" s="54"/>
      <c r="J331" s="54"/>
      <c r="K331" s="55"/>
      <c r="L331" s="56"/>
      <c r="M331" s="54"/>
      <c r="N331" s="54"/>
      <c r="O331" s="57"/>
      <c r="P331" s="53"/>
      <c r="Q331" s="54"/>
      <c r="R331" s="55"/>
      <c r="S331" s="55"/>
      <c r="T331" s="57"/>
      <c r="U331" s="56"/>
      <c r="V331" s="54"/>
      <c r="W331" s="55"/>
      <c r="X331" s="55"/>
      <c r="Y331" s="57"/>
      <c r="Z331" s="53"/>
      <c r="AA331" s="54"/>
      <c r="AB331" s="55"/>
      <c r="AC331" s="55"/>
      <c r="AD331" s="57"/>
      <c r="AE331" s="56"/>
      <c r="AF331" s="54"/>
      <c r="AG331" s="55"/>
      <c r="AH331" s="55"/>
      <c r="AI331" s="57"/>
      <c r="AJ331" s="56"/>
      <c r="AK331" s="54"/>
      <c r="AL331" s="54"/>
      <c r="AM331" s="54"/>
      <c r="AN331" s="57"/>
      <c r="AO331" s="53"/>
      <c r="AP331" s="54"/>
      <c r="AQ331" s="54"/>
      <c r="AR331" s="54"/>
      <c r="AS331" s="57"/>
      <c r="AT331" s="56"/>
      <c r="AU331" s="57"/>
      <c r="AV331" s="56"/>
      <c r="AW331" s="57"/>
      <c r="AX331" s="8"/>
      <c r="AZ331" s="1">
        <v>90</v>
      </c>
      <c r="BB331" s="82">
        <f t="shared" si="31"/>
        <v>0</v>
      </c>
    </row>
    <row r="332" spans="3:54" ht="15" customHeight="1" x14ac:dyDescent="0.25">
      <c r="C332" s="42"/>
      <c r="D332" s="43">
        <f>D328</f>
        <v>45774</v>
      </c>
      <c r="E332" s="44">
        <f t="shared" si="37"/>
        <v>26.583333333333226</v>
      </c>
      <c r="F332" s="45">
        <f t="shared" si="32"/>
        <v>45774.5833333341</v>
      </c>
      <c r="G332" s="52"/>
      <c r="H332" s="53"/>
      <c r="I332" s="54"/>
      <c r="J332" s="54"/>
      <c r="K332" s="55"/>
      <c r="L332" s="56"/>
      <c r="M332" s="54"/>
      <c r="N332" s="54"/>
      <c r="O332" s="57"/>
      <c r="P332" s="53"/>
      <c r="Q332" s="54"/>
      <c r="R332" s="55"/>
      <c r="S332" s="55"/>
      <c r="T332" s="57"/>
      <c r="U332" s="56"/>
      <c r="V332" s="54"/>
      <c r="W332" s="55"/>
      <c r="X332" s="55"/>
      <c r="Y332" s="57"/>
      <c r="Z332" s="53"/>
      <c r="AA332" s="54"/>
      <c r="AB332" s="55"/>
      <c r="AC332" s="55"/>
      <c r="AD332" s="57"/>
      <c r="AE332" s="56"/>
      <c r="AF332" s="54"/>
      <c r="AG332" s="55"/>
      <c r="AH332" s="55"/>
      <c r="AI332" s="57"/>
      <c r="AJ332" s="56"/>
      <c r="AK332" s="54"/>
      <c r="AL332" s="54"/>
      <c r="AM332" s="54"/>
      <c r="AN332" s="57"/>
      <c r="AO332" s="53"/>
      <c r="AP332" s="54"/>
      <c r="AQ332" s="54"/>
      <c r="AR332" s="54"/>
      <c r="AS332" s="57"/>
      <c r="AT332" s="56"/>
      <c r="AU332" s="57"/>
      <c r="AV332" s="56"/>
      <c r="AW332" s="57"/>
      <c r="AX332" s="8"/>
      <c r="AZ332" s="1">
        <v>90</v>
      </c>
      <c r="BB332" s="82">
        <f t="shared" si="31"/>
        <v>0</v>
      </c>
    </row>
    <row r="333" spans="3:54" ht="15" customHeight="1" x14ac:dyDescent="0.25">
      <c r="C333" s="42"/>
      <c r="D333" s="43">
        <f>D328</f>
        <v>45774</v>
      </c>
      <c r="E333" s="44">
        <f t="shared" si="37"/>
        <v>26.666666666666558</v>
      </c>
      <c r="F333" s="45">
        <f t="shared" si="32"/>
        <v>45774.666666667435</v>
      </c>
      <c r="G333" s="52"/>
      <c r="H333" s="53"/>
      <c r="I333" s="54"/>
      <c r="J333" s="54"/>
      <c r="K333" s="55"/>
      <c r="L333" s="56"/>
      <c r="M333" s="54"/>
      <c r="N333" s="54"/>
      <c r="O333" s="57"/>
      <c r="P333" s="53"/>
      <c r="Q333" s="54"/>
      <c r="R333" s="55"/>
      <c r="S333" s="55"/>
      <c r="T333" s="57"/>
      <c r="U333" s="56"/>
      <c r="V333" s="54"/>
      <c r="W333" s="55"/>
      <c r="X333" s="55"/>
      <c r="Y333" s="57"/>
      <c r="Z333" s="53"/>
      <c r="AA333" s="54"/>
      <c r="AB333" s="55"/>
      <c r="AC333" s="55"/>
      <c r="AD333" s="57"/>
      <c r="AE333" s="56"/>
      <c r="AF333" s="54"/>
      <c r="AG333" s="55"/>
      <c r="AH333" s="55"/>
      <c r="AI333" s="57"/>
      <c r="AJ333" s="56"/>
      <c r="AK333" s="54"/>
      <c r="AL333" s="54"/>
      <c r="AM333" s="54"/>
      <c r="AN333" s="57"/>
      <c r="AO333" s="53"/>
      <c r="AP333" s="54"/>
      <c r="AQ333" s="54"/>
      <c r="AR333" s="54"/>
      <c r="AS333" s="57"/>
      <c r="AT333" s="56"/>
      <c r="AU333" s="57"/>
      <c r="AV333" s="56"/>
      <c r="AW333" s="57"/>
      <c r="AX333" s="8"/>
      <c r="AZ333" s="1">
        <v>90</v>
      </c>
      <c r="BB333" s="82">
        <f t="shared" si="31"/>
        <v>0</v>
      </c>
    </row>
    <row r="334" spans="3:54" ht="15" customHeight="1" x14ac:dyDescent="0.25">
      <c r="C334" s="42"/>
      <c r="D334" s="43">
        <f>D328</f>
        <v>45774</v>
      </c>
      <c r="E334" s="44">
        <f t="shared" si="37"/>
        <v>26.74999999999989</v>
      </c>
      <c r="F334" s="45">
        <f t="shared" si="32"/>
        <v>45774.750000000771</v>
      </c>
      <c r="G334" s="52"/>
      <c r="H334" s="53"/>
      <c r="I334" s="54"/>
      <c r="J334" s="54"/>
      <c r="K334" s="55"/>
      <c r="L334" s="56"/>
      <c r="M334" s="54"/>
      <c r="N334" s="54"/>
      <c r="O334" s="57"/>
      <c r="P334" s="53"/>
      <c r="Q334" s="54"/>
      <c r="R334" s="55"/>
      <c r="S334" s="55"/>
      <c r="T334" s="57"/>
      <c r="U334" s="56"/>
      <c r="V334" s="54"/>
      <c r="W334" s="55"/>
      <c r="X334" s="55"/>
      <c r="Y334" s="57"/>
      <c r="Z334" s="53"/>
      <c r="AA334" s="54"/>
      <c r="AB334" s="55"/>
      <c r="AC334" s="55"/>
      <c r="AD334" s="57"/>
      <c r="AE334" s="56"/>
      <c r="AF334" s="54"/>
      <c r="AG334" s="55"/>
      <c r="AH334" s="55"/>
      <c r="AI334" s="57"/>
      <c r="AJ334" s="56"/>
      <c r="AK334" s="54"/>
      <c r="AL334" s="54"/>
      <c r="AM334" s="54"/>
      <c r="AN334" s="57"/>
      <c r="AO334" s="53"/>
      <c r="AP334" s="54"/>
      <c r="AQ334" s="54"/>
      <c r="AR334" s="54"/>
      <c r="AS334" s="57"/>
      <c r="AT334" s="56"/>
      <c r="AU334" s="57"/>
      <c r="AV334" s="56"/>
      <c r="AW334" s="57"/>
      <c r="AX334" s="8"/>
      <c r="AZ334" s="1">
        <v>90</v>
      </c>
      <c r="BB334" s="82">
        <f t="shared" si="31"/>
        <v>0</v>
      </c>
    </row>
    <row r="335" spans="3:54" ht="15" customHeight="1" x14ac:dyDescent="0.25">
      <c r="C335" s="42"/>
      <c r="D335" s="43">
        <f>D328</f>
        <v>45774</v>
      </c>
      <c r="E335" s="44">
        <f t="shared" si="37"/>
        <v>26.833333333333222</v>
      </c>
      <c r="F335" s="45">
        <f t="shared" si="32"/>
        <v>45774.833333334107</v>
      </c>
      <c r="G335" s="52"/>
      <c r="H335" s="53"/>
      <c r="I335" s="54"/>
      <c r="J335" s="54"/>
      <c r="K335" s="55"/>
      <c r="L335" s="56"/>
      <c r="M335" s="54"/>
      <c r="N335" s="54"/>
      <c r="O335" s="57"/>
      <c r="P335" s="53"/>
      <c r="Q335" s="54"/>
      <c r="R335" s="55"/>
      <c r="S335" s="55"/>
      <c r="T335" s="57"/>
      <c r="U335" s="56"/>
      <c r="V335" s="54"/>
      <c r="W335" s="55"/>
      <c r="X335" s="55"/>
      <c r="Y335" s="57"/>
      <c r="Z335" s="53"/>
      <c r="AA335" s="54"/>
      <c r="AB335" s="55"/>
      <c r="AC335" s="55"/>
      <c r="AD335" s="57"/>
      <c r="AE335" s="56"/>
      <c r="AF335" s="54"/>
      <c r="AG335" s="55"/>
      <c r="AH335" s="55"/>
      <c r="AI335" s="57"/>
      <c r="AJ335" s="56"/>
      <c r="AK335" s="54"/>
      <c r="AL335" s="54"/>
      <c r="AM335" s="54"/>
      <c r="AN335" s="57"/>
      <c r="AO335" s="53"/>
      <c r="AP335" s="54"/>
      <c r="AQ335" s="54"/>
      <c r="AR335" s="54"/>
      <c r="AS335" s="57"/>
      <c r="AT335" s="56"/>
      <c r="AU335" s="57"/>
      <c r="AV335" s="56"/>
      <c r="AW335" s="57"/>
      <c r="AX335" s="8"/>
      <c r="AZ335" s="1">
        <v>90</v>
      </c>
      <c r="BB335" s="82">
        <f t="shared" si="31"/>
        <v>0</v>
      </c>
    </row>
    <row r="336" spans="3:54" ht="15" customHeight="1" x14ac:dyDescent="0.25">
      <c r="C336" s="42"/>
      <c r="D336" s="43">
        <f>D328</f>
        <v>45774</v>
      </c>
      <c r="E336" s="44">
        <f t="shared" si="37"/>
        <v>26.916666666666554</v>
      </c>
      <c r="F336" s="45">
        <f t="shared" si="32"/>
        <v>45774.916666667443</v>
      </c>
      <c r="G336" s="52"/>
      <c r="H336" s="53"/>
      <c r="I336" s="54"/>
      <c r="J336" s="54"/>
      <c r="K336" s="55"/>
      <c r="L336" s="56"/>
      <c r="M336" s="54"/>
      <c r="N336" s="54"/>
      <c r="O336" s="57"/>
      <c r="P336" s="53"/>
      <c r="Q336" s="54"/>
      <c r="R336" s="55"/>
      <c r="S336" s="55"/>
      <c r="T336" s="57"/>
      <c r="U336" s="56"/>
      <c r="V336" s="54"/>
      <c r="W336" s="55"/>
      <c r="X336" s="55"/>
      <c r="Y336" s="57"/>
      <c r="Z336" s="53"/>
      <c r="AA336" s="54"/>
      <c r="AB336" s="55"/>
      <c r="AC336" s="55"/>
      <c r="AD336" s="57"/>
      <c r="AE336" s="56"/>
      <c r="AF336" s="54"/>
      <c r="AG336" s="55"/>
      <c r="AH336" s="55"/>
      <c r="AI336" s="57"/>
      <c r="AJ336" s="56"/>
      <c r="AK336" s="54"/>
      <c r="AL336" s="54"/>
      <c r="AM336" s="54"/>
      <c r="AN336" s="57"/>
      <c r="AO336" s="53"/>
      <c r="AP336" s="54"/>
      <c r="AQ336" s="54"/>
      <c r="AR336" s="54"/>
      <c r="AS336" s="57"/>
      <c r="AT336" s="56"/>
      <c r="AU336" s="57"/>
      <c r="AV336" s="56"/>
      <c r="AW336" s="57"/>
      <c r="AX336" s="8"/>
      <c r="AZ336" s="1">
        <v>90</v>
      </c>
      <c r="BB336" s="82">
        <f t="shared" si="31"/>
        <v>0</v>
      </c>
    </row>
    <row r="337" spans="3:54" ht="15" customHeight="1" x14ac:dyDescent="0.25">
      <c r="C337" s="42"/>
      <c r="D337" s="43">
        <f>D328</f>
        <v>45774</v>
      </c>
      <c r="E337" s="44">
        <f t="shared" si="37"/>
        <v>26.999999999999886</v>
      </c>
      <c r="F337" s="45">
        <f t="shared" si="32"/>
        <v>45775.000000000779</v>
      </c>
      <c r="G337" s="52"/>
      <c r="H337" s="53"/>
      <c r="I337" s="54"/>
      <c r="J337" s="54"/>
      <c r="K337" s="55"/>
      <c r="L337" s="56"/>
      <c r="M337" s="54"/>
      <c r="N337" s="54"/>
      <c r="O337" s="57"/>
      <c r="P337" s="53"/>
      <c r="Q337" s="54"/>
      <c r="R337" s="55"/>
      <c r="S337" s="55"/>
      <c r="T337" s="57"/>
      <c r="U337" s="56"/>
      <c r="V337" s="54"/>
      <c r="W337" s="55"/>
      <c r="X337" s="55"/>
      <c r="Y337" s="57"/>
      <c r="Z337" s="53"/>
      <c r="AA337" s="54"/>
      <c r="AB337" s="55"/>
      <c r="AC337" s="55"/>
      <c r="AD337" s="57"/>
      <c r="AE337" s="56"/>
      <c r="AF337" s="54"/>
      <c r="AG337" s="55"/>
      <c r="AH337" s="55"/>
      <c r="AI337" s="57"/>
      <c r="AJ337" s="56"/>
      <c r="AK337" s="54"/>
      <c r="AL337" s="54"/>
      <c r="AM337" s="54"/>
      <c r="AN337" s="57"/>
      <c r="AO337" s="53"/>
      <c r="AP337" s="54"/>
      <c r="AQ337" s="54"/>
      <c r="AR337" s="54"/>
      <c r="AS337" s="57"/>
      <c r="AT337" s="56"/>
      <c r="AU337" s="57"/>
      <c r="AV337" s="56"/>
      <c r="AW337" s="57"/>
      <c r="AX337" s="8"/>
      <c r="AZ337" s="1">
        <v>90</v>
      </c>
      <c r="BB337" s="82">
        <f t="shared" ref="BB337:BB387" si="38">((T337*442)+(Y337*442)+(AD337*442)+(AI337*442)+(AN337*442)+(AS337*442))/1000</f>
        <v>0</v>
      </c>
    </row>
    <row r="338" spans="3:54" ht="15" customHeight="1" x14ac:dyDescent="0.25">
      <c r="C338" s="42"/>
      <c r="D338" s="43">
        <f>D328</f>
        <v>45774</v>
      </c>
      <c r="E338" s="44">
        <f t="shared" si="37"/>
        <v>27.083333333333218</v>
      </c>
      <c r="F338" s="45">
        <f t="shared" ref="F338:F387" si="39">F337+(E338-E337)</f>
        <v>45775.083333334114</v>
      </c>
      <c r="G338" s="52"/>
      <c r="H338" s="53"/>
      <c r="I338" s="54"/>
      <c r="J338" s="54"/>
      <c r="K338" s="55"/>
      <c r="L338" s="56"/>
      <c r="M338" s="54"/>
      <c r="N338" s="54"/>
      <c r="O338" s="57"/>
      <c r="P338" s="53"/>
      <c r="Q338" s="54"/>
      <c r="R338" s="55"/>
      <c r="S338" s="55"/>
      <c r="T338" s="57"/>
      <c r="U338" s="56"/>
      <c r="V338" s="54"/>
      <c r="W338" s="55"/>
      <c r="X338" s="55"/>
      <c r="Y338" s="57"/>
      <c r="Z338" s="53"/>
      <c r="AA338" s="54"/>
      <c r="AB338" s="55"/>
      <c r="AC338" s="55"/>
      <c r="AD338" s="57"/>
      <c r="AE338" s="56"/>
      <c r="AF338" s="54"/>
      <c r="AG338" s="55"/>
      <c r="AH338" s="55"/>
      <c r="AI338" s="57"/>
      <c r="AJ338" s="56"/>
      <c r="AK338" s="54"/>
      <c r="AL338" s="54"/>
      <c r="AM338" s="54"/>
      <c r="AN338" s="57"/>
      <c r="AO338" s="53"/>
      <c r="AP338" s="54"/>
      <c r="AQ338" s="54"/>
      <c r="AR338" s="54"/>
      <c r="AS338" s="57"/>
      <c r="AT338" s="56"/>
      <c r="AU338" s="57"/>
      <c r="AV338" s="56"/>
      <c r="AW338" s="57"/>
      <c r="AX338" s="8"/>
      <c r="AZ338" s="1">
        <v>90</v>
      </c>
      <c r="BB338" s="82">
        <f t="shared" si="38"/>
        <v>0</v>
      </c>
    </row>
    <row r="339" spans="3:54" ht="15" customHeight="1" x14ac:dyDescent="0.25">
      <c r="C339" s="42"/>
      <c r="D339" s="69">
        <f>D328</f>
        <v>45774</v>
      </c>
      <c r="E339" s="70">
        <f t="shared" si="37"/>
        <v>27.166666666666551</v>
      </c>
      <c r="F339" s="71">
        <f t="shared" si="39"/>
        <v>45775.16666666745</v>
      </c>
      <c r="G339" s="60"/>
      <c r="H339" s="61"/>
      <c r="I339" s="62"/>
      <c r="J339" s="62"/>
      <c r="K339" s="63"/>
      <c r="L339" s="64"/>
      <c r="M339" s="62"/>
      <c r="N339" s="62"/>
      <c r="O339" s="65"/>
      <c r="P339" s="61"/>
      <c r="Q339" s="62"/>
      <c r="R339" s="63"/>
      <c r="S339" s="63"/>
      <c r="T339" s="65"/>
      <c r="U339" s="64"/>
      <c r="V339" s="62"/>
      <c r="W339" s="63"/>
      <c r="X339" s="63"/>
      <c r="Y339" s="65"/>
      <c r="Z339" s="61"/>
      <c r="AA339" s="62"/>
      <c r="AB339" s="63"/>
      <c r="AC339" s="63"/>
      <c r="AD339" s="65"/>
      <c r="AE339" s="64"/>
      <c r="AF339" s="62"/>
      <c r="AG339" s="63"/>
      <c r="AH339" s="63"/>
      <c r="AI339" s="65"/>
      <c r="AJ339" s="64"/>
      <c r="AK339" s="62"/>
      <c r="AL339" s="62"/>
      <c r="AM339" s="62"/>
      <c r="AN339" s="65"/>
      <c r="AO339" s="61"/>
      <c r="AP339" s="62"/>
      <c r="AQ339" s="62"/>
      <c r="AR339" s="62"/>
      <c r="AS339" s="65"/>
      <c r="AT339" s="64"/>
      <c r="AU339" s="65"/>
      <c r="AV339" s="64"/>
      <c r="AW339" s="65"/>
      <c r="AX339" s="8"/>
      <c r="AZ339" s="1">
        <v>90</v>
      </c>
      <c r="BB339" s="82">
        <f t="shared" si="38"/>
        <v>0</v>
      </c>
    </row>
    <row r="340" spans="3:54" ht="15" customHeight="1" x14ac:dyDescent="0.25">
      <c r="C340" s="42">
        <f>C328+1</f>
        <v>28</v>
      </c>
      <c r="D340" s="66">
        <f>DATE([4]Dash!$F$3,VLOOKUP([4]Dash!$E$3,[4]Abb!$C$3:$D$14,2,FALSE),C340)</f>
        <v>45775</v>
      </c>
      <c r="E340" s="67">
        <f>E339+2/24</f>
        <v>27.249999999999883</v>
      </c>
      <c r="F340" s="68">
        <f t="shared" si="39"/>
        <v>45775.250000000786</v>
      </c>
      <c r="G340" s="46"/>
      <c r="H340" s="47"/>
      <c r="I340" s="48"/>
      <c r="J340" s="48"/>
      <c r="K340" s="49"/>
      <c r="L340" s="50"/>
      <c r="M340" s="48"/>
      <c r="N340" s="48"/>
      <c r="O340" s="51"/>
      <c r="P340" s="47"/>
      <c r="Q340" s="48"/>
      <c r="R340" s="49"/>
      <c r="S340" s="49"/>
      <c r="T340" s="51"/>
      <c r="U340" s="50"/>
      <c r="V340" s="48"/>
      <c r="W340" s="49"/>
      <c r="X340" s="49"/>
      <c r="Y340" s="51"/>
      <c r="Z340" s="47"/>
      <c r="AA340" s="48"/>
      <c r="AB340" s="49"/>
      <c r="AC340" s="49"/>
      <c r="AD340" s="51"/>
      <c r="AE340" s="50"/>
      <c r="AF340" s="48"/>
      <c r="AG340" s="49"/>
      <c r="AH340" s="49"/>
      <c r="AI340" s="51"/>
      <c r="AJ340" s="50"/>
      <c r="AK340" s="48"/>
      <c r="AL340" s="48"/>
      <c r="AM340" s="48"/>
      <c r="AN340" s="51"/>
      <c r="AO340" s="47"/>
      <c r="AP340" s="48"/>
      <c r="AQ340" s="48"/>
      <c r="AR340" s="48"/>
      <c r="AS340" s="51"/>
      <c r="AT340" s="50"/>
      <c r="AU340" s="51"/>
      <c r="AV340" s="50"/>
      <c r="AW340" s="51"/>
      <c r="AX340" s="8"/>
      <c r="AZ340" s="1">
        <v>90</v>
      </c>
      <c r="BB340" s="82">
        <f t="shared" si="38"/>
        <v>0</v>
      </c>
    </row>
    <row r="341" spans="3:54" ht="15" customHeight="1" x14ac:dyDescent="0.25">
      <c r="C341" s="42"/>
      <c r="D341" s="43">
        <f>D340</f>
        <v>45775</v>
      </c>
      <c r="E341" s="44">
        <f>E340+2/24</f>
        <v>27.333333333333215</v>
      </c>
      <c r="F341" s="45">
        <f t="shared" si="39"/>
        <v>45775.333333334122</v>
      </c>
      <c r="G341" s="52"/>
      <c r="H341" s="53"/>
      <c r="I341" s="54"/>
      <c r="J341" s="54"/>
      <c r="K341" s="55"/>
      <c r="L341" s="56"/>
      <c r="M341" s="54"/>
      <c r="N341" s="54"/>
      <c r="O341" s="57"/>
      <c r="P341" s="53"/>
      <c r="Q341" s="54"/>
      <c r="R341" s="55"/>
      <c r="S341" s="55"/>
      <c r="T341" s="57"/>
      <c r="U341" s="56"/>
      <c r="V341" s="54"/>
      <c r="W341" s="55"/>
      <c r="X341" s="55"/>
      <c r="Y341" s="57"/>
      <c r="Z341" s="53"/>
      <c r="AA341" s="54"/>
      <c r="AB341" s="55"/>
      <c r="AC341" s="55"/>
      <c r="AD341" s="57"/>
      <c r="AE341" s="56"/>
      <c r="AF341" s="54"/>
      <c r="AG341" s="55"/>
      <c r="AH341" s="55"/>
      <c r="AI341" s="57"/>
      <c r="AJ341" s="56"/>
      <c r="AK341" s="54"/>
      <c r="AL341" s="54"/>
      <c r="AM341" s="54"/>
      <c r="AN341" s="57"/>
      <c r="AO341" s="53"/>
      <c r="AP341" s="54"/>
      <c r="AQ341" s="54"/>
      <c r="AR341" s="54"/>
      <c r="AS341" s="57"/>
      <c r="AT341" s="56"/>
      <c r="AU341" s="57"/>
      <c r="AV341" s="56"/>
      <c r="AW341" s="57"/>
      <c r="AX341" s="8"/>
      <c r="AZ341" s="1">
        <v>90</v>
      </c>
      <c r="BB341" s="82">
        <f t="shared" si="38"/>
        <v>0</v>
      </c>
    </row>
    <row r="342" spans="3:54" ht="15" customHeight="1" x14ac:dyDescent="0.25">
      <c r="C342" s="42"/>
      <c r="D342" s="43">
        <f>D340</f>
        <v>45775</v>
      </c>
      <c r="E342" s="44">
        <f t="shared" ref="E342:E351" si="40">E341+2/24</f>
        <v>27.416666666666547</v>
      </c>
      <c r="F342" s="45">
        <f t="shared" si="39"/>
        <v>45775.416666667457</v>
      </c>
      <c r="G342" s="52"/>
      <c r="H342" s="53"/>
      <c r="I342" s="54"/>
      <c r="J342" s="54"/>
      <c r="K342" s="55"/>
      <c r="L342" s="56"/>
      <c r="M342" s="54"/>
      <c r="N342" s="54"/>
      <c r="O342" s="57"/>
      <c r="P342" s="53"/>
      <c r="Q342" s="54"/>
      <c r="R342" s="55"/>
      <c r="S342" s="55"/>
      <c r="T342" s="57"/>
      <c r="U342" s="56"/>
      <c r="V342" s="54"/>
      <c r="W342" s="55"/>
      <c r="X342" s="55"/>
      <c r="Y342" s="57"/>
      <c r="Z342" s="53"/>
      <c r="AA342" s="54"/>
      <c r="AB342" s="55"/>
      <c r="AC342" s="55"/>
      <c r="AD342" s="57"/>
      <c r="AE342" s="56"/>
      <c r="AF342" s="54"/>
      <c r="AG342" s="55"/>
      <c r="AH342" s="55"/>
      <c r="AI342" s="57"/>
      <c r="AJ342" s="56"/>
      <c r="AK342" s="54"/>
      <c r="AL342" s="54"/>
      <c r="AM342" s="54"/>
      <c r="AN342" s="57"/>
      <c r="AO342" s="53"/>
      <c r="AP342" s="54"/>
      <c r="AQ342" s="54"/>
      <c r="AR342" s="54"/>
      <c r="AS342" s="57"/>
      <c r="AT342" s="56"/>
      <c r="AU342" s="57"/>
      <c r="AV342" s="56"/>
      <c r="AW342" s="57"/>
      <c r="AX342" s="8"/>
      <c r="AZ342" s="1">
        <v>90</v>
      </c>
      <c r="BB342" s="82">
        <f t="shared" si="38"/>
        <v>0</v>
      </c>
    </row>
    <row r="343" spans="3:54" ht="15" customHeight="1" x14ac:dyDescent="0.25">
      <c r="C343" s="42"/>
      <c r="D343" s="43">
        <f>D340</f>
        <v>45775</v>
      </c>
      <c r="E343" s="44">
        <f t="shared" si="40"/>
        <v>27.499999999999879</v>
      </c>
      <c r="F343" s="45">
        <f t="shared" si="39"/>
        <v>45775.500000000793</v>
      </c>
      <c r="G343" s="52"/>
      <c r="H343" s="53"/>
      <c r="I343" s="54"/>
      <c r="J343" s="54"/>
      <c r="K343" s="55"/>
      <c r="L343" s="56"/>
      <c r="M343" s="54"/>
      <c r="N343" s="54"/>
      <c r="O343" s="57"/>
      <c r="P343" s="53"/>
      <c r="Q343" s="54"/>
      <c r="R343" s="55"/>
      <c r="S343" s="55"/>
      <c r="T343" s="57"/>
      <c r="U343" s="56"/>
      <c r="V343" s="54"/>
      <c r="W343" s="55"/>
      <c r="X343" s="55"/>
      <c r="Y343" s="57"/>
      <c r="Z343" s="53"/>
      <c r="AA343" s="54"/>
      <c r="AB343" s="55"/>
      <c r="AC343" s="55"/>
      <c r="AD343" s="57"/>
      <c r="AE343" s="56"/>
      <c r="AF343" s="54"/>
      <c r="AG343" s="55"/>
      <c r="AH343" s="55"/>
      <c r="AI343" s="57"/>
      <c r="AJ343" s="56"/>
      <c r="AK343" s="54"/>
      <c r="AL343" s="54"/>
      <c r="AM343" s="54"/>
      <c r="AN343" s="57"/>
      <c r="AO343" s="53"/>
      <c r="AP343" s="54"/>
      <c r="AQ343" s="54"/>
      <c r="AR343" s="54"/>
      <c r="AS343" s="57"/>
      <c r="AT343" s="56"/>
      <c r="AU343" s="57"/>
      <c r="AV343" s="56"/>
      <c r="AW343" s="57"/>
      <c r="AX343" s="8"/>
      <c r="AZ343" s="1">
        <v>90</v>
      </c>
      <c r="BB343" s="82">
        <f t="shared" si="38"/>
        <v>0</v>
      </c>
    </row>
    <row r="344" spans="3:54" ht="15" customHeight="1" x14ac:dyDescent="0.25">
      <c r="C344" s="42"/>
      <c r="D344" s="43">
        <f>D340</f>
        <v>45775</v>
      </c>
      <c r="E344" s="44">
        <f t="shared" si="40"/>
        <v>27.583333333333211</v>
      </c>
      <c r="F344" s="45">
        <f t="shared" si="39"/>
        <v>45775.583333334129</v>
      </c>
      <c r="G344" s="52"/>
      <c r="H344" s="53"/>
      <c r="I344" s="54"/>
      <c r="J344" s="54"/>
      <c r="K344" s="55"/>
      <c r="L344" s="56"/>
      <c r="M344" s="54"/>
      <c r="N344" s="54"/>
      <c r="O344" s="57"/>
      <c r="P344" s="53"/>
      <c r="Q344" s="54"/>
      <c r="R344" s="55"/>
      <c r="S344" s="55"/>
      <c r="T344" s="57"/>
      <c r="U344" s="56"/>
      <c r="V344" s="54"/>
      <c r="W344" s="55"/>
      <c r="X344" s="55"/>
      <c r="Y344" s="57"/>
      <c r="Z344" s="53"/>
      <c r="AA344" s="54"/>
      <c r="AB344" s="55"/>
      <c r="AC344" s="55"/>
      <c r="AD344" s="57"/>
      <c r="AE344" s="56"/>
      <c r="AF344" s="54"/>
      <c r="AG344" s="55"/>
      <c r="AH344" s="55"/>
      <c r="AI344" s="57"/>
      <c r="AJ344" s="56"/>
      <c r="AK344" s="54"/>
      <c r="AL344" s="54"/>
      <c r="AM344" s="54"/>
      <c r="AN344" s="57"/>
      <c r="AO344" s="53"/>
      <c r="AP344" s="54"/>
      <c r="AQ344" s="54"/>
      <c r="AR344" s="54"/>
      <c r="AS344" s="57"/>
      <c r="AT344" s="56"/>
      <c r="AU344" s="57"/>
      <c r="AV344" s="56"/>
      <c r="AW344" s="57"/>
      <c r="AX344" s="8"/>
      <c r="AZ344" s="1">
        <v>90</v>
      </c>
      <c r="BB344" s="82">
        <f t="shared" si="38"/>
        <v>0</v>
      </c>
    </row>
    <row r="345" spans="3:54" ht="15" customHeight="1" x14ac:dyDescent="0.25">
      <c r="C345" s="42"/>
      <c r="D345" s="43">
        <f>D340</f>
        <v>45775</v>
      </c>
      <c r="E345" s="44">
        <f t="shared" si="40"/>
        <v>27.666666666666544</v>
      </c>
      <c r="F345" s="45">
        <f t="shared" si="39"/>
        <v>45775.666666667465</v>
      </c>
      <c r="G345" s="52"/>
      <c r="H345" s="53"/>
      <c r="I345" s="54"/>
      <c r="J345" s="54"/>
      <c r="K345" s="55"/>
      <c r="L345" s="56"/>
      <c r="M345" s="54"/>
      <c r="N345" s="54"/>
      <c r="O345" s="57"/>
      <c r="P345" s="53"/>
      <c r="Q345" s="54"/>
      <c r="R345" s="55"/>
      <c r="S345" s="55"/>
      <c r="T345" s="57"/>
      <c r="U345" s="56"/>
      <c r="V345" s="54"/>
      <c r="W345" s="55"/>
      <c r="X345" s="55"/>
      <c r="Y345" s="57"/>
      <c r="Z345" s="53"/>
      <c r="AA345" s="54"/>
      <c r="AB345" s="55"/>
      <c r="AC345" s="55"/>
      <c r="AD345" s="57"/>
      <c r="AE345" s="56"/>
      <c r="AF345" s="54"/>
      <c r="AG345" s="55"/>
      <c r="AH345" s="55"/>
      <c r="AI345" s="57"/>
      <c r="AJ345" s="56"/>
      <c r="AK345" s="54"/>
      <c r="AL345" s="54"/>
      <c r="AM345" s="54"/>
      <c r="AN345" s="57"/>
      <c r="AO345" s="53"/>
      <c r="AP345" s="54"/>
      <c r="AQ345" s="54"/>
      <c r="AR345" s="54"/>
      <c r="AS345" s="57"/>
      <c r="AT345" s="56"/>
      <c r="AU345" s="57"/>
      <c r="AV345" s="56"/>
      <c r="AW345" s="57"/>
      <c r="AX345" s="8"/>
      <c r="AZ345" s="1">
        <v>90</v>
      </c>
      <c r="BB345" s="82">
        <f t="shared" si="38"/>
        <v>0</v>
      </c>
    </row>
    <row r="346" spans="3:54" ht="15" customHeight="1" x14ac:dyDescent="0.25">
      <c r="C346" s="42"/>
      <c r="D346" s="43">
        <f>D340</f>
        <v>45775</v>
      </c>
      <c r="E346" s="44">
        <f t="shared" si="40"/>
        <v>27.749999999999876</v>
      </c>
      <c r="F346" s="45">
        <f t="shared" si="39"/>
        <v>45775.7500000008</v>
      </c>
      <c r="G346" s="52"/>
      <c r="H346" s="53"/>
      <c r="I346" s="54"/>
      <c r="J346" s="54"/>
      <c r="K346" s="55"/>
      <c r="L346" s="56"/>
      <c r="M346" s="54"/>
      <c r="N346" s="54"/>
      <c r="O346" s="57"/>
      <c r="P346" s="53"/>
      <c r="Q346" s="54"/>
      <c r="R346" s="55"/>
      <c r="S346" s="55"/>
      <c r="T346" s="57"/>
      <c r="U346" s="56"/>
      <c r="V346" s="54"/>
      <c r="W346" s="55"/>
      <c r="X346" s="55"/>
      <c r="Y346" s="57"/>
      <c r="Z346" s="53"/>
      <c r="AA346" s="54"/>
      <c r="AB346" s="55"/>
      <c r="AC346" s="55"/>
      <c r="AD346" s="57"/>
      <c r="AE346" s="56"/>
      <c r="AF346" s="54"/>
      <c r="AG346" s="55"/>
      <c r="AH346" s="55"/>
      <c r="AI346" s="57"/>
      <c r="AJ346" s="56"/>
      <c r="AK346" s="54"/>
      <c r="AL346" s="54"/>
      <c r="AM346" s="54"/>
      <c r="AN346" s="57"/>
      <c r="AO346" s="53"/>
      <c r="AP346" s="54"/>
      <c r="AQ346" s="54"/>
      <c r="AR346" s="54"/>
      <c r="AS346" s="57"/>
      <c r="AT346" s="56"/>
      <c r="AU346" s="57"/>
      <c r="AV346" s="56"/>
      <c r="AW346" s="57"/>
      <c r="AX346" s="8"/>
      <c r="AZ346" s="1">
        <v>90</v>
      </c>
      <c r="BB346" s="82">
        <f t="shared" si="38"/>
        <v>0</v>
      </c>
    </row>
    <row r="347" spans="3:54" ht="15" customHeight="1" x14ac:dyDescent="0.25">
      <c r="C347" s="42"/>
      <c r="D347" s="43">
        <f>D340</f>
        <v>45775</v>
      </c>
      <c r="E347" s="44">
        <f t="shared" si="40"/>
        <v>27.833333333333208</v>
      </c>
      <c r="F347" s="45">
        <f t="shared" si="39"/>
        <v>45775.833333334136</v>
      </c>
      <c r="G347" s="52"/>
      <c r="H347" s="53"/>
      <c r="I347" s="54"/>
      <c r="J347" s="54"/>
      <c r="K347" s="55"/>
      <c r="L347" s="56"/>
      <c r="M347" s="54"/>
      <c r="N347" s="54"/>
      <c r="O347" s="57"/>
      <c r="P347" s="53"/>
      <c r="Q347" s="54"/>
      <c r="R347" s="55"/>
      <c r="S347" s="55"/>
      <c r="T347" s="57"/>
      <c r="U347" s="56"/>
      <c r="V347" s="54"/>
      <c r="W347" s="55"/>
      <c r="X347" s="55"/>
      <c r="Y347" s="57"/>
      <c r="Z347" s="53"/>
      <c r="AA347" s="54"/>
      <c r="AB347" s="55"/>
      <c r="AC347" s="55"/>
      <c r="AD347" s="57"/>
      <c r="AE347" s="56"/>
      <c r="AF347" s="54"/>
      <c r="AG347" s="55"/>
      <c r="AH347" s="55"/>
      <c r="AI347" s="57"/>
      <c r="AJ347" s="56"/>
      <c r="AK347" s="54"/>
      <c r="AL347" s="54"/>
      <c r="AM347" s="54"/>
      <c r="AN347" s="57"/>
      <c r="AO347" s="53"/>
      <c r="AP347" s="54"/>
      <c r="AQ347" s="54"/>
      <c r="AR347" s="54"/>
      <c r="AS347" s="57"/>
      <c r="AT347" s="56"/>
      <c r="AU347" s="57"/>
      <c r="AV347" s="56"/>
      <c r="AW347" s="57"/>
      <c r="AX347" s="8"/>
      <c r="AZ347" s="1">
        <v>90</v>
      </c>
      <c r="BB347" s="82">
        <f t="shared" si="38"/>
        <v>0</v>
      </c>
    </row>
    <row r="348" spans="3:54" ht="15" customHeight="1" x14ac:dyDescent="0.25">
      <c r="C348" s="42"/>
      <c r="D348" s="43">
        <f>D340</f>
        <v>45775</v>
      </c>
      <c r="E348" s="44">
        <f t="shared" si="40"/>
        <v>27.91666666666654</v>
      </c>
      <c r="F348" s="45">
        <f t="shared" si="39"/>
        <v>45775.916666667472</v>
      </c>
      <c r="G348" s="52"/>
      <c r="H348" s="53"/>
      <c r="I348" s="54"/>
      <c r="J348" s="54"/>
      <c r="K348" s="55"/>
      <c r="L348" s="56"/>
      <c r="M348" s="54"/>
      <c r="N348" s="54"/>
      <c r="O348" s="57"/>
      <c r="P348" s="53"/>
      <c r="Q348" s="54"/>
      <c r="R348" s="55"/>
      <c r="S348" s="55"/>
      <c r="T348" s="57"/>
      <c r="U348" s="56"/>
      <c r="V348" s="54"/>
      <c r="W348" s="55"/>
      <c r="X348" s="55"/>
      <c r="Y348" s="57"/>
      <c r="Z348" s="53"/>
      <c r="AA348" s="54"/>
      <c r="AB348" s="55"/>
      <c r="AC348" s="55"/>
      <c r="AD348" s="57"/>
      <c r="AE348" s="56"/>
      <c r="AF348" s="54"/>
      <c r="AG348" s="55"/>
      <c r="AH348" s="55"/>
      <c r="AI348" s="57"/>
      <c r="AJ348" s="56"/>
      <c r="AK348" s="54"/>
      <c r="AL348" s="54"/>
      <c r="AM348" s="54"/>
      <c r="AN348" s="57"/>
      <c r="AO348" s="53"/>
      <c r="AP348" s="54"/>
      <c r="AQ348" s="54"/>
      <c r="AR348" s="54"/>
      <c r="AS348" s="57"/>
      <c r="AT348" s="56"/>
      <c r="AU348" s="57"/>
      <c r="AV348" s="56"/>
      <c r="AW348" s="57"/>
      <c r="AX348" s="8"/>
      <c r="AZ348" s="1">
        <v>90</v>
      </c>
      <c r="BB348" s="82">
        <f t="shared" si="38"/>
        <v>0</v>
      </c>
    </row>
    <row r="349" spans="3:54" ht="15" customHeight="1" x14ac:dyDescent="0.25">
      <c r="C349" s="42"/>
      <c r="D349" s="43">
        <f>D340</f>
        <v>45775</v>
      </c>
      <c r="E349" s="44">
        <f t="shared" si="40"/>
        <v>27.999999999999872</v>
      </c>
      <c r="F349" s="45">
        <f t="shared" si="39"/>
        <v>45776.000000000808</v>
      </c>
      <c r="G349" s="52"/>
      <c r="H349" s="53"/>
      <c r="I349" s="54"/>
      <c r="J349" s="54"/>
      <c r="K349" s="55"/>
      <c r="L349" s="56"/>
      <c r="M349" s="54"/>
      <c r="N349" s="54"/>
      <c r="O349" s="57"/>
      <c r="P349" s="53"/>
      <c r="Q349" s="54"/>
      <c r="R349" s="55"/>
      <c r="S349" s="55"/>
      <c r="T349" s="57"/>
      <c r="U349" s="56"/>
      <c r="V349" s="54"/>
      <c r="W349" s="55"/>
      <c r="X349" s="55"/>
      <c r="Y349" s="57"/>
      <c r="Z349" s="53"/>
      <c r="AA349" s="54"/>
      <c r="AB349" s="55"/>
      <c r="AC349" s="55"/>
      <c r="AD349" s="57"/>
      <c r="AE349" s="56"/>
      <c r="AF349" s="54"/>
      <c r="AG349" s="55"/>
      <c r="AH349" s="55"/>
      <c r="AI349" s="57"/>
      <c r="AJ349" s="56"/>
      <c r="AK349" s="54"/>
      <c r="AL349" s="54"/>
      <c r="AM349" s="54"/>
      <c r="AN349" s="57"/>
      <c r="AO349" s="53"/>
      <c r="AP349" s="54"/>
      <c r="AQ349" s="54"/>
      <c r="AR349" s="54"/>
      <c r="AS349" s="57"/>
      <c r="AT349" s="56"/>
      <c r="AU349" s="57"/>
      <c r="AV349" s="56"/>
      <c r="AW349" s="57"/>
      <c r="AX349" s="8"/>
      <c r="AZ349" s="1">
        <v>90</v>
      </c>
      <c r="BB349" s="82">
        <f t="shared" si="38"/>
        <v>0</v>
      </c>
    </row>
    <row r="350" spans="3:54" ht="15" customHeight="1" x14ac:dyDescent="0.25">
      <c r="C350" s="42"/>
      <c r="D350" s="43">
        <f>D340</f>
        <v>45775</v>
      </c>
      <c r="E350" s="44">
        <f t="shared" si="40"/>
        <v>28.083333333333204</v>
      </c>
      <c r="F350" s="45">
        <f t="shared" si="39"/>
        <v>45776.083333334143</v>
      </c>
      <c r="G350" s="52"/>
      <c r="H350" s="53"/>
      <c r="I350" s="54"/>
      <c r="J350" s="54"/>
      <c r="K350" s="55"/>
      <c r="L350" s="56"/>
      <c r="M350" s="54"/>
      <c r="N350" s="54"/>
      <c r="O350" s="57"/>
      <c r="P350" s="53"/>
      <c r="Q350" s="54"/>
      <c r="R350" s="55"/>
      <c r="S350" s="55"/>
      <c r="T350" s="57"/>
      <c r="U350" s="56"/>
      <c r="V350" s="54"/>
      <c r="W350" s="55"/>
      <c r="X350" s="55"/>
      <c r="Y350" s="57"/>
      <c r="Z350" s="53"/>
      <c r="AA350" s="54"/>
      <c r="AB350" s="55"/>
      <c r="AC350" s="55"/>
      <c r="AD350" s="57"/>
      <c r="AE350" s="56"/>
      <c r="AF350" s="54"/>
      <c r="AG350" s="55"/>
      <c r="AH350" s="55"/>
      <c r="AI350" s="57"/>
      <c r="AJ350" s="56"/>
      <c r="AK350" s="54"/>
      <c r="AL350" s="54"/>
      <c r="AM350" s="54"/>
      <c r="AN350" s="57"/>
      <c r="AO350" s="53"/>
      <c r="AP350" s="54"/>
      <c r="AQ350" s="54"/>
      <c r="AR350" s="54"/>
      <c r="AS350" s="57"/>
      <c r="AT350" s="56"/>
      <c r="AU350" s="57"/>
      <c r="AV350" s="56"/>
      <c r="AW350" s="57"/>
      <c r="AX350" s="8"/>
      <c r="AZ350" s="1">
        <v>90</v>
      </c>
      <c r="BB350" s="82">
        <f t="shared" si="38"/>
        <v>0</v>
      </c>
    </row>
    <row r="351" spans="3:54" ht="15" customHeight="1" x14ac:dyDescent="0.25">
      <c r="C351" s="42"/>
      <c r="D351" s="69">
        <f>D340</f>
        <v>45775</v>
      </c>
      <c r="E351" s="70">
        <f t="shared" si="40"/>
        <v>28.166666666666536</v>
      </c>
      <c r="F351" s="71">
        <f t="shared" si="39"/>
        <v>45776.166666667479</v>
      </c>
      <c r="G351" s="60"/>
      <c r="H351" s="61"/>
      <c r="I351" s="62"/>
      <c r="J351" s="62"/>
      <c r="K351" s="63"/>
      <c r="L351" s="64"/>
      <c r="M351" s="62"/>
      <c r="N351" s="62"/>
      <c r="O351" s="65"/>
      <c r="P351" s="61"/>
      <c r="Q351" s="62"/>
      <c r="R351" s="63"/>
      <c r="S351" s="63"/>
      <c r="T351" s="65"/>
      <c r="U351" s="64"/>
      <c r="V351" s="62"/>
      <c r="W351" s="63"/>
      <c r="X351" s="63"/>
      <c r="Y351" s="65"/>
      <c r="Z351" s="61"/>
      <c r="AA351" s="62"/>
      <c r="AB351" s="63"/>
      <c r="AC351" s="63"/>
      <c r="AD351" s="65"/>
      <c r="AE351" s="64"/>
      <c r="AF351" s="62"/>
      <c r="AG351" s="63"/>
      <c r="AH351" s="63"/>
      <c r="AI351" s="65"/>
      <c r="AJ351" s="64"/>
      <c r="AK351" s="62"/>
      <c r="AL351" s="62"/>
      <c r="AM351" s="62"/>
      <c r="AN351" s="65"/>
      <c r="AO351" s="61"/>
      <c r="AP351" s="62"/>
      <c r="AQ351" s="62"/>
      <c r="AR351" s="62"/>
      <c r="AS351" s="65"/>
      <c r="AT351" s="64"/>
      <c r="AU351" s="65"/>
      <c r="AV351" s="64"/>
      <c r="AW351" s="65"/>
      <c r="AX351" s="8"/>
      <c r="AZ351" s="1">
        <v>90</v>
      </c>
      <c r="BB351" s="82">
        <f t="shared" si="38"/>
        <v>0</v>
      </c>
    </row>
    <row r="352" spans="3:54" ht="15" customHeight="1" x14ac:dyDescent="0.25">
      <c r="C352" s="42">
        <f>DAY(D352)</f>
        <v>29</v>
      </c>
      <c r="D352" s="66">
        <f>D340+1</f>
        <v>45776</v>
      </c>
      <c r="E352" s="67">
        <f>E351+2/24</f>
        <v>28.249999999999869</v>
      </c>
      <c r="F352" s="68">
        <f t="shared" si="39"/>
        <v>45776.250000000815</v>
      </c>
      <c r="G352" s="46"/>
      <c r="H352" s="47"/>
      <c r="I352" s="48"/>
      <c r="J352" s="48"/>
      <c r="K352" s="49"/>
      <c r="L352" s="50"/>
      <c r="M352" s="48"/>
      <c r="N352" s="48"/>
      <c r="O352" s="51"/>
      <c r="P352" s="47"/>
      <c r="Q352" s="48"/>
      <c r="R352" s="49"/>
      <c r="S352" s="49"/>
      <c r="T352" s="51"/>
      <c r="U352" s="50"/>
      <c r="V352" s="48"/>
      <c r="W352" s="49"/>
      <c r="X352" s="49"/>
      <c r="Y352" s="51"/>
      <c r="Z352" s="47"/>
      <c r="AA352" s="48"/>
      <c r="AB352" s="49"/>
      <c r="AC352" s="49"/>
      <c r="AD352" s="51"/>
      <c r="AE352" s="50"/>
      <c r="AF352" s="48"/>
      <c r="AG352" s="49"/>
      <c r="AH352" s="49"/>
      <c r="AI352" s="51"/>
      <c r="AJ352" s="50"/>
      <c r="AK352" s="48"/>
      <c r="AL352" s="48"/>
      <c r="AM352" s="48"/>
      <c r="AN352" s="51"/>
      <c r="AO352" s="47"/>
      <c r="AP352" s="48"/>
      <c r="AQ352" s="48"/>
      <c r="AR352" s="48"/>
      <c r="AS352" s="51"/>
      <c r="AT352" s="50"/>
      <c r="AU352" s="51"/>
      <c r="AV352" s="50"/>
      <c r="AW352" s="51"/>
      <c r="AX352" s="8"/>
      <c r="AZ352" s="1">
        <v>90</v>
      </c>
      <c r="BB352" s="82">
        <f t="shared" si="38"/>
        <v>0</v>
      </c>
    </row>
    <row r="353" spans="3:54" ht="15" customHeight="1" x14ac:dyDescent="0.25">
      <c r="C353" s="42"/>
      <c r="D353" s="43">
        <f>D352</f>
        <v>45776</v>
      </c>
      <c r="E353" s="44">
        <f>E352+2/24</f>
        <v>28.333333333333201</v>
      </c>
      <c r="F353" s="45">
        <f t="shared" si="39"/>
        <v>45776.333333334151</v>
      </c>
      <c r="G353" s="52"/>
      <c r="H353" s="53"/>
      <c r="I353" s="54"/>
      <c r="J353" s="54"/>
      <c r="K353" s="55"/>
      <c r="L353" s="56"/>
      <c r="M353" s="54"/>
      <c r="N353" s="54"/>
      <c r="O353" s="57"/>
      <c r="P353" s="53"/>
      <c r="Q353" s="54"/>
      <c r="R353" s="55"/>
      <c r="S353" s="55"/>
      <c r="T353" s="57"/>
      <c r="U353" s="56"/>
      <c r="V353" s="54"/>
      <c r="W353" s="55"/>
      <c r="X353" s="55"/>
      <c r="Y353" s="57"/>
      <c r="Z353" s="53"/>
      <c r="AA353" s="54"/>
      <c r="AB353" s="55"/>
      <c r="AC353" s="55"/>
      <c r="AD353" s="57"/>
      <c r="AE353" s="56"/>
      <c r="AF353" s="54"/>
      <c r="AG353" s="55"/>
      <c r="AH353" s="55"/>
      <c r="AI353" s="57"/>
      <c r="AJ353" s="56"/>
      <c r="AK353" s="54"/>
      <c r="AL353" s="54"/>
      <c r="AM353" s="54"/>
      <c r="AN353" s="57"/>
      <c r="AO353" s="53"/>
      <c r="AP353" s="54"/>
      <c r="AQ353" s="54"/>
      <c r="AR353" s="54"/>
      <c r="AS353" s="57"/>
      <c r="AT353" s="56"/>
      <c r="AU353" s="57"/>
      <c r="AV353" s="56"/>
      <c r="AW353" s="57"/>
      <c r="AX353" s="8"/>
      <c r="AZ353" s="1">
        <v>90</v>
      </c>
      <c r="BB353" s="82">
        <f t="shared" si="38"/>
        <v>0</v>
      </c>
    </row>
    <row r="354" spans="3:54" ht="15" customHeight="1" x14ac:dyDescent="0.25">
      <c r="C354" s="42"/>
      <c r="D354" s="43">
        <f>D352</f>
        <v>45776</v>
      </c>
      <c r="E354" s="44">
        <f t="shared" ref="E354:E363" si="41">E353+2/24</f>
        <v>28.416666666666533</v>
      </c>
      <c r="F354" s="45">
        <f t="shared" si="39"/>
        <v>45776.416666667486</v>
      </c>
      <c r="G354" s="52"/>
      <c r="H354" s="53"/>
      <c r="I354" s="54"/>
      <c r="J354" s="54"/>
      <c r="K354" s="55"/>
      <c r="L354" s="56"/>
      <c r="M354" s="54"/>
      <c r="N354" s="54"/>
      <c r="O354" s="57"/>
      <c r="P354" s="53"/>
      <c r="Q354" s="54"/>
      <c r="R354" s="55"/>
      <c r="S354" s="55"/>
      <c r="T354" s="57"/>
      <c r="U354" s="56"/>
      <c r="V354" s="54"/>
      <c r="W354" s="55"/>
      <c r="X354" s="55"/>
      <c r="Y354" s="57"/>
      <c r="Z354" s="53"/>
      <c r="AA354" s="54"/>
      <c r="AB354" s="55"/>
      <c r="AC354" s="55"/>
      <c r="AD354" s="57"/>
      <c r="AE354" s="56"/>
      <c r="AF354" s="54"/>
      <c r="AG354" s="55"/>
      <c r="AH354" s="55"/>
      <c r="AI354" s="57"/>
      <c r="AJ354" s="56"/>
      <c r="AK354" s="54"/>
      <c r="AL354" s="54"/>
      <c r="AM354" s="54"/>
      <c r="AN354" s="57"/>
      <c r="AO354" s="53"/>
      <c r="AP354" s="54"/>
      <c r="AQ354" s="54"/>
      <c r="AR354" s="54"/>
      <c r="AS354" s="57"/>
      <c r="AT354" s="56"/>
      <c r="AU354" s="57"/>
      <c r="AV354" s="56"/>
      <c r="AW354" s="57"/>
      <c r="AX354" s="8"/>
      <c r="AZ354" s="1">
        <v>90</v>
      </c>
      <c r="BB354" s="82">
        <f t="shared" si="38"/>
        <v>0</v>
      </c>
    </row>
    <row r="355" spans="3:54" ht="15" customHeight="1" x14ac:dyDescent="0.25">
      <c r="C355" s="42"/>
      <c r="D355" s="43">
        <f>D352</f>
        <v>45776</v>
      </c>
      <c r="E355" s="44">
        <f t="shared" si="41"/>
        <v>28.499999999999865</v>
      </c>
      <c r="F355" s="45">
        <f t="shared" si="39"/>
        <v>45776.500000000822</v>
      </c>
      <c r="G355" s="52"/>
      <c r="H355" s="53"/>
      <c r="I355" s="54"/>
      <c r="J355" s="54"/>
      <c r="K355" s="55"/>
      <c r="L355" s="56"/>
      <c r="M355" s="54"/>
      <c r="N355" s="54"/>
      <c r="O355" s="57"/>
      <c r="P355" s="53"/>
      <c r="Q355" s="54"/>
      <c r="R355" s="55"/>
      <c r="S355" s="55"/>
      <c r="T355" s="57"/>
      <c r="U355" s="56"/>
      <c r="V355" s="54"/>
      <c r="W355" s="55"/>
      <c r="X355" s="55"/>
      <c r="Y355" s="57"/>
      <c r="Z355" s="53"/>
      <c r="AA355" s="54"/>
      <c r="AB355" s="55"/>
      <c r="AC355" s="55"/>
      <c r="AD355" s="57"/>
      <c r="AE355" s="56"/>
      <c r="AF355" s="54"/>
      <c r="AG355" s="55"/>
      <c r="AH355" s="55"/>
      <c r="AI355" s="57"/>
      <c r="AJ355" s="56"/>
      <c r="AK355" s="54"/>
      <c r="AL355" s="54"/>
      <c r="AM355" s="54"/>
      <c r="AN355" s="57"/>
      <c r="AO355" s="53"/>
      <c r="AP355" s="54"/>
      <c r="AQ355" s="54"/>
      <c r="AR355" s="54"/>
      <c r="AS355" s="57"/>
      <c r="AT355" s="56"/>
      <c r="AU355" s="57"/>
      <c r="AV355" s="56"/>
      <c r="AW355" s="57"/>
      <c r="AX355" s="8"/>
      <c r="AZ355" s="1">
        <v>90</v>
      </c>
      <c r="BB355" s="82">
        <f t="shared" si="38"/>
        <v>0</v>
      </c>
    </row>
    <row r="356" spans="3:54" ht="15" customHeight="1" x14ac:dyDescent="0.25">
      <c r="C356" s="42"/>
      <c r="D356" s="43">
        <f>D352</f>
        <v>45776</v>
      </c>
      <c r="E356" s="44">
        <f t="shared" si="41"/>
        <v>28.583333333333197</v>
      </c>
      <c r="F356" s="45">
        <f t="shared" si="39"/>
        <v>45776.583333334158</v>
      </c>
      <c r="G356" s="52"/>
      <c r="H356" s="53"/>
      <c r="I356" s="54"/>
      <c r="J356" s="54"/>
      <c r="K356" s="55"/>
      <c r="L356" s="56"/>
      <c r="M356" s="54"/>
      <c r="N356" s="54"/>
      <c r="O356" s="57"/>
      <c r="P356" s="53"/>
      <c r="Q356" s="54"/>
      <c r="R356" s="55"/>
      <c r="S356" s="55"/>
      <c r="T356" s="57"/>
      <c r="U356" s="56"/>
      <c r="V356" s="54"/>
      <c r="W356" s="55"/>
      <c r="X356" s="55"/>
      <c r="Y356" s="57"/>
      <c r="Z356" s="53"/>
      <c r="AA356" s="54"/>
      <c r="AB356" s="55"/>
      <c r="AC356" s="55"/>
      <c r="AD356" s="57"/>
      <c r="AE356" s="56"/>
      <c r="AF356" s="54"/>
      <c r="AG356" s="55"/>
      <c r="AH356" s="55"/>
      <c r="AI356" s="57"/>
      <c r="AJ356" s="56"/>
      <c r="AK356" s="54"/>
      <c r="AL356" s="54"/>
      <c r="AM356" s="54"/>
      <c r="AN356" s="57"/>
      <c r="AO356" s="53"/>
      <c r="AP356" s="54"/>
      <c r="AQ356" s="54"/>
      <c r="AR356" s="54"/>
      <c r="AS356" s="57"/>
      <c r="AT356" s="56"/>
      <c r="AU356" s="57"/>
      <c r="AV356" s="56"/>
      <c r="AW356" s="57"/>
      <c r="AX356" s="8"/>
      <c r="AZ356" s="1">
        <v>90</v>
      </c>
      <c r="BB356" s="82">
        <f t="shared" si="38"/>
        <v>0</v>
      </c>
    </row>
    <row r="357" spans="3:54" ht="15" customHeight="1" x14ac:dyDescent="0.25">
      <c r="C357" s="42"/>
      <c r="D357" s="43">
        <f>D352</f>
        <v>45776</v>
      </c>
      <c r="E357" s="44">
        <f t="shared" si="41"/>
        <v>28.666666666666529</v>
      </c>
      <c r="F357" s="45">
        <f t="shared" si="39"/>
        <v>45776.666666667494</v>
      </c>
      <c r="G357" s="52"/>
      <c r="H357" s="53"/>
      <c r="I357" s="54"/>
      <c r="J357" s="54"/>
      <c r="K357" s="55"/>
      <c r="L357" s="56"/>
      <c r="M357" s="54"/>
      <c r="N357" s="54"/>
      <c r="O357" s="57"/>
      <c r="P357" s="53"/>
      <c r="Q357" s="54"/>
      <c r="R357" s="55"/>
      <c r="S357" s="55"/>
      <c r="T357" s="57"/>
      <c r="U357" s="56"/>
      <c r="V357" s="54"/>
      <c r="W357" s="55"/>
      <c r="X357" s="55"/>
      <c r="Y357" s="57"/>
      <c r="Z357" s="53"/>
      <c r="AA357" s="54"/>
      <c r="AB357" s="55"/>
      <c r="AC357" s="55"/>
      <c r="AD357" s="57"/>
      <c r="AE357" s="56"/>
      <c r="AF357" s="54"/>
      <c r="AG357" s="55"/>
      <c r="AH357" s="55"/>
      <c r="AI357" s="57"/>
      <c r="AJ357" s="56"/>
      <c r="AK357" s="54"/>
      <c r="AL357" s="54"/>
      <c r="AM357" s="54"/>
      <c r="AN357" s="57"/>
      <c r="AO357" s="53"/>
      <c r="AP357" s="54"/>
      <c r="AQ357" s="54"/>
      <c r="AR357" s="54"/>
      <c r="AS357" s="57"/>
      <c r="AT357" s="56"/>
      <c r="AU357" s="57"/>
      <c r="AV357" s="56"/>
      <c r="AW357" s="57"/>
      <c r="AX357" s="8"/>
      <c r="AZ357" s="1">
        <v>90</v>
      </c>
      <c r="BB357" s="82">
        <f t="shared" si="38"/>
        <v>0</v>
      </c>
    </row>
    <row r="358" spans="3:54" ht="15" customHeight="1" x14ac:dyDescent="0.25">
      <c r="C358" s="42"/>
      <c r="D358" s="43">
        <f>D352</f>
        <v>45776</v>
      </c>
      <c r="E358" s="44">
        <f t="shared" si="41"/>
        <v>28.749999999999861</v>
      </c>
      <c r="F358" s="45">
        <f t="shared" si="39"/>
        <v>45776.750000000829</v>
      </c>
      <c r="G358" s="52"/>
      <c r="H358" s="53"/>
      <c r="I358" s="54"/>
      <c r="J358" s="54"/>
      <c r="K358" s="55"/>
      <c r="L358" s="56"/>
      <c r="M358" s="54"/>
      <c r="N358" s="54"/>
      <c r="O358" s="57"/>
      <c r="P358" s="53"/>
      <c r="Q358" s="54"/>
      <c r="R358" s="55"/>
      <c r="S358" s="55"/>
      <c r="T358" s="57"/>
      <c r="U358" s="56"/>
      <c r="V358" s="54"/>
      <c r="W358" s="55"/>
      <c r="X358" s="55"/>
      <c r="Y358" s="57"/>
      <c r="Z358" s="53"/>
      <c r="AA358" s="54"/>
      <c r="AB358" s="55"/>
      <c r="AC358" s="55"/>
      <c r="AD358" s="57"/>
      <c r="AE358" s="56"/>
      <c r="AF358" s="54"/>
      <c r="AG358" s="55"/>
      <c r="AH358" s="55"/>
      <c r="AI358" s="57"/>
      <c r="AJ358" s="56"/>
      <c r="AK358" s="54"/>
      <c r="AL358" s="54"/>
      <c r="AM358" s="54"/>
      <c r="AN358" s="57"/>
      <c r="AO358" s="53"/>
      <c r="AP358" s="54"/>
      <c r="AQ358" s="54"/>
      <c r="AR358" s="54"/>
      <c r="AS358" s="57"/>
      <c r="AT358" s="56"/>
      <c r="AU358" s="57"/>
      <c r="AV358" s="56"/>
      <c r="AW358" s="57"/>
      <c r="AX358" s="8"/>
      <c r="AZ358" s="1">
        <v>90</v>
      </c>
      <c r="BB358" s="82">
        <f t="shared" si="38"/>
        <v>0</v>
      </c>
    </row>
    <row r="359" spans="3:54" ht="15" customHeight="1" x14ac:dyDescent="0.25">
      <c r="C359" s="42"/>
      <c r="D359" s="43">
        <f>D352</f>
        <v>45776</v>
      </c>
      <c r="E359" s="44">
        <f t="shared" si="41"/>
        <v>28.833333333333194</v>
      </c>
      <c r="F359" s="45">
        <f t="shared" si="39"/>
        <v>45776.833333334165</v>
      </c>
      <c r="G359" s="52"/>
      <c r="H359" s="53"/>
      <c r="I359" s="54"/>
      <c r="J359" s="54"/>
      <c r="K359" s="55"/>
      <c r="L359" s="56"/>
      <c r="M359" s="54"/>
      <c r="N359" s="54"/>
      <c r="O359" s="57"/>
      <c r="P359" s="53"/>
      <c r="Q359" s="54"/>
      <c r="R359" s="55"/>
      <c r="S359" s="55"/>
      <c r="T359" s="57"/>
      <c r="U359" s="56"/>
      <c r="V359" s="54"/>
      <c r="W359" s="55"/>
      <c r="X359" s="55"/>
      <c r="Y359" s="57"/>
      <c r="Z359" s="53"/>
      <c r="AA359" s="54"/>
      <c r="AB359" s="55"/>
      <c r="AC359" s="55"/>
      <c r="AD359" s="57"/>
      <c r="AE359" s="56"/>
      <c r="AF359" s="54"/>
      <c r="AG359" s="55"/>
      <c r="AH359" s="55"/>
      <c r="AI359" s="57"/>
      <c r="AJ359" s="56"/>
      <c r="AK359" s="54"/>
      <c r="AL359" s="54"/>
      <c r="AM359" s="54"/>
      <c r="AN359" s="57"/>
      <c r="AO359" s="53"/>
      <c r="AP359" s="54"/>
      <c r="AQ359" s="54"/>
      <c r="AR359" s="54"/>
      <c r="AS359" s="57"/>
      <c r="AT359" s="56"/>
      <c r="AU359" s="57"/>
      <c r="AV359" s="56"/>
      <c r="AW359" s="57"/>
      <c r="AX359" s="8"/>
      <c r="AZ359" s="1">
        <v>90</v>
      </c>
      <c r="BB359" s="82">
        <f t="shared" si="38"/>
        <v>0</v>
      </c>
    </row>
    <row r="360" spans="3:54" ht="15" customHeight="1" x14ac:dyDescent="0.25">
      <c r="C360" s="42"/>
      <c r="D360" s="43">
        <f>D352</f>
        <v>45776</v>
      </c>
      <c r="E360" s="44">
        <f t="shared" si="41"/>
        <v>28.916666666666526</v>
      </c>
      <c r="F360" s="45">
        <f t="shared" si="39"/>
        <v>45776.916666667501</v>
      </c>
      <c r="G360" s="52"/>
      <c r="H360" s="53"/>
      <c r="I360" s="54"/>
      <c r="J360" s="54"/>
      <c r="K360" s="55"/>
      <c r="L360" s="56"/>
      <c r="M360" s="54"/>
      <c r="N360" s="54"/>
      <c r="O360" s="57"/>
      <c r="P360" s="53"/>
      <c r="Q360" s="54"/>
      <c r="R360" s="55"/>
      <c r="S360" s="55"/>
      <c r="T360" s="57"/>
      <c r="U360" s="56"/>
      <c r="V360" s="54"/>
      <c r="W360" s="55"/>
      <c r="X360" s="55"/>
      <c r="Y360" s="57"/>
      <c r="Z360" s="53"/>
      <c r="AA360" s="54"/>
      <c r="AB360" s="55"/>
      <c r="AC360" s="55"/>
      <c r="AD360" s="57"/>
      <c r="AE360" s="56"/>
      <c r="AF360" s="54"/>
      <c r="AG360" s="55"/>
      <c r="AH360" s="55"/>
      <c r="AI360" s="57"/>
      <c r="AJ360" s="56"/>
      <c r="AK360" s="54"/>
      <c r="AL360" s="54"/>
      <c r="AM360" s="54"/>
      <c r="AN360" s="57"/>
      <c r="AO360" s="53"/>
      <c r="AP360" s="54"/>
      <c r="AQ360" s="54"/>
      <c r="AR360" s="54"/>
      <c r="AS360" s="57"/>
      <c r="AT360" s="56"/>
      <c r="AU360" s="57"/>
      <c r="AV360" s="56"/>
      <c r="AW360" s="57"/>
      <c r="AX360" s="8"/>
      <c r="AZ360" s="1">
        <v>90</v>
      </c>
      <c r="BB360" s="82">
        <f t="shared" si="38"/>
        <v>0</v>
      </c>
    </row>
    <row r="361" spans="3:54" ht="15" customHeight="1" x14ac:dyDescent="0.25">
      <c r="C361" s="42"/>
      <c r="D361" s="43">
        <f>D352</f>
        <v>45776</v>
      </c>
      <c r="E361" s="44">
        <f t="shared" si="41"/>
        <v>28.999999999999858</v>
      </c>
      <c r="F361" s="45">
        <f t="shared" si="39"/>
        <v>45777.000000000837</v>
      </c>
      <c r="G361" s="52"/>
      <c r="H361" s="53"/>
      <c r="I361" s="54"/>
      <c r="J361" s="54"/>
      <c r="K361" s="55"/>
      <c r="L361" s="56"/>
      <c r="M361" s="54"/>
      <c r="N361" s="54"/>
      <c r="O361" s="57"/>
      <c r="P361" s="53"/>
      <c r="Q361" s="54"/>
      <c r="R361" s="55"/>
      <c r="S361" s="55"/>
      <c r="T361" s="57"/>
      <c r="U361" s="56"/>
      <c r="V361" s="54"/>
      <c r="W361" s="55"/>
      <c r="X361" s="55"/>
      <c r="Y361" s="57"/>
      <c r="Z361" s="53"/>
      <c r="AA361" s="54"/>
      <c r="AB361" s="55"/>
      <c r="AC361" s="55"/>
      <c r="AD361" s="57"/>
      <c r="AE361" s="56"/>
      <c r="AF361" s="54"/>
      <c r="AG361" s="55"/>
      <c r="AH361" s="55"/>
      <c r="AI361" s="57"/>
      <c r="AJ361" s="56"/>
      <c r="AK361" s="54"/>
      <c r="AL361" s="54"/>
      <c r="AM361" s="54"/>
      <c r="AN361" s="57"/>
      <c r="AO361" s="53"/>
      <c r="AP361" s="54"/>
      <c r="AQ361" s="54"/>
      <c r="AR361" s="54"/>
      <c r="AS361" s="57"/>
      <c r="AT361" s="56"/>
      <c r="AU361" s="57"/>
      <c r="AV361" s="56"/>
      <c r="AW361" s="57"/>
      <c r="AX361" s="8"/>
      <c r="AZ361" s="1">
        <v>90</v>
      </c>
      <c r="BB361" s="82">
        <f t="shared" si="38"/>
        <v>0</v>
      </c>
    </row>
    <row r="362" spans="3:54" ht="15" customHeight="1" x14ac:dyDescent="0.25">
      <c r="C362" s="42"/>
      <c r="D362" s="43">
        <f>D352</f>
        <v>45776</v>
      </c>
      <c r="E362" s="44">
        <f t="shared" si="41"/>
        <v>29.08333333333319</v>
      </c>
      <c r="F362" s="45">
        <f t="shared" si="39"/>
        <v>45777.083333334172</v>
      </c>
      <c r="G362" s="52"/>
      <c r="H362" s="53"/>
      <c r="I362" s="54"/>
      <c r="J362" s="54"/>
      <c r="K362" s="55"/>
      <c r="L362" s="56"/>
      <c r="M362" s="54"/>
      <c r="N362" s="54"/>
      <c r="O362" s="57"/>
      <c r="P362" s="53"/>
      <c r="Q362" s="54"/>
      <c r="R362" s="55"/>
      <c r="S362" s="55"/>
      <c r="T362" s="57"/>
      <c r="U362" s="56"/>
      <c r="V362" s="54"/>
      <c r="W362" s="55"/>
      <c r="X362" s="55"/>
      <c r="Y362" s="57"/>
      <c r="Z362" s="53"/>
      <c r="AA362" s="54"/>
      <c r="AB362" s="55"/>
      <c r="AC362" s="55"/>
      <c r="AD362" s="57"/>
      <c r="AE362" s="56"/>
      <c r="AF362" s="54"/>
      <c r="AG362" s="55"/>
      <c r="AH362" s="55"/>
      <c r="AI362" s="57"/>
      <c r="AJ362" s="56"/>
      <c r="AK362" s="54"/>
      <c r="AL362" s="54"/>
      <c r="AM362" s="54"/>
      <c r="AN362" s="57"/>
      <c r="AO362" s="53"/>
      <c r="AP362" s="54"/>
      <c r="AQ362" s="54"/>
      <c r="AR362" s="54"/>
      <c r="AS362" s="57"/>
      <c r="AT362" s="56"/>
      <c r="AU362" s="57"/>
      <c r="AV362" s="56"/>
      <c r="AW362" s="57"/>
      <c r="AX362" s="8"/>
      <c r="AZ362" s="1">
        <v>90</v>
      </c>
      <c r="BB362" s="82">
        <f t="shared" si="38"/>
        <v>0</v>
      </c>
    </row>
    <row r="363" spans="3:54" ht="15" customHeight="1" x14ac:dyDescent="0.25">
      <c r="C363" s="42"/>
      <c r="D363" s="69">
        <f>D352</f>
        <v>45776</v>
      </c>
      <c r="E363" s="70">
        <f t="shared" si="41"/>
        <v>29.166666666666522</v>
      </c>
      <c r="F363" s="71">
        <f t="shared" si="39"/>
        <v>45777.166666667508</v>
      </c>
      <c r="G363" s="60"/>
      <c r="H363" s="61"/>
      <c r="I363" s="62"/>
      <c r="J363" s="62"/>
      <c r="K363" s="63"/>
      <c r="L363" s="64"/>
      <c r="M363" s="62"/>
      <c r="N363" s="62"/>
      <c r="O363" s="65"/>
      <c r="P363" s="61"/>
      <c r="Q363" s="62"/>
      <c r="R363" s="63"/>
      <c r="S363" s="63"/>
      <c r="T363" s="65"/>
      <c r="U363" s="64"/>
      <c r="V363" s="62"/>
      <c r="W363" s="63"/>
      <c r="X363" s="63"/>
      <c r="Y363" s="65"/>
      <c r="Z363" s="61"/>
      <c r="AA363" s="62"/>
      <c r="AB363" s="63"/>
      <c r="AC363" s="63"/>
      <c r="AD363" s="65"/>
      <c r="AE363" s="64"/>
      <c r="AF363" s="62"/>
      <c r="AG363" s="63"/>
      <c r="AH363" s="63"/>
      <c r="AI363" s="65"/>
      <c r="AJ363" s="64"/>
      <c r="AK363" s="62"/>
      <c r="AL363" s="62"/>
      <c r="AM363" s="62"/>
      <c r="AN363" s="65"/>
      <c r="AO363" s="61"/>
      <c r="AP363" s="62"/>
      <c r="AQ363" s="62"/>
      <c r="AR363" s="62"/>
      <c r="AS363" s="65"/>
      <c r="AT363" s="64"/>
      <c r="AU363" s="65"/>
      <c r="AV363" s="64"/>
      <c r="AW363" s="65"/>
      <c r="AX363" s="8"/>
      <c r="AZ363" s="1">
        <v>90</v>
      </c>
      <c r="BB363" s="82">
        <f t="shared" si="38"/>
        <v>0</v>
      </c>
    </row>
    <row r="364" spans="3:54" ht="15" customHeight="1" x14ac:dyDescent="0.25">
      <c r="C364" s="42">
        <f>DAY(D364)</f>
        <v>30</v>
      </c>
      <c r="D364" s="66">
        <f>D352+1</f>
        <v>45777</v>
      </c>
      <c r="E364" s="67">
        <f>E363+2/24</f>
        <v>29.249999999999854</v>
      </c>
      <c r="F364" s="68">
        <f t="shared" si="39"/>
        <v>45777.250000000844</v>
      </c>
      <c r="G364" s="46"/>
      <c r="H364" s="47"/>
      <c r="I364" s="48"/>
      <c r="J364" s="48"/>
      <c r="K364" s="49"/>
      <c r="L364" s="50"/>
      <c r="M364" s="48"/>
      <c r="N364" s="48"/>
      <c r="O364" s="51"/>
      <c r="P364" s="47"/>
      <c r="Q364" s="48"/>
      <c r="R364" s="49"/>
      <c r="S364" s="49"/>
      <c r="T364" s="51"/>
      <c r="U364" s="50"/>
      <c r="V364" s="48"/>
      <c r="W364" s="49"/>
      <c r="X364" s="49"/>
      <c r="Y364" s="51"/>
      <c r="Z364" s="47"/>
      <c r="AA364" s="48"/>
      <c r="AB364" s="49"/>
      <c r="AC364" s="49"/>
      <c r="AD364" s="51"/>
      <c r="AE364" s="50"/>
      <c r="AF364" s="48"/>
      <c r="AG364" s="49"/>
      <c r="AH364" s="49"/>
      <c r="AI364" s="51"/>
      <c r="AJ364" s="50"/>
      <c r="AK364" s="48"/>
      <c r="AL364" s="48"/>
      <c r="AM364" s="48"/>
      <c r="AN364" s="51"/>
      <c r="AO364" s="47"/>
      <c r="AP364" s="48"/>
      <c r="AQ364" s="48"/>
      <c r="AR364" s="48"/>
      <c r="AS364" s="51"/>
      <c r="AT364" s="50"/>
      <c r="AU364" s="51"/>
      <c r="AV364" s="50"/>
      <c r="AW364" s="51"/>
      <c r="AX364" s="8"/>
      <c r="AZ364" s="1">
        <v>90</v>
      </c>
      <c r="BB364" s="82">
        <f t="shared" si="38"/>
        <v>0</v>
      </c>
    </row>
    <row r="365" spans="3:54" ht="15" customHeight="1" x14ac:dyDescent="0.25">
      <c r="C365" s="42"/>
      <c r="D365" s="43">
        <f>D364</f>
        <v>45777</v>
      </c>
      <c r="E365" s="44">
        <f>E364+2/24</f>
        <v>29.333333333333186</v>
      </c>
      <c r="F365" s="45">
        <f t="shared" si="39"/>
        <v>45777.33333333418</v>
      </c>
      <c r="G365" s="52"/>
      <c r="H365" s="53"/>
      <c r="I365" s="54"/>
      <c r="J365" s="54"/>
      <c r="K365" s="55"/>
      <c r="L365" s="56"/>
      <c r="M365" s="54"/>
      <c r="N365" s="54"/>
      <c r="O365" s="57"/>
      <c r="P365" s="53"/>
      <c r="Q365" s="54"/>
      <c r="R365" s="55"/>
      <c r="S365" s="55"/>
      <c r="T365" s="57"/>
      <c r="U365" s="56"/>
      <c r="V365" s="54"/>
      <c r="W365" s="55"/>
      <c r="X365" s="55"/>
      <c r="Y365" s="57"/>
      <c r="Z365" s="53"/>
      <c r="AA365" s="54"/>
      <c r="AB365" s="55"/>
      <c r="AC365" s="55"/>
      <c r="AD365" s="57"/>
      <c r="AE365" s="56"/>
      <c r="AF365" s="54"/>
      <c r="AG365" s="55"/>
      <c r="AH365" s="55"/>
      <c r="AI365" s="57"/>
      <c r="AJ365" s="56"/>
      <c r="AK365" s="54"/>
      <c r="AL365" s="54"/>
      <c r="AM365" s="54"/>
      <c r="AN365" s="57"/>
      <c r="AO365" s="53"/>
      <c r="AP365" s="54"/>
      <c r="AQ365" s="54"/>
      <c r="AR365" s="54"/>
      <c r="AS365" s="57"/>
      <c r="AT365" s="56"/>
      <c r="AU365" s="57"/>
      <c r="AV365" s="56"/>
      <c r="AW365" s="57"/>
      <c r="AX365" s="8"/>
      <c r="AZ365" s="1">
        <v>90</v>
      </c>
      <c r="BB365" s="82">
        <f t="shared" si="38"/>
        <v>0</v>
      </c>
    </row>
    <row r="366" spans="3:54" ht="15" customHeight="1" x14ac:dyDescent="0.25">
      <c r="C366" s="42"/>
      <c r="D366" s="43">
        <f>D364</f>
        <v>45777</v>
      </c>
      <c r="E366" s="44">
        <f t="shared" ref="E366:E375" si="42">E365+2/24</f>
        <v>29.416666666666519</v>
      </c>
      <c r="F366" s="45">
        <f t="shared" si="39"/>
        <v>45777.416666667516</v>
      </c>
      <c r="G366" s="52"/>
      <c r="H366" s="53"/>
      <c r="I366" s="54"/>
      <c r="J366" s="54"/>
      <c r="K366" s="55"/>
      <c r="L366" s="56"/>
      <c r="M366" s="54"/>
      <c r="N366" s="54"/>
      <c r="O366" s="57"/>
      <c r="P366" s="53"/>
      <c r="Q366" s="54"/>
      <c r="R366" s="55"/>
      <c r="S366" s="55"/>
      <c r="T366" s="57"/>
      <c r="U366" s="56"/>
      <c r="V366" s="54"/>
      <c r="W366" s="55"/>
      <c r="X366" s="55"/>
      <c r="Y366" s="57"/>
      <c r="Z366" s="53"/>
      <c r="AA366" s="54"/>
      <c r="AB366" s="55"/>
      <c r="AC366" s="55"/>
      <c r="AD366" s="57"/>
      <c r="AE366" s="56"/>
      <c r="AF366" s="54"/>
      <c r="AG366" s="55"/>
      <c r="AH366" s="55"/>
      <c r="AI366" s="57"/>
      <c r="AJ366" s="56"/>
      <c r="AK366" s="54"/>
      <c r="AL366" s="54"/>
      <c r="AM366" s="54"/>
      <c r="AN366" s="57"/>
      <c r="AO366" s="53"/>
      <c r="AP366" s="54"/>
      <c r="AQ366" s="54"/>
      <c r="AR366" s="54"/>
      <c r="AS366" s="57"/>
      <c r="AT366" s="56"/>
      <c r="AU366" s="57"/>
      <c r="AV366" s="56"/>
      <c r="AW366" s="57"/>
      <c r="AX366" s="8"/>
      <c r="AZ366" s="1">
        <v>90</v>
      </c>
      <c r="BB366" s="82">
        <f t="shared" si="38"/>
        <v>0</v>
      </c>
    </row>
    <row r="367" spans="3:54" ht="15" customHeight="1" x14ac:dyDescent="0.25">
      <c r="C367" s="42"/>
      <c r="D367" s="43">
        <f>D364</f>
        <v>45777</v>
      </c>
      <c r="E367" s="44">
        <f t="shared" si="42"/>
        <v>29.499999999999851</v>
      </c>
      <c r="F367" s="45">
        <f t="shared" si="39"/>
        <v>45777.500000000851</v>
      </c>
      <c r="G367" s="52"/>
      <c r="H367" s="53"/>
      <c r="I367" s="54"/>
      <c r="J367" s="54"/>
      <c r="K367" s="55"/>
      <c r="L367" s="56"/>
      <c r="M367" s="54"/>
      <c r="N367" s="54"/>
      <c r="O367" s="57"/>
      <c r="P367" s="53"/>
      <c r="Q367" s="54"/>
      <c r="R367" s="55"/>
      <c r="S367" s="55"/>
      <c r="T367" s="57"/>
      <c r="U367" s="56"/>
      <c r="V367" s="54"/>
      <c r="W367" s="55"/>
      <c r="X367" s="55"/>
      <c r="Y367" s="57"/>
      <c r="Z367" s="53"/>
      <c r="AA367" s="54"/>
      <c r="AB367" s="55"/>
      <c r="AC367" s="55"/>
      <c r="AD367" s="57"/>
      <c r="AE367" s="56"/>
      <c r="AF367" s="54"/>
      <c r="AG367" s="55"/>
      <c r="AH367" s="55"/>
      <c r="AI367" s="57"/>
      <c r="AJ367" s="56"/>
      <c r="AK367" s="54"/>
      <c r="AL367" s="54"/>
      <c r="AM367" s="54"/>
      <c r="AN367" s="57"/>
      <c r="AO367" s="53"/>
      <c r="AP367" s="54"/>
      <c r="AQ367" s="54"/>
      <c r="AR367" s="54"/>
      <c r="AS367" s="57"/>
      <c r="AT367" s="56"/>
      <c r="AU367" s="57"/>
      <c r="AV367" s="56"/>
      <c r="AW367" s="57"/>
      <c r="AX367" s="8"/>
      <c r="AZ367" s="1">
        <v>90</v>
      </c>
      <c r="BB367" s="82">
        <f t="shared" si="38"/>
        <v>0</v>
      </c>
    </row>
    <row r="368" spans="3:54" ht="15" customHeight="1" x14ac:dyDescent="0.25">
      <c r="C368" s="42"/>
      <c r="D368" s="43">
        <f>D364</f>
        <v>45777</v>
      </c>
      <c r="E368" s="44">
        <f t="shared" si="42"/>
        <v>29.583333333333183</v>
      </c>
      <c r="F368" s="45">
        <f t="shared" si="39"/>
        <v>45777.583333334187</v>
      </c>
      <c r="G368" s="52"/>
      <c r="H368" s="53"/>
      <c r="I368" s="54"/>
      <c r="J368" s="54"/>
      <c r="K368" s="55"/>
      <c r="L368" s="56"/>
      <c r="M368" s="54"/>
      <c r="N368" s="54"/>
      <c r="O368" s="57"/>
      <c r="P368" s="53"/>
      <c r="Q368" s="54"/>
      <c r="R368" s="55"/>
      <c r="S368" s="55"/>
      <c r="T368" s="57"/>
      <c r="U368" s="56"/>
      <c r="V368" s="54"/>
      <c r="W368" s="55"/>
      <c r="X368" s="55"/>
      <c r="Y368" s="57"/>
      <c r="Z368" s="53"/>
      <c r="AA368" s="54"/>
      <c r="AB368" s="55"/>
      <c r="AC368" s="55"/>
      <c r="AD368" s="57"/>
      <c r="AE368" s="56"/>
      <c r="AF368" s="54"/>
      <c r="AG368" s="55"/>
      <c r="AH368" s="55"/>
      <c r="AI368" s="57"/>
      <c r="AJ368" s="56"/>
      <c r="AK368" s="54"/>
      <c r="AL368" s="54"/>
      <c r="AM368" s="54"/>
      <c r="AN368" s="57"/>
      <c r="AO368" s="53"/>
      <c r="AP368" s="54"/>
      <c r="AQ368" s="54"/>
      <c r="AR368" s="54"/>
      <c r="AS368" s="57"/>
      <c r="AT368" s="56"/>
      <c r="AU368" s="57"/>
      <c r="AV368" s="56"/>
      <c r="AW368" s="57"/>
      <c r="AX368" s="8"/>
      <c r="AZ368" s="1">
        <v>90</v>
      </c>
      <c r="BB368" s="82">
        <f t="shared" si="38"/>
        <v>0</v>
      </c>
    </row>
    <row r="369" spans="3:54" ht="15" customHeight="1" x14ac:dyDescent="0.25">
      <c r="C369" s="42"/>
      <c r="D369" s="43">
        <f>D364</f>
        <v>45777</v>
      </c>
      <c r="E369" s="44">
        <f t="shared" si="42"/>
        <v>29.666666666666515</v>
      </c>
      <c r="F369" s="45">
        <f t="shared" si="39"/>
        <v>45777.666666667523</v>
      </c>
      <c r="G369" s="52"/>
      <c r="H369" s="53"/>
      <c r="I369" s="54"/>
      <c r="J369" s="54"/>
      <c r="K369" s="55"/>
      <c r="L369" s="56"/>
      <c r="M369" s="54"/>
      <c r="N369" s="54"/>
      <c r="O369" s="57"/>
      <c r="P369" s="53"/>
      <c r="Q369" s="54"/>
      <c r="R369" s="55"/>
      <c r="S369" s="55"/>
      <c r="T369" s="57"/>
      <c r="U369" s="56"/>
      <c r="V369" s="54"/>
      <c r="W369" s="55"/>
      <c r="X369" s="55"/>
      <c r="Y369" s="57"/>
      <c r="Z369" s="53"/>
      <c r="AA369" s="54"/>
      <c r="AB369" s="55"/>
      <c r="AC369" s="55"/>
      <c r="AD369" s="57"/>
      <c r="AE369" s="56"/>
      <c r="AF369" s="54"/>
      <c r="AG369" s="55"/>
      <c r="AH369" s="55"/>
      <c r="AI369" s="57"/>
      <c r="AJ369" s="56"/>
      <c r="AK369" s="54"/>
      <c r="AL369" s="54"/>
      <c r="AM369" s="54"/>
      <c r="AN369" s="57"/>
      <c r="AO369" s="53"/>
      <c r="AP369" s="54"/>
      <c r="AQ369" s="54"/>
      <c r="AR369" s="54"/>
      <c r="AS369" s="57"/>
      <c r="AT369" s="56"/>
      <c r="AU369" s="57"/>
      <c r="AV369" s="56"/>
      <c r="AW369" s="57"/>
      <c r="AX369" s="8"/>
      <c r="AZ369" s="1">
        <v>90</v>
      </c>
      <c r="BB369" s="82">
        <f t="shared" si="38"/>
        <v>0</v>
      </c>
    </row>
    <row r="370" spans="3:54" ht="15" customHeight="1" x14ac:dyDescent="0.25">
      <c r="C370" s="42"/>
      <c r="D370" s="43">
        <f>D364</f>
        <v>45777</v>
      </c>
      <c r="E370" s="44">
        <f t="shared" si="42"/>
        <v>29.749999999999847</v>
      </c>
      <c r="F370" s="45">
        <f t="shared" si="39"/>
        <v>45777.750000000859</v>
      </c>
      <c r="G370" s="52"/>
      <c r="H370" s="53"/>
      <c r="I370" s="54"/>
      <c r="J370" s="54"/>
      <c r="K370" s="55"/>
      <c r="L370" s="56"/>
      <c r="M370" s="54"/>
      <c r="N370" s="54"/>
      <c r="O370" s="57"/>
      <c r="P370" s="53"/>
      <c r="Q370" s="54"/>
      <c r="R370" s="55"/>
      <c r="S370" s="55"/>
      <c r="T370" s="57"/>
      <c r="U370" s="56"/>
      <c r="V370" s="54"/>
      <c r="W370" s="55"/>
      <c r="X370" s="55"/>
      <c r="Y370" s="57"/>
      <c r="Z370" s="53"/>
      <c r="AA370" s="54"/>
      <c r="AB370" s="55"/>
      <c r="AC370" s="55"/>
      <c r="AD370" s="57"/>
      <c r="AE370" s="56"/>
      <c r="AF370" s="54"/>
      <c r="AG370" s="55"/>
      <c r="AH370" s="55"/>
      <c r="AI370" s="57"/>
      <c r="AJ370" s="56"/>
      <c r="AK370" s="54"/>
      <c r="AL370" s="54"/>
      <c r="AM370" s="54"/>
      <c r="AN370" s="57"/>
      <c r="AO370" s="53"/>
      <c r="AP370" s="54"/>
      <c r="AQ370" s="54"/>
      <c r="AR370" s="54"/>
      <c r="AS370" s="57"/>
      <c r="AT370" s="56"/>
      <c r="AU370" s="57"/>
      <c r="AV370" s="56"/>
      <c r="AW370" s="57"/>
      <c r="AX370" s="8"/>
      <c r="AZ370" s="1">
        <v>90</v>
      </c>
      <c r="BB370" s="82">
        <f t="shared" si="38"/>
        <v>0</v>
      </c>
    </row>
    <row r="371" spans="3:54" ht="15" customHeight="1" x14ac:dyDescent="0.25">
      <c r="C371" s="42"/>
      <c r="D371" s="43">
        <f>D364</f>
        <v>45777</v>
      </c>
      <c r="E371" s="44">
        <f t="shared" si="42"/>
        <v>29.833333333333179</v>
      </c>
      <c r="F371" s="45">
        <f t="shared" si="39"/>
        <v>45777.833333334194</v>
      </c>
      <c r="G371" s="52"/>
      <c r="H371" s="53"/>
      <c r="I371" s="54"/>
      <c r="J371" s="54"/>
      <c r="K371" s="55"/>
      <c r="L371" s="56"/>
      <c r="M371" s="54"/>
      <c r="N371" s="54"/>
      <c r="O371" s="57"/>
      <c r="P371" s="53"/>
      <c r="Q371" s="54"/>
      <c r="R371" s="55"/>
      <c r="S371" s="55"/>
      <c r="T371" s="57"/>
      <c r="U371" s="56"/>
      <c r="V371" s="54"/>
      <c r="W371" s="55"/>
      <c r="X371" s="55"/>
      <c r="Y371" s="57"/>
      <c r="Z371" s="53"/>
      <c r="AA371" s="54"/>
      <c r="AB371" s="55"/>
      <c r="AC371" s="55"/>
      <c r="AD371" s="57"/>
      <c r="AE371" s="56"/>
      <c r="AF371" s="54"/>
      <c r="AG371" s="55"/>
      <c r="AH371" s="55"/>
      <c r="AI371" s="57"/>
      <c r="AJ371" s="56"/>
      <c r="AK371" s="54"/>
      <c r="AL371" s="54"/>
      <c r="AM371" s="54"/>
      <c r="AN371" s="57"/>
      <c r="AO371" s="53"/>
      <c r="AP371" s="54"/>
      <c r="AQ371" s="54"/>
      <c r="AR371" s="54"/>
      <c r="AS371" s="57"/>
      <c r="AT371" s="56"/>
      <c r="AU371" s="57"/>
      <c r="AV371" s="56"/>
      <c r="AW371" s="57"/>
      <c r="AX371" s="8"/>
      <c r="AZ371" s="1">
        <v>90</v>
      </c>
      <c r="BB371" s="82">
        <f t="shared" si="38"/>
        <v>0</v>
      </c>
    </row>
    <row r="372" spans="3:54" ht="15" customHeight="1" x14ac:dyDescent="0.25">
      <c r="C372" s="42"/>
      <c r="D372" s="43">
        <f>D364</f>
        <v>45777</v>
      </c>
      <c r="E372" s="44">
        <f t="shared" si="42"/>
        <v>29.916666666666512</v>
      </c>
      <c r="F372" s="45">
        <f t="shared" si="39"/>
        <v>45777.91666666753</v>
      </c>
      <c r="G372" s="52"/>
      <c r="H372" s="53"/>
      <c r="I372" s="54"/>
      <c r="J372" s="54"/>
      <c r="K372" s="55"/>
      <c r="L372" s="56"/>
      <c r="M372" s="54"/>
      <c r="N372" s="54"/>
      <c r="O372" s="57"/>
      <c r="P372" s="53"/>
      <c r="Q372" s="54"/>
      <c r="R372" s="55"/>
      <c r="S372" s="55"/>
      <c r="T372" s="57"/>
      <c r="U372" s="56"/>
      <c r="V372" s="54"/>
      <c r="W372" s="55"/>
      <c r="X372" s="55"/>
      <c r="Y372" s="57"/>
      <c r="Z372" s="53"/>
      <c r="AA372" s="54"/>
      <c r="AB372" s="55"/>
      <c r="AC372" s="55"/>
      <c r="AD372" s="57"/>
      <c r="AE372" s="56"/>
      <c r="AF372" s="54"/>
      <c r="AG372" s="55"/>
      <c r="AH372" s="55"/>
      <c r="AI372" s="57"/>
      <c r="AJ372" s="56"/>
      <c r="AK372" s="54"/>
      <c r="AL372" s="54"/>
      <c r="AM372" s="54"/>
      <c r="AN372" s="57"/>
      <c r="AO372" s="53"/>
      <c r="AP372" s="54"/>
      <c r="AQ372" s="54"/>
      <c r="AR372" s="54"/>
      <c r="AS372" s="57"/>
      <c r="AT372" s="56"/>
      <c r="AU372" s="57"/>
      <c r="AV372" s="56"/>
      <c r="AW372" s="57"/>
      <c r="AX372" s="8"/>
      <c r="AZ372" s="1">
        <v>90</v>
      </c>
      <c r="BB372" s="82">
        <f t="shared" si="38"/>
        <v>0</v>
      </c>
    </row>
    <row r="373" spans="3:54" ht="15" customHeight="1" x14ac:dyDescent="0.25">
      <c r="C373" s="42"/>
      <c r="D373" s="43">
        <f>D364</f>
        <v>45777</v>
      </c>
      <c r="E373" s="44">
        <f t="shared" si="42"/>
        <v>29.999999999999844</v>
      </c>
      <c r="F373" s="45">
        <f t="shared" si="39"/>
        <v>45778.000000000866</v>
      </c>
      <c r="G373" s="52"/>
      <c r="H373" s="53"/>
      <c r="I373" s="54"/>
      <c r="J373" s="54"/>
      <c r="K373" s="55"/>
      <c r="L373" s="56"/>
      <c r="M373" s="54"/>
      <c r="N373" s="54"/>
      <c r="O373" s="57"/>
      <c r="P373" s="53"/>
      <c r="Q373" s="54"/>
      <c r="R373" s="55"/>
      <c r="S373" s="55"/>
      <c r="T373" s="57"/>
      <c r="U373" s="56"/>
      <c r="V373" s="54"/>
      <c r="W373" s="55"/>
      <c r="X373" s="55"/>
      <c r="Y373" s="57"/>
      <c r="Z373" s="53"/>
      <c r="AA373" s="54"/>
      <c r="AB373" s="55"/>
      <c r="AC373" s="55"/>
      <c r="AD373" s="57"/>
      <c r="AE373" s="56"/>
      <c r="AF373" s="54"/>
      <c r="AG373" s="55"/>
      <c r="AH373" s="55"/>
      <c r="AI373" s="57"/>
      <c r="AJ373" s="56"/>
      <c r="AK373" s="54"/>
      <c r="AL373" s="54"/>
      <c r="AM373" s="54"/>
      <c r="AN373" s="57"/>
      <c r="AO373" s="53"/>
      <c r="AP373" s="54"/>
      <c r="AQ373" s="54"/>
      <c r="AR373" s="54"/>
      <c r="AS373" s="57"/>
      <c r="AT373" s="56"/>
      <c r="AU373" s="57"/>
      <c r="AV373" s="56"/>
      <c r="AW373" s="57"/>
      <c r="AX373" s="8"/>
      <c r="AZ373" s="1">
        <v>90</v>
      </c>
      <c r="BB373" s="82">
        <f t="shared" si="38"/>
        <v>0</v>
      </c>
    </row>
    <row r="374" spans="3:54" ht="15" customHeight="1" x14ac:dyDescent="0.25">
      <c r="C374" s="42"/>
      <c r="D374" s="43">
        <f>D364</f>
        <v>45777</v>
      </c>
      <c r="E374" s="44">
        <f t="shared" si="42"/>
        <v>30.083333333333176</v>
      </c>
      <c r="F374" s="45">
        <f t="shared" si="39"/>
        <v>45778.083333334202</v>
      </c>
      <c r="G374" s="52"/>
      <c r="H374" s="53"/>
      <c r="I374" s="54"/>
      <c r="J374" s="54"/>
      <c r="K374" s="55"/>
      <c r="L374" s="56"/>
      <c r="M374" s="54"/>
      <c r="N374" s="54"/>
      <c r="O374" s="57"/>
      <c r="P374" s="53"/>
      <c r="Q374" s="54"/>
      <c r="R374" s="55"/>
      <c r="S374" s="55"/>
      <c r="T374" s="57"/>
      <c r="U374" s="56"/>
      <c r="V374" s="54"/>
      <c r="W374" s="55"/>
      <c r="X374" s="55"/>
      <c r="Y374" s="57"/>
      <c r="Z374" s="53"/>
      <c r="AA374" s="54"/>
      <c r="AB374" s="55"/>
      <c r="AC374" s="55"/>
      <c r="AD374" s="57"/>
      <c r="AE374" s="56"/>
      <c r="AF374" s="54"/>
      <c r="AG374" s="55"/>
      <c r="AH374" s="55"/>
      <c r="AI374" s="57"/>
      <c r="AJ374" s="56"/>
      <c r="AK374" s="54"/>
      <c r="AL374" s="54"/>
      <c r="AM374" s="54"/>
      <c r="AN374" s="57"/>
      <c r="AO374" s="53"/>
      <c r="AP374" s="54"/>
      <c r="AQ374" s="54"/>
      <c r="AR374" s="54"/>
      <c r="AS374" s="57"/>
      <c r="AT374" s="56"/>
      <c r="AU374" s="57"/>
      <c r="AV374" s="56"/>
      <c r="AW374" s="57"/>
      <c r="AX374" s="8"/>
      <c r="AZ374" s="1">
        <v>90</v>
      </c>
      <c r="BB374" s="82">
        <f t="shared" si="38"/>
        <v>0</v>
      </c>
    </row>
    <row r="375" spans="3:54" ht="15" customHeight="1" x14ac:dyDescent="0.25">
      <c r="C375" s="42"/>
      <c r="D375" s="69">
        <f>D364</f>
        <v>45777</v>
      </c>
      <c r="E375" s="70">
        <f t="shared" si="42"/>
        <v>30.166666666666508</v>
      </c>
      <c r="F375" s="71">
        <f t="shared" si="39"/>
        <v>45778.166666667537</v>
      </c>
      <c r="G375" s="60"/>
      <c r="H375" s="61"/>
      <c r="I375" s="62"/>
      <c r="J375" s="62"/>
      <c r="K375" s="63"/>
      <c r="L375" s="64"/>
      <c r="M375" s="62"/>
      <c r="N375" s="62"/>
      <c r="O375" s="65"/>
      <c r="P375" s="61"/>
      <c r="Q375" s="62"/>
      <c r="R375" s="63"/>
      <c r="S375" s="63"/>
      <c r="T375" s="65"/>
      <c r="U375" s="64"/>
      <c r="V375" s="62"/>
      <c r="W375" s="63"/>
      <c r="X375" s="63"/>
      <c r="Y375" s="65"/>
      <c r="Z375" s="61"/>
      <c r="AA375" s="62"/>
      <c r="AB375" s="63"/>
      <c r="AC375" s="63"/>
      <c r="AD375" s="65"/>
      <c r="AE375" s="64"/>
      <c r="AF375" s="62"/>
      <c r="AG375" s="63"/>
      <c r="AH375" s="63"/>
      <c r="AI375" s="65"/>
      <c r="AJ375" s="64"/>
      <c r="AK375" s="62"/>
      <c r="AL375" s="62"/>
      <c r="AM375" s="62"/>
      <c r="AN375" s="65"/>
      <c r="AO375" s="61"/>
      <c r="AP375" s="62"/>
      <c r="AQ375" s="62"/>
      <c r="AR375" s="62"/>
      <c r="AS375" s="65"/>
      <c r="AT375" s="64"/>
      <c r="AU375" s="65"/>
      <c r="AV375" s="64"/>
      <c r="AW375" s="65"/>
      <c r="AX375" s="8"/>
      <c r="AZ375" s="1">
        <v>90</v>
      </c>
      <c r="BB375" s="82">
        <f t="shared" si="38"/>
        <v>0</v>
      </c>
    </row>
    <row r="376" spans="3:54" ht="15" customHeight="1" x14ac:dyDescent="0.25">
      <c r="C376" s="42">
        <f>DAY(D376)</f>
        <v>1</v>
      </c>
      <c r="D376" s="66">
        <f>D364+1</f>
        <v>45778</v>
      </c>
      <c r="E376" s="67">
        <f>E375+2/24</f>
        <v>30.24999999999984</v>
      </c>
      <c r="F376" s="68">
        <f t="shared" si="39"/>
        <v>45778.250000000873</v>
      </c>
      <c r="G376" s="46"/>
      <c r="H376" s="47"/>
      <c r="I376" s="48"/>
      <c r="J376" s="48"/>
      <c r="K376" s="49"/>
      <c r="L376" s="50"/>
      <c r="M376" s="48"/>
      <c r="N376" s="48"/>
      <c r="O376" s="51"/>
      <c r="P376" s="47"/>
      <c r="Q376" s="48"/>
      <c r="R376" s="49"/>
      <c r="S376" s="49"/>
      <c r="T376" s="51"/>
      <c r="U376" s="50"/>
      <c r="V376" s="48"/>
      <c r="W376" s="49"/>
      <c r="X376" s="49"/>
      <c r="Y376" s="51"/>
      <c r="Z376" s="47"/>
      <c r="AA376" s="48"/>
      <c r="AB376" s="49"/>
      <c r="AC376" s="49"/>
      <c r="AD376" s="51"/>
      <c r="AE376" s="50"/>
      <c r="AF376" s="48"/>
      <c r="AG376" s="49"/>
      <c r="AH376" s="49"/>
      <c r="AI376" s="51"/>
      <c r="AJ376" s="50"/>
      <c r="AK376" s="48"/>
      <c r="AL376" s="48"/>
      <c r="AM376" s="48"/>
      <c r="AN376" s="51"/>
      <c r="AO376" s="47"/>
      <c r="AP376" s="48"/>
      <c r="AQ376" s="48"/>
      <c r="AR376" s="48"/>
      <c r="AS376" s="51"/>
      <c r="AT376" s="50"/>
      <c r="AU376" s="51"/>
      <c r="AV376" s="50"/>
      <c r="AW376" s="51"/>
      <c r="AX376" s="8"/>
      <c r="AZ376" s="1">
        <v>90</v>
      </c>
      <c r="BB376" s="82">
        <f t="shared" si="38"/>
        <v>0</v>
      </c>
    </row>
    <row r="377" spans="3:54" ht="15" customHeight="1" x14ac:dyDescent="0.25">
      <c r="C377" s="42"/>
      <c r="D377" s="43">
        <f>D376</f>
        <v>45778</v>
      </c>
      <c r="E377" s="44">
        <f>E376+2/24</f>
        <v>30.333333333333172</v>
      </c>
      <c r="F377" s="45">
        <f t="shared" si="39"/>
        <v>45778.333333334209</v>
      </c>
      <c r="G377" s="52"/>
      <c r="H377" s="53"/>
      <c r="I377" s="54"/>
      <c r="J377" s="54"/>
      <c r="K377" s="55"/>
      <c r="L377" s="56"/>
      <c r="M377" s="54"/>
      <c r="N377" s="54"/>
      <c r="O377" s="57"/>
      <c r="P377" s="53"/>
      <c r="Q377" s="54"/>
      <c r="R377" s="55"/>
      <c r="S377" s="55"/>
      <c r="T377" s="57"/>
      <c r="U377" s="56"/>
      <c r="V377" s="54"/>
      <c r="W377" s="55"/>
      <c r="X377" s="55"/>
      <c r="Y377" s="57"/>
      <c r="Z377" s="53"/>
      <c r="AA377" s="54"/>
      <c r="AB377" s="55"/>
      <c r="AC377" s="55"/>
      <c r="AD377" s="57"/>
      <c r="AE377" s="56"/>
      <c r="AF377" s="54"/>
      <c r="AG377" s="55"/>
      <c r="AH377" s="55"/>
      <c r="AI377" s="57"/>
      <c r="AJ377" s="56"/>
      <c r="AK377" s="54"/>
      <c r="AL377" s="54"/>
      <c r="AM377" s="54"/>
      <c r="AN377" s="57"/>
      <c r="AO377" s="53"/>
      <c r="AP377" s="54"/>
      <c r="AQ377" s="54"/>
      <c r="AR377" s="54"/>
      <c r="AS377" s="57"/>
      <c r="AT377" s="56"/>
      <c r="AU377" s="57"/>
      <c r="AV377" s="56"/>
      <c r="AW377" s="57"/>
      <c r="AX377" s="8"/>
      <c r="AZ377" s="1">
        <v>90</v>
      </c>
      <c r="BB377" s="82">
        <f t="shared" si="38"/>
        <v>0</v>
      </c>
    </row>
    <row r="378" spans="3:54" ht="15" customHeight="1" x14ac:dyDescent="0.25">
      <c r="C378" s="42"/>
      <c r="D378" s="43">
        <f>D376</f>
        <v>45778</v>
      </c>
      <c r="E378" s="44">
        <f t="shared" ref="E378:E387" si="43">E377+2/24</f>
        <v>30.416666666666504</v>
      </c>
      <c r="F378" s="45">
        <f t="shared" si="39"/>
        <v>45778.416666667545</v>
      </c>
      <c r="G378" s="52"/>
      <c r="H378" s="53"/>
      <c r="I378" s="54"/>
      <c r="J378" s="54"/>
      <c r="K378" s="55"/>
      <c r="L378" s="56"/>
      <c r="M378" s="54"/>
      <c r="N378" s="54"/>
      <c r="O378" s="57"/>
      <c r="P378" s="53"/>
      <c r="Q378" s="54"/>
      <c r="R378" s="55"/>
      <c r="S378" s="55"/>
      <c r="T378" s="57"/>
      <c r="U378" s="56"/>
      <c r="V378" s="54"/>
      <c r="W378" s="55"/>
      <c r="X378" s="55"/>
      <c r="Y378" s="57"/>
      <c r="Z378" s="53"/>
      <c r="AA378" s="54"/>
      <c r="AB378" s="55"/>
      <c r="AC378" s="55"/>
      <c r="AD378" s="57"/>
      <c r="AE378" s="56"/>
      <c r="AF378" s="54"/>
      <c r="AG378" s="55"/>
      <c r="AH378" s="55"/>
      <c r="AI378" s="57"/>
      <c r="AJ378" s="56"/>
      <c r="AK378" s="54"/>
      <c r="AL378" s="54"/>
      <c r="AM378" s="54"/>
      <c r="AN378" s="57"/>
      <c r="AO378" s="53"/>
      <c r="AP378" s="54"/>
      <c r="AQ378" s="54"/>
      <c r="AR378" s="54"/>
      <c r="AS378" s="57"/>
      <c r="AT378" s="56"/>
      <c r="AU378" s="57"/>
      <c r="AV378" s="56"/>
      <c r="AW378" s="57"/>
      <c r="AX378" s="8"/>
      <c r="AZ378" s="1">
        <v>90</v>
      </c>
      <c r="BB378" s="82">
        <f t="shared" si="38"/>
        <v>0</v>
      </c>
    </row>
    <row r="379" spans="3:54" ht="15" customHeight="1" x14ac:dyDescent="0.25">
      <c r="C379" s="42"/>
      <c r="D379" s="43">
        <f>D376</f>
        <v>45778</v>
      </c>
      <c r="E379" s="44">
        <f t="shared" si="43"/>
        <v>30.499999999999837</v>
      </c>
      <c r="F379" s="45">
        <f t="shared" si="39"/>
        <v>45778.50000000088</v>
      </c>
      <c r="G379" s="52"/>
      <c r="H379" s="53"/>
      <c r="I379" s="54"/>
      <c r="J379" s="54"/>
      <c r="K379" s="55"/>
      <c r="L379" s="56"/>
      <c r="M379" s="54"/>
      <c r="N379" s="54"/>
      <c r="O379" s="57"/>
      <c r="P379" s="53"/>
      <c r="Q379" s="54"/>
      <c r="R379" s="55"/>
      <c r="S379" s="55"/>
      <c r="T379" s="57"/>
      <c r="U379" s="56"/>
      <c r="V379" s="54"/>
      <c r="W379" s="55"/>
      <c r="X379" s="55"/>
      <c r="Y379" s="57"/>
      <c r="Z379" s="53"/>
      <c r="AA379" s="54"/>
      <c r="AB379" s="55"/>
      <c r="AC379" s="55"/>
      <c r="AD379" s="57"/>
      <c r="AE379" s="56"/>
      <c r="AF379" s="54"/>
      <c r="AG379" s="55"/>
      <c r="AH379" s="55"/>
      <c r="AI379" s="57"/>
      <c r="AJ379" s="56"/>
      <c r="AK379" s="54"/>
      <c r="AL379" s="54"/>
      <c r="AM379" s="54"/>
      <c r="AN379" s="57"/>
      <c r="AO379" s="53"/>
      <c r="AP379" s="54"/>
      <c r="AQ379" s="54"/>
      <c r="AR379" s="54"/>
      <c r="AS379" s="57"/>
      <c r="AT379" s="56"/>
      <c r="AU379" s="57"/>
      <c r="AV379" s="56"/>
      <c r="AW379" s="57"/>
      <c r="AX379" s="8"/>
      <c r="AZ379" s="1">
        <v>90</v>
      </c>
      <c r="BB379" s="82">
        <f t="shared" si="38"/>
        <v>0</v>
      </c>
    </row>
    <row r="380" spans="3:54" ht="15" customHeight="1" x14ac:dyDescent="0.25">
      <c r="C380" s="42"/>
      <c r="D380" s="43">
        <f>D376</f>
        <v>45778</v>
      </c>
      <c r="E380" s="44">
        <f t="shared" si="43"/>
        <v>30.583333333333169</v>
      </c>
      <c r="F380" s="45">
        <f t="shared" si="39"/>
        <v>45778.583333334216</v>
      </c>
      <c r="G380" s="52"/>
      <c r="H380" s="53"/>
      <c r="I380" s="54"/>
      <c r="J380" s="54"/>
      <c r="K380" s="55"/>
      <c r="L380" s="56"/>
      <c r="M380" s="54"/>
      <c r="N380" s="54"/>
      <c r="O380" s="57"/>
      <c r="P380" s="53"/>
      <c r="Q380" s="54"/>
      <c r="R380" s="55"/>
      <c r="S380" s="55"/>
      <c r="T380" s="57"/>
      <c r="U380" s="56"/>
      <c r="V380" s="54"/>
      <c r="W380" s="55"/>
      <c r="X380" s="55"/>
      <c r="Y380" s="57"/>
      <c r="Z380" s="53"/>
      <c r="AA380" s="54"/>
      <c r="AB380" s="55"/>
      <c r="AC380" s="55"/>
      <c r="AD380" s="57"/>
      <c r="AE380" s="56"/>
      <c r="AF380" s="54"/>
      <c r="AG380" s="55"/>
      <c r="AH380" s="55"/>
      <c r="AI380" s="57"/>
      <c r="AJ380" s="56"/>
      <c r="AK380" s="54"/>
      <c r="AL380" s="54"/>
      <c r="AM380" s="54"/>
      <c r="AN380" s="57"/>
      <c r="AO380" s="53"/>
      <c r="AP380" s="54"/>
      <c r="AQ380" s="54"/>
      <c r="AR380" s="54"/>
      <c r="AS380" s="57"/>
      <c r="AT380" s="56"/>
      <c r="AU380" s="57"/>
      <c r="AV380" s="56"/>
      <c r="AW380" s="57"/>
      <c r="AX380" s="8"/>
      <c r="AZ380" s="1">
        <v>90</v>
      </c>
      <c r="BB380" s="82">
        <f t="shared" si="38"/>
        <v>0</v>
      </c>
    </row>
    <row r="381" spans="3:54" ht="15" customHeight="1" x14ac:dyDescent="0.25">
      <c r="C381" s="42"/>
      <c r="D381" s="43">
        <f>D376</f>
        <v>45778</v>
      </c>
      <c r="E381" s="44">
        <f t="shared" si="43"/>
        <v>30.666666666666501</v>
      </c>
      <c r="F381" s="45">
        <f t="shared" si="39"/>
        <v>45778.666666667552</v>
      </c>
      <c r="G381" s="52"/>
      <c r="H381" s="53"/>
      <c r="I381" s="54"/>
      <c r="J381" s="54"/>
      <c r="K381" s="55"/>
      <c r="L381" s="56"/>
      <c r="M381" s="54"/>
      <c r="N381" s="54"/>
      <c r="O381" s="57"/>
      <c r="P381" s="53"/>
      <c r="Q381" s="54"/>
      <c r="R381" s="55"/>
      <c r="S381" s="55"/>
      <c r="T381" s="57"/>
      <c r="U381" s="56"/>
      <c r="V381" s="54"/>
      <c r="W381" s="55"/>
      <c r="X381" s="55"/>
      <c r="Y381" s="57"/>
      <c r="Z381" s="53"/>
      <c r="AA381" s="54"/>
      <c r="AB381" s="55"/>
      <c r="AC381" s="55"/>
      <c r="AD381" s="57"/>
      <c r="AE381" s="56"/>
      <c r="AF381" s="54"/>
      <c r="AG381" s="55"/>
      <c r="AH381" s="55"/>
      <c r="AI381" s="57"/>
      <c r="AJ381" s="56"/>
      <c r="AK381" s="54"/>
      <c r="AL381" s="54"/>
      <c r="AM381" s="54"/>
      <c r="AN381" s="57"/>
      <c r="AO381" s="53"/>
      <c r="AP381" s="54"/>
      <c r="AQ381" s="54"/>
      <c r="AR381" s="54"/>
      <c r="AS381" s="57"/>
      <c r="AT381" s="56"/>
      <c r="AU381" s="57"/>
      <c r="AV381" s="56"/>
      <c r="AW381" s="57"/>
      <c r="AX381" s="8"/>
      <c r="AZ381" s="1">
        <v>90</v>
      </c>
      <c r="BB381" s="82">
        <f t="shared" si="38"/>
        <v>0</v>
      </c>
    </row>
    <row r="382" spans="3:54" ht="15" customHeight="1" x14ac:dyDescent="0.25">
      <c r="C382" s="42"/>
      <c r="D382" s="43">
        <f>D376</f>
        <v>45778</v>
      </c>
      <c r="E382" s="44">
        <f t="shared" si="43"/>
        <v>30.749999999999833</v>
      </c>
      <c r="F382" s="45">
        <f t="shared" si="39"/>
        <v>45778.750000000888</v>
      </c>
      <c r="G382" s="52"/>
      <c r="H382" s="53"/>
      <c r="I382" s="54"/>
      <c r="J382" s="54"/>
      <c r="K382" s="55"/>
      <c r="L382" s="56"/>
      <c r="M382" s="54"/>
      <c r="N382" s="54"/>
      <c r="O382" s="57"/>
      <c r="P382" s="53"/>
      <c r="Q382" s="54"/>
      <c r="R382" s="55"/>
      <c r="S382" s="55"/>
      <c r="T382" s="57"/>
      <c r="U382" s="56"/>
      <c r="V382" s="54"/>
      <c r="W382" s="55"/>
      <c r="X382" s="55"/>
      <c r="Y382" s="57"/>
      <c r="Z382" s="53"/>
      <c r="AA382" s="54"/>
      <c r="AB382" s="55"/>
      <c r="AC382" s="55"/>
      <c r="AD382" s="57"/>
      <c r="AE382" s="56"/>
      <c r="AF382" s="54"/>
      <c r="AG382" s="55"/>
      <c r="AH382" s="55"/>
      <c r="AI382" s="57"/>
      <c r="AJ382" s="56"/>
      <c r="AK382" s="54"/>
      <c r="AL382" s="54"/>
      <c r="AM382" s="54"/>
      <c r="AN382" s="57"/>
      <c r="AO382" s="53"/>
      <c r="AP382" s="54"/>
      <c r="AQ382" s="54"/>
      <c r="AR382" s="54"/>
      <c r="AS382" s="57"/>
      <c r="AT382" s="56"/>
      <c r="AU382" s="57"/>
      <c r="AV382" s="56"/>
      <c r="AW382" s="57"/>
      <c r="AX382" s="8"/>
      <c r="AZ382" s="1">
        <v>90</v>
      </c>
      <c r="BB382" s="82">
        <f t="shared" si="38"/>
        <v>0</v>
      </c>
    </row>
    <row r="383" spans="3:54" ht="15" customHeight="1" x14ac:dyDescent="0.25">
      <c r="C383" s="42"/>
      <c r="D383" s="43">
        <f>D376</f>
        <v>45778</v>
      </c>
      <c r="E383" s="44">
        <f t="shared" si="43"/>
        <v>30.833333333333165</v>
      </c>
      <c r="F383" s="45">
        <f t="shared" si="39"/>
        <v>45778.833333334223</v>
      </c>
      <c r="G383" s="52"/>
      <c r="H383" s="53"/>
      <c r="I383" s="54"/>
      <c r="J383" s="54"/>
      <c r="K383" s="55"/>
      <c r="L383" s="56"/>
      <c r="M383" s="54"/>
      <c r="N383" s="54"/>
      <c r="O383" s="57"/>
      <c r="P383" s="53"/>
      <c r="Q383" s="54"/>
      <c r="R383" s="55"/>
      <c r="S383" s="55"/>
      <c r="T383" s="57"/>
      <c r="U383" s="56"/>
      <c r="V383" s="54"/>
      <c r="W383" s="55"/>
      <c r="X383" s="55"/>
      <c r="Y383" s="57"/>
      <c r="Z383" s="53"/>
      <c r="AA383" s="54"/>
      <c r="AB383" s="55"/>
      <c r="AC383" s="55"/>
      <c r="AD383" s="57"/>
      <c r="AE383" s="56"/>
      <c r="AF383" s="54"/>
      <c r="AG383" s="55"/>
      <c r="AH383" s="55"/>
      <c r="AI383" s="57"/>
      <c r="AJ383" s="56"/>
      <c r="AK383" s="54"/>
      <c r="AL383" s="54"/>
      <c r="AM383" s="54"/>
      <c r="AN383" s="57"/>
      <c r="AO383" s="53"/>
      <c r="AP383" s="54"/>
      <c r="AQ383" s="54"/>
      <c r="AR383" s="54"/>
      <c r="AS383" s="57"/>
      <c r="AT383" s="56"/>
      <c r="AU383" s="57"/>
      <c r="AV383" s="56"/>
      <c r="AW383" s="57"/>
      <c r="AX383" s="8"/>
      <c r="AZ383" s="1">
        <v>90</v>
      </c>
      <c r="BB383" s="82">
        <f t="shared" si="38"/>
        <v>0</v>
      </c>
    </row>
    <row r="384" spans="3:54" ht="15" customHeight="1" x14ac:dyDescent="0.25">
      <c r="C384" s="42"/>
      <c r="D384" s="43">
        <f>D376</f>
        <v>45778</v>
      </c>
      <c r="E384" s="44">
        <f t="shared" si="43"/>
        <v>30.916666666666497</v>
      </c>
      <c r="F384" s="45">
        <f t="shared" si="39"/>
        <v>45778.916666667559</v>
      </c>
      <c r="G384" s="52"/>
      <c r="H384" s="53"/>
      <c r="I384" s="54"/>
      <c r="J384" s="54"/>
      <c r="K384" s="55"/>
      <c r="L384" s="56"/>
      <c r="M384" s="54"/>
      <c r="N384" s="54"/>
      <c r="O384" s="57"/>
      <c r="P384" s="53"/>
      <c r="Q384" s="54"/>
      <c r="R384" s="55"/>
      <c r="S384" s="55"/>
      <c r="T384" s="57"/>
      <c r="U384" s="56"/>
      <c r="V384" s="54"/>
      <c r="W384" s="55"/>
      <c r="X384" s="55"/>
      <c r="Y384" s="57"/>
      <c r="Z384" s="53"/>
      <c r="AA384" s="54"/>
      <c r="AB384" s="55"/>
      <c r="AC384" s="55"/>
      <c r="AD384" s="57"/>
      <c r="AE384" s="56"/>
      <c r="AF384" s="54"/>
      <c r="AG384" s="55"/>
      <c r="AH384" s="55"/>
      <c r="AI384" s="57"/>
      <c r="AJ384" s="56"/>
      <c r="AK384" s="54"/>
      <c r="AL384" s="54"/>
      <c r="AM384" s="54"/>
      <c r="AN384" s="57"/>
      <c r="AO384" s="53"/>
      <c r="AP384" s="54"/>
      <c r="AQ384" s="54"/>
      <c r="AR384" s="54"/>
      <c r="AS384" s="57"/>
      <c r="AT384" s="56"/>
      <c r="AU384" s="57"/>
      <c r="AV384" s="56"/>
      <c r="AW384" s="57"/>
      <c r="AX384" s="8"/>
      <c r="AZ384" s="1">
        <v>90</v>
      </c>
      <c r="BB384" s="82">
        <f t="shared" si="38"/>
        <v>0</v>
      </c>
    </row>
    <row r="385" spans="3:54" ht="15" customHeight="1" x14ac:dyDescent="0.25">
      <c r="C385" s="42"/>
      <c r="D385" s="43">
        <f>D376</f>
        <v>45778</v>
      </c>
      <c r="E385" s="44">
        <f t="shared" si="43"/>
        <v>30.999999999999829</v>
      </c>
      <c r="F385" s="45">
        <f t="shared" si="39"/>
        <v>45779.000000000895</v>
      </c>
      <c r="G385" s="52"/>
      <c r="H385" s="53"/>
      <c r="I385" s="54"/>
      <c r="J385" s="54"/>
      <c r="K385" s="55"/>
      <c r="L385" s="56"/>
      <c r="M385" s="54"/>
      <c r="N385" s="54"/>
      <c r="O385" s="57"/>
      <c r="P385" s="53"/>
      <c r="Q385" s="54"/>
      <c r="R385" s="55"/>
      <c r="S385" s="55"/>
      <c r="T385" s="57"/>
      <c r="U385" s="56"/>
      <c r="V385" s="54"/>
      <c r="W385" s="55"/>
      <c r="X385" s="55"/>
      <c r="Y385" s="57"/>
      <c r="Z385" s="53"/>
      <c r="AA385" s="54"/>
      <c r="AB385" s="55"/>
      <c r="AC385" s="55"/>
      <c r="AD385" s="57"/>
      <c r="AE385" s="56"/>
      <c r="AF385" s="54"/>
      <c r="AG385" s="55"/>
      <c r="AH385" s="55"/>
      <c r="AI385" s="57"/>
      <c r="AJ385" s="56"/>
      <c r="AK385" s="54"/>
      <c r="AL385" s="54"/>
      <c r="AM385" s="54"/>
      <c r="AN385" s="57"/>
      <c r="AO385" s="53"/>
      <c r="AP385" s="54"/>
      <c r="AQ385" s="54"/>
      <c r="AR385" s="54"/>
      <c r="AS385" s="57"/>
      <c r="AT385" s="56"/>
      <c r="AU385" s="57"/>
      <c r="AV385" s="56"/>
      <c r="AW385" s="57"/>
      <c r="AX385" s="8"/>
      <c r="AZ385" s="1">
        <v>90</v>
      </c>
      <c r="BB385" s="82">
        <f t="shared" si="38"/>
        <v>0</v>
      </c>
    </row>
    <row r="386" spans="3:54" ht="15" customHeight="1" x14ac:dyDescent="0.25">
      <c r="C386" s="42"/>
      <c r="D386" s="43">
        <f>D376</f>
        <v>45778</v>
      </c>
      <c r="E386" s="44">
        <f t="shared" si="43"/>
        <v>31.083333333333162</v>
      </c>
      <c r="F386" s="45">
        <f t="shared" si="39"/>
        <v>45779.083333334231</v>
      </c>
      <c r="G386" s="52"/>
      <c r="H386" s="53"/>
      <c r="I386" s="54"/>
      <c r="J386" s="54"/>
      <c r="K386" s="55"/>
      <c r="L386" s="56"/>
      <c r="M386" s="54"/>
      <c r="N386" s="54"/>
      <c r="O386" s="57"/>
      <c r="P386" s="53"/>
      <c r="Q386" s="54"/>
      <c r="R386" s="55"/>
      <c r="S386" s="55"/>
      <c r="T386" s="57"/>
      <c r="U386" s="56"/>
      <c r="V386" s="54"/>
      <c r="W386" s="55"/>
      <c r="X386" s="55"/>
      <c r="Y386" s="57"/>
      <c r="Z386" s="53"/>
      <c r="AA386" s="54"/>
      <c r="AB386" s="55"/>
      <c r="AC386" s="55"/>
      <c r="AD386" s="57"/>
      <c r="AE386" s="56"/>
      <c r="AF386" s="54"/>
      <c r="AG386" s="55"/>
      <c r="AH386" s="55"/>
      <c r="AI386" s="57"/>
      <c r="AJ386" s="56"/>
      <c r="AK386" s="54"/>
      <c r="AL386" s="54"/>
      <c r="AM386" s="54"/>
      <c r="AN386" s="57"/>
      <c r="AO386" s="53"/>
      <c r="AP386" s="54"/>
      <c r="AQ386" s="54"/>
      <c r="AR386" s="54"/>
      <c r="AS386" s="57"/>
      <c r="AT386" s="56"/>
      <c r="AU386" s="57"/>
      <c r="AV386" s="56"/>
      <c r="AW386" s="57"/>
      <c r="AX386" s="8"/>
      <c r="AZ386" s="1">
        <v>90</v>
      </c>
      <c r="BB386" s="82">
        <f t="shared" si="38"/>
        <v>0</v>
      </c>
    </row>
    <row r="387" spans="3:54" ht="15" customHeight="1" x14ac:dyDescent="0.25">
      <c r="C387" s="42"/>
      <c r="D387" s="69">
        <f>D376</f>
        <v>45778</v>
      </c>
      <c r="E387" s="70">
        <f t="shared" si="43"/>
        <v>31.166666666666494</v>
      </c>
      <c r="F387" s="71">
        <f t="shared" si="39"/>
        <v>45779.166666667566</v>
      </c>
      <c r="G387" s="72"/>
      <c r="H387" s="73"/>
      <c r="I387" s="74"/>
      <c r="J387" s="74"/>
      <c r="K387" s="75"/>
      <c r="L387" s="76"/>
      <c r="M387" s="74"/>
      <c r="N387" s="74"/>
      <c r="O387" s="77"/>
      <c r="P387" s="73"/>
      <c r="Q387" s="74"/>
      <c r="R387" s="75"/>
      <c r="S387" s="75"/>
      <c r="T387" s="77"/>
      <c r="U387" s="76"/>
      <c r="V387" s="74"/>
      <c r="W387" s="75"/>
      <c r="X387" s="75"/>
      <c r="Y387" s="77"/>
      <c r="Z387" s="73"/>
      <c r="AA387" s="74"/>
      <c r="AB387" s="75"/>
      <c r="AC387" s="75"/>
      <c r="AD387" s="77"/>
      <c r="AE387" s="76"/>
      <c r="AF387" s="74"/>
      <c r="AG387" s="75"/>
      <c r="AH387" s="75"/>
      <c r="AI387" s="77"/>
      <c r="AJ387" s="76"/>
      <c r="AK387" s="74"/>
      <c r="AL387" s="74"/>
      <c r="AM387" s="74"/>
      <c r="AN387" s="77"/>
      <c r="AO387" s="73"/>
      <c r="AP387" s="74"/>
      <c r="AQ387" s="74"/>
      <c r="AR387" s="74"/>
      <c r="AS387" s="77"/>
      <c r="AT387" s="76"/>
      <c r="AU387" s="77"/>
      <c r="AV387" s="76"/>
      <c r="AW387" s="77"/>
      <c r="AX387" s="8"/>
      <c r="AZ387" s="1">
        <v>90</v>
      </c>
      <c r="BB387" s="82">
        <f t="shared" si="38"/>
        <v>0</v>
      </c>
    </row>
    <row r="388" spans="3:54" ht="15.75" thickBot="1" x14ac:dyDescent="0.3">
      <c r="C388" s="78"/>
      <c r="D388" s="79"/>
      <c r="E388" s="79"/>
      <c r="F388" s="79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1"/>
    </row>
  </sheetData>
  <sheetProtection algorithmName="SHA-512" hashValue="dHlkjrEeqCAeWg7kyzSKHMeX2XXkEnGYzvb6BCdiqmkbjjUDaNfP/7F48sqPFETAkVq6MEw+Na91FAJNpBrBqQ==" saltValue="LiLIgXXc5xEfQj1R/Rfjjw==" spinCount="100000" sheet="1"/>
  <mergeCells count="56">
    <mergeCell ref="C2:AX8"/>
    <mergeCell ref="D10:F15"/>
    <mergeCell ref="G10:G11"/>
    <mergeCell ref="H10:K11"/>
    <mergeCell ref="L10:O11"/>
    <mergeCell ref="P10:T11"/>
    <mergeCell ref="U10:Y11"/>
    <mergeCell ref="Z10:AD11"/>
    <mergeCell ref="AE10:AI11"/>
    <mergeCell ref="AJ10:AN11"/>
    <mergeCell ref="AO10:AS11"/>
    <mergeCell ref="AT10:AU11"/>
    <mergeCell ref="AV10:AW11"/>
    <mergeCell ref="G12:G14"/>
    <mergeCell ref="H12:H14"/>
    <mergeCell ref="I12:I14"/>
    <mergeCell ref="J12:J14"/>
    <mergeCell ref="K12:K14"/>
    <mergeCell ref="L12:L14"/>
    <mergeCell ref="M12:M14"/>
    <mergeCell ref="Y12:Y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AK12:AK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W12:AW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</mergeCells>
  <conditionalFormatting sqref="A1:C1 G1:XFD1 C2 A2:B8 AY2:XFD8 A9:C15 AX9:XFD1048576 A16:B387 A388:C1048576 G388:AW1048576">
    <cfRule type="cellIs" dxfId="22" priority="34" operator="between">
      <formula>0</formula>
      <formula>1</formula>
    </cfRule>
    <cfRule type="cellIs" dxfId="21" priority="33" operator="between">
      <formula>1</formula>
      <formula>10</formula>
    </cfRule>
    <cfRule type="cellIs" dxfId="20" priority="32" operator="between">
      <formula>10</formula>
      <formula>100</formula>
    </cfRule>
  </conditionalFormatting>
  <conditionalFormatting sqref="A1:C1 G1:XFD1 C2 A2:B8 AY2:XFD8 A9:C15 AX9:XFD1048576 A16:B387 A388:C1048576">
    <cfRule type="cellIs" dxfId="19" priority="31" operator="greaterThan">
      <formula>100</formula>
    </cfRule>
    <cfRule type="cellIs" dxfId="18" priority="30" operator="equal">
      <formula>0</formula>
    </cfRule>
  </conditionalFormatting>
  <conditionalFormatting sqref="D16:D387">
    <cfRule type="expression" dxfId="17" priority="18">
      <formula>_xlfn.ISFORMULA(D16)</formula>
    </cfRule>
    <cfRule type="expression" priority="19">
      <formula>isvalue(D16)</formula>
    </cfRule>
  </conditionalFormatting>
  <conditionalFormatting sqref="G16:G387">
    <cfRule type="expression" dxfId="16" priority="8">
      <formula>_xlfn.ISFORMULA(G16)</formula>
    </cfRule>
    <cfRule type="expression" dxfId="15" priority="9">
      <formula>isvalue(G16)</formula>
    </cfRule>
  </conditionalFormatting>
  <conditionalFormatting sqref="G16:AW387">
    <cfRule type="cellIs" dxfId="14" priority="3" operator="between">
      <formula>0</formula>
      <formula>1</formula>
    </cfRule>
    <cfRule type="cellIs" dxfId="13" priority="4" operator="equal">
      <formula>100</formula>
    </cfRule>
    <cfRule type="cellIs" dxfId="12" priority="5" operator="between">
      <formula>1</formula>
      <formula>10</formula>
    </cfRule>
    <cfRule type="cellIs" dxfId="11" priority="6" operator="between">
      <formula>10</formula>
      <formula>100</formula>
    </cfRule>
    <cfRule type="cellIs" dxfId="10" priority="10" operator="lessThan">
      <formula>0</formula>
    </cfRule>
    <cfRule type="cellIs" dxfId="9" priority="11" operator="equal">
      <formula>0</formula>
    </cfRule>
    <cfRule type="cellIs" dxfId="8" priority="12" operator="between">
      <formula>0</formula>
      <formula>1</formula>
    </cfRule>
    <cfRule type="cellIs" dxfId="7" priority="13" operator="between">
      <formula>1</formula>
      <formula>100</formula>
    </cfRule>
    <cfRule type="expression" dxfId="6" priority="17">
      <formula>_xlfn.ISFORMULA(G16)</formula>
    </cfRule>
    <cfRule type="cellIs" dxfId="5" priority="15" operator="equal">
      <formula>0</formula>
    </cfRule>
    <cfRule type="cellIs" dxfId="4" priority="1" operator="equal">
      <formula>1</formula>
    </cfRule>
  </conditionalFormatting>
  <conditionalFormatting sqref="G16:AW1048576">
    <cfRule type="cellIs" dxfId="3" priority="2" operator="equal">
      <formula>0</formula>
    </cfRule>
    <cfRule type="cellIs" dxfId="2" priority="7" operator="greaterThan">
      <formula>100</formula>
    </cfRule>
  </conditionalFormatting>
  <conditionalFormatting sqref="H16:AW387">
    <cfRule type="expression" dxfId="1" priority="21">
      <formula>isvalue(H16)</formula>
    </cfRule>
    <cfRule type="expression" dxfId="0" priority="29">
      <formula>_xlfn.ISFORMULA(H16)</formula>
    </cfRule>
  </conditionalFormatting>
  <pageMargins left="0.7" right="0.7" top="0.75" bottom="0.75" header="0.3" footer="0.3"/>
  <headerFooter>
    <oddHeader>&amp;L&amp;"Calibri"&amp;14&amp;K000000 INTERNAL USE&amp;1#_x000D_</oddHeader>
    <oddFooter>&amp;C_x000D_&amp;1#&amp;"Calibri"&amp;10&amp;K000000 General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633169A46BC449F11C62E7824D9F2" ma:contentTypeVersion="11" ma:contentTypeDescription="Create a new document." ma:contentTypeScope="" ma:versionID="3ea55f1832b74de4a009ea2872eb6b23">
  <xsd:schema xmlns:xsd="http://www.w3.org/2001/XMLSchema" xmlns:xs="http://www.w3.org/2001/XMLSchema" xmlns:p="http://schemas.microsoft.com/office/2006/metadata/properties" xmlns:ns2="e757a8e9-1036-4236-b8d3-2079b3aced2d" xmlns:ns3="b37f6f3f-83a5-491a-969e-155e89dd5eff" targetNamespace="http://schemas.microsoft.com/office/2006/metadata/properties" ma:root="true" ma:fieldsID="3a8fd10ee7b38aa89fd5c17180b6f600" ns2:_="" ns3:_="">
    <xsd:import namespace="e757a8e9-1036-4236-b8d3-2079b3aced2d"/>
    <xsd:import namespace="b37f6f3f-83a5-491a-969e-155e89dd5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7a8e9-1036-4236-b8d3-2079b3ace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5a25e7-b7a3-4eb0-b37c-e68149f85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f6f3f-83a5-491a-969e-155e89dd5e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53883-3d10-4647-96be-ecf107c4b3fe}" ma:internalName="TaxCatchAll" ma:showField="CatchAllData" ma:web="b37f6f3f-83a5-491a-969e-155e89dd5e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7f6f3f-83a5-491a-969e-155e89dd5eff" xsi:nil="true"/>
    <lcf76f155ced4ddcb4097134ff3c332f xmlns="e757a8e9-1036-4236-b8d3-2079b3aced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7B2C8B-1BB0-4C9B-9581-CDCF5CA78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7a8e9-1036-4236-b8d3-2079b3aced2d"/>
    <ds:schemaRef ds:uri="b37f6f3f-83a5-491a-969e-155e89dd5e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4BA0A7-6D24-42AE-B64D-212552B02AC4}">
  <ds:schemaRefs>
    <ds:schemaRef ds:uri="http://schemas.microsoft.com/office/2006/metadata/properties"/>
    <ds:schemaRef ds:uri="http://schemas.microsoft.com/office/infopath/2007/PartnerControls"/>
    <ds:schemaRef ds:uri="b37f6f3f-83a5-491a-969e-155e89dd5eff"/>
    <ds:schemaRef ds:uri="e757a8e9-1036-4236-b8d3-2079b3aced2d"/>
  </ds:schemaRefs>
</ds:datastoreItem>
</file>

<file path=customXml/itemProps3.xml><?xml version="1.0" encoding="utf-8"?>
<ds:datastoreItem xmlns:ds="http://schemas.openxmlformats.org/officeDocument/2006/customXml" ds:itemID="{1B3F637B-CB97-4192-817F-C2A6F86B4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</vt:lpstr>
      <vt:lpstr>Jan 25</vt:lpstr>
      <vt:lpstr>Feb 25</vt:lpstr>
      <vt:lpstr>Mar 25</vt:lpstr>
      <vt:lpstr>April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Helmy Rizqullah</dc:creator>
  <cp:keywords/>
  <dc:description/>
  <cp:lastModifiedBy>Eden Paki</cp:lastModifiedBy>
  <cp:revision/>
  <dcterms:created xsi:type="dcterms:W3CDTF">2025-04-07T14:44:16Z</dcterms:created>
  <dcterms:modified xsi:type="dcterms:W3CDTF">2025-07-08T23:20:34Z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44d796-94bd-49e2-b07b-f5157d6e91d5_Enabled">
    <vt:lpwstr>true</vt:lpwstr>
  </property>
  <property fmtid="{D5CDD505-2E9C-101B-9397-08002B2CF9AE}" pid="3" name="MSIP_Label_8044d796-94bd-49e2-b07b-f5157d6e91d5_SetDate">
    <vt:lpwstr>2025-04-25T06:54:56Z</vt:lpwstr>
  </property>
  <property fmtid="{D5CDD505-2E9C-101B-9397-08002B2CF9AE}" pid="4" name="MSIP_Label_8044d796-94bd-49e2-b07b-f5157d6e91d5_Method">
    <vt:lpwstr>Privileged</vt:lpwstr>
  </property>
  <property fmtid="{D5CDD505-2E9C-101B-9397-08002B2CF9AE}" pid="5" name="MSIP_Label_8044d796-94bd-49e2-b07b-f5157d6e91d5_Name">
    <vt:lpwstr>INTERNAL USE</vt:lpwstr>
  </property>
  <property fmtid="{D5CDD505-2E9C-101B-9397-08002B2CF9AE}" pid="6" name="MSIP_Label_8044d796-94bd-49e2-b07b-f5157d6e91d5_SiteId">
    <vt:lpwstr>6b3257a3-11ab-43a7-8708-fb17f85c0c4d</vt:lpwstr>
  </property>
  <property fmtid="{D5CDD505-2E9C-101B-9397-08002B2CF9AE}" pid="7" name="MSIP_Label_8044d796-94bd-49e2-b07b-f5157d6e91d5_ActionId">
    <vt:lpwstr>fd3d628d-0439-48ee-a346-5737be86e9eb</vt:lpwstr>
  </property>
  <property fmtid="{D5CDD505-2E9C-101B-9397-08002B2CF9AE}" pid="8" name="MSIP_Label_8044d796-94bd-49e2-b07b-f5157d6e91d5_ContentBits">
    <vt:lpwstr>2</vt:lpwstr>
  </property>
  <property fmtid="{D5CDD505-2E9C-101B-9397-08002B2CF9AE}" pid="9" name="MSIP_Label_8044d796-94bd-49e2-b07b-f5157d6e91d5_Tag">
    <vt:lpwstr>10, 0, 1, 1</vt:lpwstr>
  </property>
  <property fmtid="{D5CDD505-2E9C-101B-9397-08002B2CF9AE}" pid="10" name="ContentTypeId">
    <vt:lpwstr>0x010100A37633169A46BC449F11C62E7824D9F2</vt:lpwstr>
  </property>
  <property fmtid="{D5CDD505-2E9C-101B-9397-08002B2CF9AE}" pid="11" name="MSIP_Label_77742a09-bfb0-4510-9e26-b9837db26482_Enabled">
    <vt:lpwstr>true</vt:lpwstr>
  </property>
  <property fmtid="{D5CDD505-2E9C-101B-9397-08002B2CF9AE}" pid="12" name="MSIP_Label_77742a09-bfb0-4510-9e26-b9837db26482_SetDate">
    <vt:lpwstr>2025-05-07T01:32:55Z</vt:lpwstr>
  </property>
  <property fmtid="{D5CDD505-2E9C-101B-9397-08002B2CF9AE}" pid="13" name="MSIP_Label_77742a09-bfb0-4510-9e26-b9837db26482_Method">
    <vt:lpwstr>Privileged</vt:lpwstr>
  </property>
  <property fmtid="{D5CDD505-2E9C-101B-9397-08002B2CF9AE}" pid="14" name="MSIP_Label_77742a09-bfb0-4510-9e26-b9837db26482_Name">
    <vt:lpwstr>General</vt:lpwstr>
  </property>
  <property fmtid="{D5CDD505-2E9C-101B-9397-08002B2CF9AE}" pid="15" name="MSIP_Label_77742a09-bfb0-4510-9e26-b9837db26482_SiteId">
    <vt:lpwstr>a21a716e-fb9a-45c0-b997-e26360b0a3a1</vt:lpwstr>
  </property>
  <property fmtid="{D5CDD505-2E9C-101B-9397-08002B2CF9AE}" pid="16" name="MSIP_Label_77742a09-bfb0-4510-9e26-b9837db26482_ActionId">
    <vt:lpwstr>23264725-171e-4f63-a088-ed217215862d</vt:lpwstr>
  </property>
  <property fmtid="{D5CDD505-2E9C-101B-9397-08002B2CF9AE}" pid="17" name="MSIP_Label_77742a09-bfb0-4510-9e26-b9837db26482_ContentBits">
    <vt:lpwstr>2</vt:lpwstr>
  </property>
  <property fmtid="{D5CDD505-2E9C-101B-9397-08002B2CF9AE}" pid="18" name="MSIP_Label_77742a09-bfb0-4510-9e26-b9837db26482_Tag">
    <vt:lpwstr>10, 0, 1, 2</vt:lpwstr>
  </property>
  <property fmtid="{D5CDD505-2E9C-101B-9397-08002B2CF9AE}" pid="19" name="MediaServiceImageTags">
    <vt:lpwstr/>
  </property>
</Properties>
</file>