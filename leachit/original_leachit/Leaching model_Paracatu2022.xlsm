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ustomProperty3.bin" ContentType="application/vnd.openxmlformats-officedocument.spreadsheetml.customProperty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ustomProperty4.bin" ContentType="application/vnd.openxmlformats-officedocument.spreadsheetml.customProperty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bert/work/orica/ies_master/server/models/ies-crcore-models/src/main/java/org/crcore/ies/leaching/"/>
    </mc:Choice>
  </mc:AlternateContent>
  <xr:revisionPtr revIDLastSave="0" documentId="13_ncr:1_{A63E3ED9-94D9-FF47-95BF-08124AC4DC40}" xr6:coauthVersionLast="47" xr6:coauthVersionMax="47" xr10:uidLastSave="{00000000-0000-0000-0000-000000000000}"/>
  <bookViews>
    <workbookView xWindow="9200" yWindow="1540" windowWidth="29040" windowHeight="15840" activeTab="1" xr2:uid="{00000000-000D-0000-FFFF-FFFF00000000}"/>
  </bookViews>
  <sheets>
    <sheet name="Au&amp;CN_Parameter_Optimisation" sheetId="1" r:id="rId1"/>
    <sheet name="Au&amp;CN_Profile_Calculation" sheetId="4" r:id="rId2"/>
    <sheet name="Leaching_Parameter_Opt" sheetId="3" r:id="rId3"/>
    <sheet name="Sheet1" sheetId="6" r:id="rId4"/>
  </sheets>
  <functionGroups builtInGroupCount="19"/>
  <definedNames>
    <definedName name="solver_adj" localSheetId="0" hidden="1">'Au&amp;CN_Parameter_Optimisation'!$F$18:$F$31</definedName>
    <definedName name="solver_adj" localSheetId="1" hidden="1">'Au&amp;CN_Profile_Calculation'!#REF!</definedName>
    <definedName name="solver_adj" localSheetId="2" hidden="1">Leaching_Parameter_Opt!$K$7:$K$8</definedName>
    <definedName name="solver_cvg" localSheetId="0" hidden="1">0.0001</definedName>
    <definedName name="solver_cvg" localSheetId="1" hidden="1">0.0001</definedName>
    <definedName name="solver_cvg" localSheetId="2" hidden="1">0.0000001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10000</definedName>
    <definedName name="solver_itr" localSheetId="1" hidden="1">10000</definedName>
    <definedName name="solver_itr" localSheetId="2" hidden="1">100</definedName>
    <definedName name="solver_lin" localSheetId="0" hidden="1">2</definedName>
    <definedName name="solver_lin" localSheetId="1" hidden="1">2</definedName>
    <definedName name="solver_lin" localSheetId="2" hidden="1">2</definedName>
    <definedName name="solver_neg" localSheetId="0" hidden="1">1</definedName>
    <definedName name="solver_neg" localSheetId="1" hidden="1">1</definedName>
    <definedName name="solver_neg" localSheetId="2" hidden="1">2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'Au&amp;CN_Parameter_Optimisation'!$F$33</definedName>
    <definedName name="solver_opt" localSheetId="1" hidden="1">'Au&amp;CN_Profile_Calculation'!$F$33</definedName>
    <definedName name="solver_opt" localSheetId="2" hidden="1">Leaching_Parameter_Opt!$D$32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scl" localSheetId="0" hidden="1">2</definedName>
    <definedName name="solver_scl" localSheetId="1" hidden="1">2</definedName>
    <definedName name="solver_scl" localSheetId="2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tim" localSheetId="0" hidden="1">100</definedName>
    <definedName name="solver_tim" localSheetId="1" hidden="1">100</definedName>
    <definedName name="solver_tim" localSheetId="2" hidden="1">100</definedName>
    <definedName name="solver_tol" localSheetId="0" hidden="1">0.05</definedName>
    <definedName name="solver_tol" localSheetId="1" hidden="1">0.05</definedName>
    <definedName name="solver_tol" localSheetId="2" hidden="1">0.05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val" localSheetId="0" hidden="1">0</definedName>
    <definedName name="solver_val" localSheetId="1" hidden="1">0</definedName>
    <definedName name="solver_val" localSheetId="2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8" i="1" l="1"/>
  <c r="Z7" i="1"/>
  <c r="Z6" i="1"/>
  <c r="Z5" i="1"/>
  <c r="Z4" i="1"/>
  <c r="Z3" i="1"/>
  <c r="Z2" i="1"/>
  <c r="B15" i="1"/>
  <c r="K52" i="1"/>
  <c r="K52" i="4" s="1"/>
  <c r="K53" i="1"/>
  <c r="K53" i="4" s="1"/>
  <c r="K54" i="1"/>
  <c r="K54" i="4" s="1"/>
  <c r="K55" i="1"/>
  <c r="K55" i="4" s="1"/>
  <c r="K56" i="1"/>
  <c r="K56" i="4" s="1"/>
  <c r="K57" i="1"/>
  <c r="K57" i="4" s="1"/>
  <c r="K51" i="1"/>
  <c r="K51" i="4" s="1"/>
  <c r="B15" i="4" l="1"/>
  <c r="B19" i="4"/>
  <c r="B20" i="4"/>
  <c r="B21" i="4"/>
  <c r="B22" i="4"/>
  <c r="B23" i="4"/>
  <c r="B24" i="4"/>
  <c r="B25" i="4"/>
  <c r="B26" i="4"/>
  <c r="B27" i="4"/>
  <c r="B30" i="4"/>
  <c r="B31" i="4"/>
  <c r="B32" i="4"/>
  <c r="B33" i="4"/>
  <c r="B18" i="4"/>
  <c r="P8" i="1"/>
  <c r="P7" i="1"/>
  <c r="P6" i="1"/>
  <c r="P5" i="1"/>
  <c r="P4" i="1"/>
  <c r="P3" i="1"/>
  <c r="P2" i="1"/>
  <c r="J51" i="4" l="1"/>
  <c r="J52" i="4" s="1"/>
  <c r="J53" i="4" s="1"/>
  <c r="J54" i="4" s="1"/>
  <c r="J55" i="4" s="1"/>
  <c r="J56" i="4" s="1"/>
  <c r="J57" i="4" s="1"/>
  <c r="L50" i="1" l="1"/>
  <c r="S3" i="4"/>
  <c r="S4" i="4"/>
  <c r="S5" i="4"/>
  <c r="S6" i="4"/>
  <c r="S7" i="4"/>
  <c r="S8" i="4"/>
  <c r="S2" i="4"/>
  <c r="B11" i="4"/>
  <c r="E5" i="4"/>
  <c r="A53" i="1" l="1"/>
  <c r="M57" i="1"/>
  <c r="M57" i="4" s="1"/>
  <c r="M56" i="1"/>
  <c r="M56" i="4" s="1"/>
  <c r="M55" i="1"/>
  <c r="M55" i="4" s="1"/>
  <c r="M54" i="1"/>
  <c r="M54" i="4" s="1"/>
  <c r="M53" i="1"/>
  <c r="M53" i="4" s="1"/>
  <c r="M52" i="1"/>
  <c r="M52" i="4" s="1"/>
  <c r="M51" i="1"/>
  <c r="M50" i="1"/>
  <c r="L51" i="1" l="1"/>
  <c r="P2" i="4" l="1"/>
  <c r="R2" i="4" s="1"/>
  <c r="G57" i="4" l="1"/>
  <c r="B171" i="1"/>
  <c r="B172" i="1"/>
  <c r="B173" i="1"/>
  <c r="B174" i="1"/>
  <c r="B175" i="1"/>
  <c r="B176" i="1"/>
  <c r="B177" i="1"/>
  <c r="B178" i="1"/>
  <c r="B179" i="1"/>
  <c r="B162" i="1"/>
  <c r="B163" i="1"/>
  <c r="B164" i="1"/>
  <c r="B165" i="1"/>
  <c r="B166" i="1"/>
  <c r="B167" i="1"/>
  <c r="B168" i="1"/>
  <c r="B169" i="1"/>
  <c r="B170" i="1"/>
  <c r="B151" i="1"/>
  <c r="B152" i="1"/>
  <c r="B153" i="1"/>
  <c r="B154" i="1"/>
  <c r="B155" i="1"/>
  <c r="B156" i="1"/>
  <c r="B157" i="1"/>
  <c r="B158" i="1"/>
  <c r="B159" i="1"/>
  <c r="B160" i="1"/>
  <c r="B16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06" i="1"/>
  <c r="A107" i="1"/>
  <c r="A108" i="1" s="1"/>
  <c r="B108" i="1" s="1"/>
  <c r="G51" i="4"/>
  <c r="O54" i="1" l="1"/>
  <c r="O54" i="4"/>
  <c r="B107" i="1"/>
  <c r="A109" i="1"/>
  <c r="B109" i="1" s="1"/>
  <c r="G52" i="4"/>
  <c r="G53" i="4"/>
  <c r="G54" i="4"/>
  <c r="G55" i="4"/>
  <c r="G56" i="4"/>
  <c r="O55" i="4"/>
  <c r="A53" i="4"/>
  <c r="A54" i="4" s="1"/>
  <c r="C52" i="1"/>
  <c r="D75" i="1"/>
  <c r="D72" i="1"/>
  <c r="D71" i="1"/>
  <c r="D70" i="1"/>
  <c r="D69" i="1"/>
  <c r="D68" i="1"/>
  <c r="D67" i="1"/>
  <c r="D66" i="1"/>
  <c r="D65" i="1"/>
  <c r="A54" i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C61" i="1" l="1"/>
  <c r="C65" i="1"/>
  <c r="C69" i="1"/>
  <c r="C76" i="1"/>
  <c r="A77" i="1"/>
  <c r="C73" i="1"/>
  <c r="C57" i="1"/>
  <c r="C53" i="1"/>
  <c r="C74" i="1"/>
  <c r="C70" i="1"/>
  <c r="C66" i="1"/>
  <c r="C62" i="1"/>
  <c r="C58" i="1"/>
  <c r="C54" i="1"/>
  <c r="C75" i="1"/>
  <c r="C71" i="1"/>
  <c r="C67" i="1"/>
  <c r="C63" i="1"/>
  <c r="C59" i="1"/>
  <c r="C55" i="1"/>
  <c r="C72" i="1"/>
  <c r="C68" i="1"/>
  <c r="C64" i="1"/>
  <c r="C60" i="1"/>
  <c r="C56" i="1"/>
  <c r="A110" i="1"/>
  <c r="B110" i="1" s="1"/>
  <c r="C53" i="4"/>
  <c r="C52" i="4"/>
  <c r="A55" i="4"/>
  <c r="C54" i="4"/>
  <c r="A78" i="1" l="1"/>
  <c r="C77" i="1"/>
  <c r="A111" i="1"/>
  <c r="B111" i="1" s="1"/>
  <c r="A56" i="4"/>
  <c r="C55" i="4"/>
  <c r="A79" i="1" l="1"/>
  <c r="C78" i="1"/>
  <c r="D78" i="1" s="1"/>
  <c r="A112" i="1"/>
  <c r="B112" i="1" s="1"/>
  <c r="A57" i="4"/>
  <c r="C56" i="4"/>
  <c r="E81" i="3"/>
  <c r="A80" i="1" l="1"/>
  <c r="C79" i="1"/>
  <c r="D79" i="1" s="1"/>
  <c r="A113" i="1"/>
  <c r="B113" i="1" s="1"/>
  <c r="A58" i="4"/>
  <c r="C57" i="4"/>
  <c r="A81" i="1" l="1"/>
  <c r="C80" i="1"/>
  <c r="D80" i="1" s="1"/>
  <c r="A114" i="1"/>
  <c r="B114" i="1" s="1"/>
  <c r="A59" i="4"/>
  <c r="C58" i="4"/>
  <c r="A82" i="1" l="1"/>
  <c r="C81" i="1"/>
  <c r="D81" i="1" s="1"/>
  <c r="A115" i="1"/>
  <c r="B115" i="1" s="1"/>
  <c r="C59" i="4"/>
  <c r="A60" i="4"/>
  <c r="A83" i="1" l="1"/>
  <c r="C82" i="1"/>
  <c r="D82" i="1" s="1"/>
  <c r="A116" i="1"/>
  <c r="B116" i="1" s="1"/>
  <c r="C60" i="4"/>
  <c r="A61" i="4"/>
  <c r="C83" i="1" l="1"/>
  <c r="D83" i="1" s="1"/>
  <c r="A84" i="1"/>
  <c r="A117" i="1"/>
  <c r="B117" i="1" s="1"/>
  <c r="C61" i="4"/>
  <c r="A62" i="4"/>
  <c r="E56" i="3"/>
  <c r="F56" i="3" s="1"/>
  <c r="G56" i="3" s="1"/>
  <c r="L55" i="3"/>
  <c r="K55" i="3"/>
  <c r="J55" i="3"/>
  <c r="I55" i="3"/>
  <c r="H55" i="3"/>
  <c r="C84" i="1" l="1"/>
  <c r="D84" i="1" s="1"/>
  <c r="A85" i="1"/>
  <c r="A118" i="1"/>
  <c r="B118" i="1" s="1"/>
  <c r="C62" i="4"/>
  <c r="A63" i="4"/>
  <c r="H56" i="3"/>
  <c r="L56" i="3"/>
  <c r="K56" i="3"/>
  <c r="J56" i="3"/>
  <c r="I56" i="3" s="1"/>
  <c r="A86" i="1" l="1"/>
  <c r="C85" i="1"/>
  <c r="D85" i="1" s="1"/>
  <c r="A119" i="1"/>
  <c r="B119" i="1" s="1"/>
  <c r="C63" i="4"/>
  <c r="A64" i="4"/>
  <c r="A87" i="1" l="1"/>
  <c r="C86" i="1"/>
  <c r="D86" i="1" s="1"/>
  <c r="A120" i="1"/>
  <c r="B120" i="1" s="1"/>
  <c r="A65" i="4"/>
  <c r="C64" i="4"/>
  <c r="C87" i="1" l="1"/>
  <c r="D87" i="1" s="1"/>
  <c r="A88" i="1"/>
  <c r="A121" i="1"/>
  <c r="B121" i="1" s="1"/>
  <c r="C65" i="4"/>
  <c r="A66" i="4"/>
  <c r="C88" i="1" l="1"/>
  <c r="D88" i="1" s="1"/>
  <c r="A89" i="1"/>
  <c r="A122" i="1"/>
  <c r="B122" i="1" s="1"/>
  <c r="C66" i="4"/>
  <c r="A67" i="4"/>
  <c r="A90" i="1" l="1"/>
  <c r="C89" i="1"/>
  <c r="D89" i="1" s="1"/>
  <c r="A123" i="1"/>
  <c r="B123" i="1" s="1"/>
  <c r="C67" i="4"/>
  <c r="A68" i="4"/>
  <c r="C90" i="1" l="1"/>
  <c r="D90" i="1" s="1"/>
  <c r="A91" i="1"/>
  <c r="A124" i="1"/>
  <c r="B124" i="1" s="1"/>
  <c r="A69" i="4"/>
  <c r="C68" i="4"/>
  <c r="C91" i="1" l="1"/>
  <c r="D91" i="1" s="1"/>
  <c r="A92" i="1"/>
  <c r="A125" i="1"/>
  <c r="B125" i="1" s="1"/>
  <c r="C69" i="4"/>
  <c r="A70" i="4"/>
  <c r="C92" i="1" l="1"/>
  <c r="D92" i="1" s="1"/>
  <c r="A93" i="1"/>
  <c r="A126" i="1"/>
  <c r="B126" i="1" s="1"/>
  <c r="C70" i="4"/>
  <c r="A71" i="4"/>
  <c r="A94" i="1" l="1"/>
  <c r="C93" i="1"/>
  <c r="D93" i="1" s="1"/>
  <c r="A127" i="1"/>
  <c r="B127" i="1" s="1"/>
  <c r="A72" i="4"/>
  <c r="C71" i="4"/>
  <c r="A95" i="1" l="1"/>
  <c r="C94" i="1"/>
  <c r="D94" i="1" s="1"/>
  <c r="A128" i="1"/>
  <c r="B128" i="1" s="1"/>
  <c r="A73" i="4"/>
  <c r="C72" i="4"/>
  <c r="C95" i="1" l="1"/>
  <c r="D95" i="1" s="1"/>
  <c r="A96" i="1"/>
  <c r="A129" i="1"/>
  <c r="B129" i="1" s="1"/>
  <c r="A74" i="4"/>
  <c r="C73" i="4"/>
  <c r="C96" i="1" l="1"/>
  <c r="D96" i="1" s="1"/>
  <c r="A97" i="1"/>
  <c r="A130" i="1"/>
  <c r="C74" i="4"/>
  <c r="A75" i="4"/>
  <c r="A98" i="1" l="1"/>
  <c r="C97" i="1"/>
  <c r="D97" i="1" s="1"/>
  <c r="B131" i="1"/>
  <c r="B130" i="1"/>
  <c r="A76" i="4"/>
  <c r="C75" i="4"/>
  <c r="C98" i="1" l="1"/>
  <c r="D98" i="1" s="1"/>
  <c r="A99" i="1"/>
  <c r="C77" i="4"/>
  <c r="C76" i="4"/>
  <c r="D28" i="3"/>
  <c r="C99" i="1" l="1"/>
  <c r="D99" i="1" s="1"/>
  <c r="A100" i="1"/>
  <c r="A101" i="1" l="1"/>
  <c r="C101" i="1" s="1"/>
  <c r="D101" i="1" s="1"/>
  <c r="C100" i="1"/>
  <c r="D100" i="1" s="1"/>
  <c r="E25" i="3" l="1"/>
  <c r="S25" i="3" s="1"/>
  <c r="D25" i="3"/>
  <c r="J24" i="3" l="1"/>
  <c r="I24" i="3"/>
  <c r="H24" i="3"/>
  <c r="G24" i="3"/>
  <c r="F24" i="3"/>
  <c r="F25" i="3" s="1"/>
  <c r="D24" i="3"/>
  <c r="D23" i="3"/>
  <c r="D22" i="3"/>
  <c r="D21" i="3"/>
  <c r="D20" i="3"/>
  <c r="D19" i="3"/>
  <c r="D18" i="3"/>
  <c r="X24" i="3" l="1"/>
  <c r="J25" i="3"/>
  <c r="W24" i="3"/>
  <c r="I25" i="3"/>
  <c r="H25" i="3"/>
  <c r="V24" i="3"/>
  <c r="O24" i="3" s="1"/>
  <c r="G25" i="3"/>
  <c r="U24" i="3"/>
  <c r="T24" i="3"/>
  <c r="G13" i="3"/>
  <c r="N24" i="3" l="1"/>
  <c r="AC24" i="3"/>
  <c r="Q24" i="3"/>
  <c r="K6" i="3"/>
  <c r="A6" i="3"/>
  <c r="E26" i="3" s="1"/>
  <c r="K5" i="3"/>
  <c r="C5" i="3"/>
  <c r="L51" i="4"/>
  <c r="O55" i="1"/>
  <c r="L90" i="3"/>
  <c r="L94" i="3" s="1"/>
  <c r="K90" i="3"/>
  <c r="K94" i="3" s="1"/>
  <c r="J90" i="3"/>
  <c r="J94" i="3" s="1"/>
  <c r="I90" i="3"/>
  <c r="I94" i="3" s="1"/>
  <c r="H90" i="3"/>
  <c r="H94" i="3" s="1"/>
  <c r="G90" i="3"/>
  <c r="G94" i="3" s="1"/>
  <c r="F90" i="3"/>
  <c r="F94" i="3" s="1"/>
  <c r="E90" i="3"/>
  <c r="E91" i="3" s="1"/>
  <c r="D90" i="3"/>
  <c r="C90" i="3"/>
  <c r="C94" i="3" s="1"/>
  <c r="B90" i="3"/>
  <c r="B91" i="3" s="1"/>
  <c r="S8" i="1"/>
  <c r="S7" i="1"/>
  <c r="S6" i="1"/>
  <c r="S5" i="1"/>
  <c r="S4" i="1"/>
  <c r="S3" i="1"/>
  <c r="S2" i="1"/>
  <c r="T2" i="1"/>
  <c r="S26" i="3" l="1"/>
  <c r="H26" i="3"/>
  <c r="I26" i="3"/>
  <c r="J26" i="3"/>
  <c r="G26" i="3"/>
  <c r="F26" i="3"/>
  <c r="C6" i="3"/>
  <c r="D6" i="3" s="1"/>
  <c r="A7" i="3"/>
  <c r="R5" i="1"/>
  <c r="P5" i="4"/>
  <c r="R5" i="4" s="1"/>
  <c r="O52" i="1"/>
  <c r="O52" i="4"/>
  <c r="T8" i="1"/>
  <c r="P8" i="4"/>
  <c r="R8" i="4" s="1"/>
  <c r="O56" i="1"/>
  <c r="O56" i="4"/>
  <c r="R4" i="1"/>
  <c r="P4" i="4"/>
  <c r="R4" i="4" s="1"/>
  <c r="O53" i="1"/>
  <c r="O53" i="4"/>
  <c r="O57" i="1"/>
  <c r="O57" i="4"/>
  <c r="O51" i="1"/>
  <c r="M51" i="4"/>
  <c r="O51" i="4" s="1"/>
  <c r="O2" i="1"/>
  <c r="O3" i="1" s="1"/>
  <c r="O4" i="1" s="1"/>
  <c r="O5" i="1" s="1"/>
  <c r="O50" i="1"/>
  <c r="M50" i="4"/>
  <c r="O50" i="4" s="1"/>
  <c r="L52" i="1"/>
  <c r="L53" i="1" s="1"/>
  <c r="R2" i="1"/>
  <c r="O2" i="4"/>
  <c r="O3" i="4" s="1"/>
  <c r="O4" i="4" s="1"/>
  <c r="O5" i="4" s="1"/>
  <c r="O6" i="4" s="1"/>
  <c r="O7" i="4" s="1"/>
  <c r="O8" i="4" s="1"/>
  <c r="L52" i="4"/>
  <c r="L53" i="4" s="1"/>
  <c r="L54" i="4" s="1"/>
  <c r="D5" i="3"/>
  <c r="E94" i="3"/>
  <c r="R8" i="1"/>
  <c r="B94" i="3"/>
  <c r="L91" i="3" s="1"/>
  <c r="K91" i="3" s="1"/>
  <c r="J91" i="3" s="1"/>
  <c r="I91" i="3" s="1"/>
  <c r="H91" i="3" s="1"/>
  <c r="G91" i="3" s="1"/>
  <c r="F91" i="3" s="1"/>
  <c r="D94" i="3"/>
  <c r="D91" i="3"/>
  <c r="C91" i="3" s="1"/>
  <c r="T5" i="1"/>
  <c r="P3" i="4"/>
  <c r="R3" i="4" s="1"/>
  <c r="P6" i="4"/>
  <c r="R6" i="4" s="1"/>
  <c r="D77" i="1"/>
  <c r="D64" i="1"/>
  <c r="D59" i="1"/>
  <c r="D57" i="1"/>
  <c r="D73" i="1"/>
  <c r="D62" i="1"/>
  <c r="D55" i="1"/>
  <c r="D53" i="1"/>
  <c r="D60" i="1"/>
  <c r="D58" i="1"/>
  <c r="D76" i="1"/>
  <c r="D74" i="1"/>
  <c r="D63" i="1"/>
  <c r="D61" i="1"/>
  <c r="D56" i="1"/>
  <c r="D54" i="1"/>
  <c r="D52" i="1"/>
  <c r="T4" i="1"/>
  <c r="M24" i="3"/>
  <c r="AB24" i="3"/>
  <c r="P24" i="3"/>
  <c r="AE24" i="3"/>
  <c r="E58" i="3" l="1"/>
  <c r="E27" i="3"/>
  <c r="A8" i="3"/>
  <c r="R7" i="1"/>
  <c r="P7" i="4"/>
  <c r="R7" i="4" s="1"/>
  <c r="L54" i="1"/>
  <c r="L55" i="1" s="1"/>
  <c r="L56" i="1" s="1"/>
  <c r="L57" i="1" s="1"/>
  <c r="L55" i="4"/>
  <c r="L56" i="4" s="1"/>
  <c r="L57" i="4" s="1"/>
  <c r="O6" i="1"/>
  <c r="O7" i="1" s="1"/>
  <c r="O8" i="1" s="1"/>
  <c r="T6" i="1"/>
  <c r="R6" i="1"/>
  <c r="T3" i="1"/>
  <c r="R3" i="1"/>
  <c r="T7" i="1"/>
  <c r="AD24" i="3"/>
  <c r="AA24" i="3"/>
  <c r="S27" i="3" l="1"/>
  <c r="L27" i="3" s="1"/>
  <c r="F27" i="3"/>
  <c r="I27" i="3"/>
  <c r="J27" i="3"/>
  <c r="H27" i="3"/>
  <c r="G27" i="3"/>
  <c r="C7" i="3"/>
  <c r="D7" i="3" s="1"/>
  <c r="E59" i="3"/>
  <c r="E28" i="3"/>
  <c r="A9" i="3"/>
  <c r="T13" i="1"/>
  <c r="E60" i="3" l="1"/>
  <c r="F60" i="3" s="1"/>
  <c r="E29" i="3"/>
  <c r="A10" i="3"/>
  <c r="S28" i="3"/>
  <c r="L28" i="3" s="1"/>
  <c r="J28" i="3"/>
  <c r="G28" i="3"/>
  <c r="H28" i="3"/>
  <c r="F28" i="3"/>
  <c r="I28" i="3"/>
  <c r="C8" i="3"/>
  <c r="D8" i="3" s="1"/>
  <c r="Z27" i="3"/>
  <c r="O27" i="3"/>
  <c r="N27" i="3"/>
  <c r="Q27" i="3"/>
  <c r="P27" i="3"/>
  <c r="M27" i="3"/>
  <c r="T27" i="3" s="1"/>
  <c r="E57" i="3"/>
  <c r="F57" i="3" s="1"/>
  <c r="G57" i="3" s="1"/>
  <c r="F59" i="3"/>
  <c r="F58" i="3"/>
  <c r="F81" i="3"/>
  <c r="AC27" i="3" l="1"/>
  <c r="AB27" i="3"/>
  <c r="AE27" i="3"/>
  <c r="X27" i="3" s="1"/>
  <c r="AD27" i="3"/>
  <c r="W27" i="3" s="1"/>
  <c r="E61" i="3"/>
  <c r="F61" i="3" s="1"/>
  <c r="G61" i="3" s="1"/>
  <c r="I61" i="3" s="1"/>
  <c r="E30" i="3"/>
  <c r="A11" i="3"/>
  <c r="G58" i="3"/>
  <c r="L58" i="3" s="1"/>
  <c r="S29" i="3"/>
  <c r="L29" i="3" s="1"/>
  <c r="F29" i="3"/>
  <c r="I29" i="3"/>
  <c r="G29" i="3"/>
  <c r="H29" i="3"/>
  <c r="J29" i="3"/>
  <c r="C9" i="3"/>
  <c r="D9" i="3" s="1"/>
  <c r="Z28" i="3"/>
  <c r="O28" i="3"/>
  <c r="N28" i="3"/>
  <c r="Q28" i="3"/>
  <c r="M28" i="3"/>
  <c r="P28" i="3"/>
  <c r="G59" i="3"/>
  <c r="I59" i="3" s="1"/>
  <c r="G60" i="3"/>
  <c r="L60" i="3" s="1"/>
  <c r="K58" i="3"/>
  <c r="K57" i="3"/>
  <c r="I57" i="3"/>
  <c r="H57" i="3"/>
  <c r="J57" i="3"/>
  <c r="L57" i="3"/>
  <c r="J58" i="3" l="1"/>
  <c r="I58" i="3"/>
  <c r="L61" i="3"/>
  <c r="H58" i="3"/>
  <c r="Z29" i="3"/>
  <c r="O29" i="3"/>
  <c r="Q29" i="3"/>
  <c r="N29" i="3"/>
  <c r="P29" i="3"/>
  <c r="M29" i="3"/>
  <c r="T29" i="3" s="1"/>
  <c r="E62" i="3"/>
  <c r="F62" i="3" s="1"/>
  <c r="G62" i="3" s="1"/>
  <c r="E31" i="3"/>
  <c r="A12" i="3"/>
  <c r="J59" i="3"/>
  <c r="L59" i="3"/>
  <c r="K61" i="3"/>
  <c r="J61" i="3"/>
  <c r="S30" i="3"/>
  <c r="L30" i="3" s="1"/>
  <c r="H30" i="3"/>
  <c r="J30" i="3"/>
  <c r="G30" i="3"/>
  <c r="F30" i="3"/>
  <c r="I30" i="3"/>
  <c r="C10" i="3"/>
  <c r="D10" i="3" s="1"/>
  <c r="AC28" i="3"/>
  <c r="AB28" i="3"/>
  <c r="AE28" i="3"/>
  <c r="X28" i="3" s="1"/>
  <c r="AD28" i="3"/>
  <c r="W28" i="3" s="1"/>
  <c r="H59" i="3"/>
  <c r="H61" i="3"/>
  <c r="V27" i="3"/>
  <c r="U27" i="3" s="1"/>
  <c r="K59" i="3"/>
  <c r="H60" i="3"/>
  <c r="I60" i="3"/>
  <c r="J62" i="3"/>
  <c r="K62" i="3"/>
  <c r="K60" i="3"/>
  <c r="H62" i="3"/>
  <c r="J60" i="3"/>
  <c r="L62" i="3" l="1"/>
  <c r="I62" i="3"/>
  <c r="AC29" i="3"/>
  <c r="AE29" i="3"/>
  <c r="X29" i="3" s="1"/>
  <c r="AB29" i="3"/>
  <c r="AD29" i="3"/>
  <c r="W29" i="3" s="1"/>
  <c r="Z30" i="3"/>
  <c r="O30" i="3"/>
  <c r="N30" i="3"/>
  <c r="Q30" i="3"/>
  <c r="M30" i="3"/>
  <c r="P30" i="3"/>
  <c r="E63" i="3"/>
  <c r="F63" i="3" s="1"/>
  <c r="G63" i="3" s="1"/>
  <c r="E32" i="3"/>
  <c r="A13" i="3"/>
  <c r="V28" i="3"/>
  <c r="U28" i="3" s="1"/>
  <c r="T28" i="3" s="1"/>
  <c r="S31" i="3"/>
  <c r="L31" i="3" s="1"/>
  <c r="F31" i="3"/>
  <c r="I31" i="3"/>
  <c r="J31" i="3"/>
  <c r="G31" i="3"/>
  <c r="H31" i="3"/>
  <c r="C11" i="3"/>
  <c r="D11" i="3" s="1"/>
  <c r="V29" i="3" l="1"/>
  <c r="U29" i="3"/>
  <c r="S32" i="3"/>
  <c r="L32" i="3" s="1"/>
  <c r="G32" i="3"/>
  <c r="J32" i="3"/>
  <c r="H32" i="3"/>
  <c r="F32" i="3"/>
  <c r="I32" i="3"/>
  <c r="C12" i="3"/>
  <c r="D12" i="3" s="1"/>
  <c r="E64" i="3"/>
  <c r="F64" i="3" s="1"/>
  <c r="G64" i="3" s="1"/>
  <c r="E33" i="3"/>
  <c r="A14" i="3"/>
  <c r="AC30" i="3"/>
  <c r="AB30" i="3"/>
  <c r="AE30" i="3"/>
  <c r="X30" i="3" s="1"/>
  <c r="AD30" i="3"/>
  <c r="W30" i="3" s="1"/>
  <c r="Z31" i="3"/>
  <c r="O31" i="3"/>
  <c r="N31" i="3"/>
  <c r="Q31" i="3"/>
  <c r="P31" i="3"/>
  <c r="M31" i="3"/>
  <c r="T31" i="3" s="1"/>
  <c r="I63" i="3"/>
  <c r="K63" i="3"/>
  <c r="J63" i="3"/>
  <c r="H63" i="3"/>
  <c r="L63" i="3"/>
  <c r="V30" i="3" l="1"/>
  <c r="U30" i="3" s="1"/>
  <c r="T30" i="3" s="1"/>
  <c r="J64" i="3"/>
  <c r="K64" i="3"/>
  <c r="H64" i="3"/>
  <c r="L64" i="3"/>
  <c r="I64" i="3"/>
  <c r="E65" i="3"/>
  <c r="F65" i="3" s="1"/>
  <c r="G65" i="3" s="1"/>
  <c r="E34" i="3"/>
  <c r="A15" i="3"/>
  <c r="AC31" i="3"/>
  <c r="AE31" i="3"/>
  <c r="X31" i="3" s="1"/>
  <c r="AB31" i="3"/>
  <c r="AD31" i="3"/>
  <c r="W31" i="3" s="1"/>
  <c r="S33" i="3"/>
  <c r="L33" i="3" s="1"/>
  <c r="J33" i="3"/>
  <c r="I33" i="3"/>
  <c r="G33" i="3"/>
  <c r="F33" i="3"/>
  <c r="H33" i="3"/>
  <c r="C13" i="3"/>
  <c r="D13" i="3" s="1"/>
  <c r="Z32" i="3"/>
  <c r="O32" i="3"/>
  <c r="N32" i="3"/>
  <c r="Q32" i="3"/>
  <c r="M32" i="3"/>
  <c r="P32" i="3"/>
  <c r="V31" i="3" l="1"/>
  <c r="U31" i="3"/>
  <c r="AC32" i="3"/>
  <c r="AB32" i="3"/>
  <c r="AE32" i="3"/>
  <c r="X32" i="3" s="1"/>
  <c r="AD32" i="3"/>
  <c r="W32" i="3" s="1"/>
  <c r="E66" i="3"/>
  <c r="F66" i="3" s="1"/>
  <c r="G66" i="3" s="1"/>
  <c r="E35" i="3"/>
  <c r="A16" i="3"/>
  <c r="S34" i="3"/>
  <c r="L34" i="3" s="1"/>
  <c r="H34" i="3"/>
  <c r="G34" i="3"/>
  <c r="I34" i="3"/>
  <c r="F34" i="3"/>
  <c r="C14" i="3"/>
  <c r="D14" i="3" s="1"/>
  <c r="J34" i="3"/>
  <c r="L65" i="3"/>
  <c r="K65" i="3"/>
  <c r="I65" i="3"/>
  <c r="J65" i="3"/>
  <c r="H65" i="3"/>
  <c r="Z33" i="3"/>
  <c r="O33" i="3"/>
  <c r="Q33" i="3"/>
  <c r="N33" i="3"/>
  <c r="M33" i="3"/>
  <c r="P33" i="3"/>
  <c r="V32" i="3" l="1"/>
  <c r="AC33" i="3"/>
  <c r="AE33" i="3"/>
  <c r="X33" i="3" s="1"/>
  <c r="AB33" i="3"/>
  <c r="AD33" i="3"/>
  <c r="W33" i="3" s="1"/>
  <c r="Z34" i="3"/>
  <c r="O34" i="3"/>
  <c r="Q34" i="3"/>
  <c r="N34" i="3"/>
  <c r="M34" i="3"/>
  <c r="T34" i="3" s="1"/>
  <c r="P34" i="3"/>
  <c r="U32" i="3"/>
  <c r="T32" i="3" s="1"/>
  <c r="S35" i="3"/>
  <c r="L35" i="3" s="1"/>
  <c r="J35" i="3"/>
  <c r="G35" i="3"/>
  <c r="H35" i="3"/>
  <c r="C15" i="3"/>
  <c r="D15" i="3" s="1"/>
  <c r="F35" i="3"/>
  <c r="I35" i="3"/>
  <c r="E67" i="3"/>
  <c r="F67" i="3" s="1"/>
  <c r="G67" i="3" s="1"/>
  <c r="E36" i="3"/>
  <c r="A17" i="3"/>
  <c r="H66" i="3"/>
  <c r="I66" i="3"/>
  <c r="K66" i="3"/>
  <c r="J66" i="3"/>
  <c r="L66" i="3"/>
  <c r="V33" i="3" l="1"/>
  <c r="U33" i="3" s="1"/>
  <c r="T33" i="3" s="1"/>
  <c r="Z35" i="3"/>
  <c r="O35" i="3"/>
  <c r="Q35" i="3"/>
  <c r="N35" i="3"/>
  <c r="P35" i="3"/>
  <c r="M35" i="3"/>
  <c r="S36" i="3"/>
  <c r="L36" i="3" s="1"/>
  <c r="F36" i="3"/>
  <c r="I36" i="3"/>
  <c r="H36" i="3"/>
  <c r="C16" i="3"/>
  <c r="D16" i="3" s="1"/>
  <c r="J36" i="3"/>
  <c r="G36" i="3"/>
  <c r="H67" i="3"/>
  <c r="J67" i="3"/>
  <c r="L67" i="3"/>
  <c r="K67" i="3"/>
  <c r="I67" i="3"/>
  <c r="E68" i="3"/>
  <c r="F68" i="3" s="1"/>
  <c r="G68" i="3" s="1"/>
  <c r="E37" i="3"/>
  <c r="A18" i="3"/>
  <c r="AC34" i="3"/>
  <c r="AB34" i="3"/>
  <c r="AE34" i="3"/>
  <c r="X34" i="3" s="1"/>
  <c r="AD34" i="3"/>
  <c r="W34" i="3" s="1"/>
  <c r="S37" i="3" l="1"/>
  <c r="L37" i="3" s="1"/>
  <c r="C17" i="3"/>
  <c r="D17" i="3" s="1"/>
  <c r="G37" i="3"/>
  <c r="H37" i="3"/>
  <c r="F37" i="3"/>
  <c r="I37" i="3"/>
  <c r="J37" i="3"/>
  <c r="J68" i="3"/>
  <c r="L68" i="3"/>
  <c r="I68" i="3"/>
  <c r="H68" i="3"/>
  <c r="K68" i="3"/>
  <c r="Z36" i="3"/>
  <c r="O36" i="3"/>
  <c r="N36" i="3"/>
  <c r="Q36" i="3"/>
  <c r="P36" i="3"/>
  <c r="M36" i="3"/>
  <c r="V34" i="3"/>
  <c r="U34" i="3" s="1"/>
  <c r="E69" i="3"/>
  <c r="F69" i="3" s="1"/>
  <c r="G69" i="3" s="1"/>
  <c r="E38" i="3"/>
  <c r="A19" i="3"/>
  <c r="AC35" i="3"/>
  <c r="AB35" i="3"/>
  <c r="AE35" i="3"/>
  <c r="X35" i="3" s="1"/>
  <c r="AD35" i="3"/>
  <c r="W35" i="3" s="1"/>
  <c r="S38" i="3" l="1"/>
  <c r="L38" i="3" s="1"/>
  <c r="C18" i="3"/>
  <c r="I38" i="3"/>
  <c r="J38" i="3"/>
  <c r="F38" i="3"/>
  <c r="H38" i="3"/>
  <c r="G38" i="3"/>
  <c r="V35" i="3"/>
  <c r="U35" i="3" s="1"/>
  <c r="E70" i="3"/>
  <c r="F70" i="3" s="1"/>
  <c r="G70" i="3" s="1"/>
  <c r="E39" i="3"/>
  <c r="A20" i="3"/>
  <c r="H69" i="3"/>
  <c r="J69" i="3"/>
  <c r="I69" i="3"/>
  <c r="K69" i="3"/>
  <c r="L69" i="3"/>
  <c r="AC36" i="3"/>
  <c r="AE36" i="3"/>
  <c r="X36" i="3" s="1"/>
  <c r="AD36" i="3"/>
  <c r="W36" i="3" s="1"/>
  <c r="Z37" i="3"/>
  <c r="O37" i="3"/>
  <c r="N37" i="3"/>
  <c r="U37" i="3" s="1"/>
  <c r="Q37" i="3"/>
  <c r="P37" i="3"/>
  <c r="M37" i="3"/>
  <c r="AC37" i="3" l="1"/>
  <c r="AE37" i="3"/>
  <c r="X37" i="3" s="1"/>
  <c r="AD37" i="3"/>
  <c r="W37" i="3" s="1"/>
  <c r="V36" i="3"/>
  <c r="U36" i="3" s="1"/>
  <c r="E71" i="3"/>
  <c r="F71" i="3" s="1"/>
  <c r="G71" i="3" s="1"/>
  <c r="E40" i="3"/>
  <c r="A21" i="3"/>
  <c r="S39" i="3"/>
  <c r="L39" i="3" s="1"/>
  <c r="C19" i="3"/>
  <c r="F39" i="3"/>
  <c r="H39" i="3"/>
  <c r="G39" i="3"/>
  <c r="J39" i="3"/>
  <c r="I39" i="3"/>
  <c r="J70" i="3"/>
  <c r="L70" i="3"/>
  <c r="H70" i="3"/>
  <c r="K70" i="3"/>
  <c r="I70" i="3"/>
  <c r="Z38" i="3"/>
  <c r="O38" i="3"/>
  <c r="N38" i="3"/>
  <c r="U38" i="3" s="1"/>
  <c r="Q38" i="3"/>
  <c r="P38" i="3"/>
  <c r="M38" i="3"/>
  <c r="V37" i="3" l="1"/>
  <c r="AC38" i="3"/>
  <c r="AE38" i="3"/>
  <c r="X38" i="3" s="1"/>
  <c r="AD38" i="3"/>
  <c r="W38" i="3" s="1"/>
  <c r="Z39" i="3"/>
  <c r="O39" i="3"/>
  <c r="N39" i="3"/>
  <c r="U39" i="3" s="1"/>
  <c r="Q39" i="3"/>
  <c r="P39" i="3"/>
  <c r="M39" i="3"/>
  <c r="S40" i="3"/>
  <c r="L40" i="3" s="1"/>
  <c r="C20" i="3"/>
  <c r="J40" i="3"/>
  <c r="H40" i="3"/>
  <c r="G40" i="3"/>
  <c r="F40" i="3"/>
  <c r="I40" i="3"/>
  <c r="E72" i="3"/>
  <c r="F72" i="3" s="1"/>
  <c r="G72" i="3" s="1"/>
  <c r="E41" i="3"/>
  <c r="A22" i="3"/>
  <c r="L71" i="3"/>
  <c r="H71" i="3"/>
  <c r="J71" i="3"/>
  <c r="K71" i="3"/>
  <c r="I71" i="3"/>
  <c r="V38" i="3" l="1"/>
  <c r="AC39" i="3"/>
  <c r="AE39" i="3"/>
  <c r="X39" i="3" s="1"/>
  <c r="AD39" i="3"/>
  <c r="W39" i="3" s="1"/>
  <c r="S41" i="3"/>
  <c r="L41" i="3" s="1"/>
  <c r="C21" i="3"/>
  <c r="G41" i="3"/>
  <c r="F41" i="3"/>
  <c r="I41" i="3"/>
  <c r="H41" i="3"/>
  <c r="J41" i="3"/>
  <c r="E73" i="3"/>
  <c r="F73" i="3" s="1"/>
  <c r="G73" i="3" s="1"/>
  <c r="E42" i="3"/>
  <c r="A23" i="3"/>
  <c r="Z40" i="3"/>
  <c r="O40" i="3"/>
  <c r="N40" i="3"/>
  <c r="Q40" i="3"/>
  <c r="M40" i="3"/>
  <c r="P40" i="3"/>
  <c r="J72" i="3"/>
  <c r="K72" i="3"/>
  <c r="H72" i="3"/>
  <c r="L72" i="3"/>
  <c r="I72" i="3"/>
  <c r="V39" i="3" l="1"/>
  <c r="S42" i="3"/>
  <c r="L42" i="3" s="1"/>
  <c r="C22" i="3"/>
  <c r="F42" i="3"/>
  <c r="I42" i="3"/>
  <c r="J42" i="3"/>
  <c r="H42" i="3"/>
  <c r="G42" i="3"/>
  <c r="Z41" i="3"/>
  <c r="O41" i="3"/>
  <c r="N41" i="3"/>
  <c r="Q41" i="3"/>
  <c r="M41" i="3"/>
  <c r="P41" i="3"/>
  <c r="K73" i="3"/>
  <c r="J73" i="3"/>
  <c r="I73" i="3"/>
  <c r="H73" i="3"/>
  <c r="L73" i="3"/>
  <c r="AC40" i="3"/>
  <c r="AE40" i="3"/>
  <c r="X40" i="3" s="1"/>
  <c r="AD40" i="3"/>
  <c r="W40" i="3" s="1"/>
  <c r="E74" i="3"/>
  <c r="F74" i="3" s="1"/>
  <c r="G74" i="3" s="1"/>
  <c r="E43" i="3"/>
  <c r="A24" i="3"/>
  <c r="V40" i="3" l="1"/>
  <c r="U40" i="3" s="1"/>
  <c r="AC41" i="3"/>
  <c r="AE41" i="3"/>
  <c r="X41" i="3" s="1"/>
  <c r="AD41" i="3"/>
  <c r="W41" i="3" s="1"/>
  <c r="K74" i="3"/>
  <c r="J74" i="3"/>
  <c r="L74" i="3"/>
  <c r="I74" i="3"/>
  <c r="H74" i="3"/>
  <c r="E75" i="3"/>
  <c r="F75" i="3" s="1"/>
  <c r="G75" i="3" s="1"/>
  <c r="E44" i="3"/>
  <c r="A25" i="3"/>
  <c r="S43" i="3"/>
  <c r="L43" i="3" s="1"/>
  <c r="C23" i="3"/>
  <c r="H43" i="3"/>
  <c r="F43" i="3"/>
  <c r="J43" i="3"/>
  <c r="G43" i="3"/>
  <c r="I43" i="3"/>
  <c r="Z42" i="3"/>
  <c r="O42" i="3"/>
  <c r="N42" i="3"/>
  <c r="Q42" i="3"/>
  <c r="M42" i="3"/>
  <c r="P42" i="3"/>
  <c r="V41" i="3" l="1"/>
  <c r="U41" i="3" s="1"/>
  <c r="Z43" i="3"/>
  <c r="O43" i="3"/>
  <c r="N43" i="3"/>
  <c r="Q43" i="3"/>
  <c r="P43" i="3"/>
  <c r="M43" i="3"/>
  <c r="AC42" i="3"/>
  <c r="AE42" i="3"/>
  <c r="X42" i="3" s="1"/>
  <c r="AD42" i="3"/>
  <c r="W42" i="3" s="1"/>
  <c r="E76" i="3"/>
  <c r="F76" i="3" s="1"/>
  <c r="G76" i="3" s="1"/>
  <c r="E45" i="3"/>
  <c r="A26" i="3"/>
  <c r="S44" i="3"/>
  <c r="L44" i="3" s="1"/>
  <c r="C24" i="3"/>
  <c r="J44" i="3"/>
  <c r="G44" i="3"/>
  <c r="F44" i="3"/>
  <c r="I44" i="3"/>
  <c r="H44" i="3"/>
  <c r="K75" i="3"/>
  <c r="J75" i="3"/>
  <c r="H75" i="3"/>
  <c r="I75" i="3"/>
  <c r="L75" i="3"/>
  <c r="I76" i="3" l="1"/>
  <c r="H76" i="3"/>
  <c r="L76" i="3"/>
  <c r="K76" i="3"/>
  <c r="J76" i="3"/>
  <c r="E77" i="3"/>
  <c r="F77" i="3" s="1"/>
  <c r="G77" i="3" s="1"/>
  <c r="E46" i="3"/>
  <c r="A27" i="3"/>
  <c r="S45" i="3"/>
  <c r="L45" i="3" s="1"/>
  <c r="C25" i="3"/>
  <c r="G45" i="3"/>
  <c r="J45" i="3"/>
  <c r="H45" i="3"/>
  <c r="F45" i="3"/>
  <c r="I45" i="3"/>
  <c r="Z44" i="3"/>
  <c r="O44" i="3"/>
  <c r="V44" i="3" s="1"/>
  <c r="N44" i="3"/>
  <c r="U44" i="3" s="1"/>
  <c r="Q44" i="3"/>
  <c r="P44" i="3"/>
  <c r="M44" i="3"/>
  <c r="V42" i="3"/>
  <c r="U42" i="3" s="1"/>
  <c r="AC43" i="3"/>
  <c r="AE43" i="3"/>
  <c r="X43" i="3" s="1"/>
  <c r="AD43" i="3"/>
  <c r="W43" i="3" s="1"/>
  <c r="V43" i="3" l="1"/>
  <c r="U43" i="3" s="1"/>
  <c r="AE44" i="3"/>
  <c r="X44" i="3" s="1"/>
  <c r="AD44" i="3"/>
  <c r="W44" i="3" s="1"/>
  <c r="E78" i="3"/>
  <c r="F78" i="3" s="1"/>
  <c r="G78" i="3" s="1"/>
  <c r="E47" i="3"/>
  <c r="A28" i="3"/>
  <c r="I77" i="3"/>
  <c r="J77" i="3"/>
  <c r="L77" i="3"/>
  <c r="K77" i="3"/>
  <c r="H77" i="3"/>
  <c r="S46" i="3"/>
  <c r="L46" i="3" s="1"/>
  <c r="C26" i="3"/>
  <c r="D26" i="3" s="1"/>
  <c r="H46" i="3"/>
  <c r="F46" i="3"/>
  <c r="I46" i="3"/>
  <c r="G46" i="3"/>
  <c r="J46" i="3"/>
  <c r="Z45" i="3"/>
  <c r="O45" i="3"/>
  <c r="V45" i="3" s="1"/>
  <c r="N45" i="3"/>
  <c r="U45" i="3" s="1"/>
  <c r="Q45" i="3"/>
  <c r="P45" i="3"/>
  <c r="M45" i="3"/>
  <c r="S47" i="3" l="1"/>
  <c r="L47" i="3" s="1"/>
  <c r="C27" i="3"/>
  <c r="D27" i="3" s="1"/>
  <c r="F47" i="3"/>
  <c r="I47" i="3"/>
  <c r="G47" i="3"/>
  <c r="J47" i="3"/>
  <c r="H47" i="3"/>
  <c r="AE45" i="3"/>
  <c r="X45" i="3" s="1"/>
  <c r="AD45" i="3"/>
  <c r="W45" i="3" s="1"/>
  <c r="Z46" i="3"/>
  <c r="O46" i="3"/>
  <c r="V46" i="3" s="1"/>
  <c r="Q46" i="3"/>
  <c r="N46" i="3"/>
  <c r="M46" i="3"/>
  <c r="P46" i="3"/>
  <c r="J78" i="3"/>
  <c r="L78" i="3"/>
  <c r="I78" i="3"/>
  <c r="K78" i="3"/>
  <c r="H78" i="3"/>
  <c r="E79" i="3"/>
  <c r="F79" i="3" s="1"/>
  <c r="G79" i="3" s="1"/>
  <c r="E48" i="3"/>
  <c r="A29" i="3"/>
  <c r="AE46" i="3" l="1"/>
  <c r="X46" i="3" s="1"/>
  <c r="AD46" i="3"/>
  <c r="W46" i="3" s="1"/>
  <c r="E80" i="3"/>
  <c r="F80" i="3" s="1"/>
  <c r="E50" i="3"/>
  <c r="E49" i="3"/>
  <c r="S48" i="3"/>
  <c r="L48" i="3" s="1"/>
  <c r="C28" i="3"/>
  <c r="J48" i="3"/>
  <c r="H48" i="3"/>
  <c r="F48" i="3"/>
  <c r="I48" i="3"/>
  <c r="G48" i="3"/>
  <c r="J79" i="3"/>
  <c r="L79" i="3"/>
  <c r="K79" i="3"/>
  <c r="H79" i="3"/>
  <c r="I79" i="3"/>
  <c r="Z47" i="3"/>
  <c r="O47" i="3"/>
  <c r="N47" i="3"/>
  <c r="Q47" i="3"/>
  <c r="P47" i="3"/>
  <c r="M47" i="3"/>
  <c r="AE47" i="3" l="1"/>
  <c r="X47" i="3" s="1"/>
  <c r="AD47" i="3"/>
  <c r="W47" i="3" s="1"/>
  <c r="V47" i="3" s="1"/>
  <c r="Z48" i="3"/>
  <c r="O48" i="3"/>
  <c r="M48" i="3"/>
  <c r="P48" i="3"/>
  <c r="S50" i="3"/>
  <c r="L50" i="3" s="1"/>
  <c r="C30" i="3"/>
  <c r="D30" i="3" s="1"/>
  <c r="H50" i="3"/>
  <c r="J50" i="3"/>
  <c r="F50" i="3"/>
  <c r="G50" i="3"/>
  <c r="I50" i="3"/>
  <c r="G81" i="3"/>
  <c r="G80" i="3"/>
  <c r="S49" i="3"/>
  <c r="L49" i="3" s="1"/>
  <c r="C29" i="3"/>
  <c r="D29" i="3" s="1"/>
  <c r="G49" i="3"/>
  <c r="F49" i="3"/>
  <c r="I49" i="3"/>
  <c r="H49" i="3"/>
  <c r="J49" i="3"/>
  <c r="D32" i="3" l="1"/>
  <c r="H81" i="3"/>
  <c r="K81" i="3"/>
  <c r="J81" i="3"/>
  <c r="L81" i="3"/>
  <c r="I81" i="3"/>
  <c r="Z49" i="3"/>
  <c r="O49" i="3"/>
  <c r="M49" i="3"/>
  <c r="P49" i="3"/>
  <c r="K80" i="3"/>
  <c r="I80" i="3"/>
  <c r="H80" i="3"/>
  <c r="J80" i="3"/>
  <c r="L80" i="3"/>
  <c r="Z50" i="3"/>
  <c r="O50" i="3"/>
  <c r="M50" i="3"/>
  <c r="P50" i="3"/>
  <c r="AE48" i="3"/>
  <c r="X48" i="3" s="1"/>
  <c r="AD48" i="3"/>
  <c r="W48" i="3" s="1"/>
  <c r="V48" i="3" s="1"/>
  <c r="AE50" i="3" l="1"/>
  <c r="X50" i="3" s="1"/>
  <c r="AD50" i="3"/>
  <c r="W50" i="3" s="1"/>
  <c r="V50" i="3" s="1"/>
  <c r="AE49" i="3"/>
  <c r="X49" i="3" s="1"/>
  <c r="AD49" i="3"/>
  <c r="W49" i="3" s="1"/>
  <c r="V49" i="3" s="1"/>
  <c r="L25" i="3" l="1"/>
  <c r="P25" i="3" s="1"/>
  <c r="M25" i="3"/>
  <c r="T25" i="3" s="1"/>
  <c r="L26" i="3"/>
  <c r="Q26" i="3"/>
  <c r="Z26" i="3"/>
  <c r="AD26" i="3" s="1"/>
  <c r="Z25" i="3"/>
  <c r="AB25" i="3" s="1"/>
  <c r="AD25" i="3"/>
  <c r="O25" i="3"/>
  <c r="P26" i="3"/>
  <c r="O26" i="3"/>
  <c r="AC26" i="3"/>
  <c r="N26" i="3"/>
  <c r="AB26" i="3"/>
  <c r="M26" i="3"/>
  <c r="T26" i="3" s="1"/>
  <c r="W25" i="3" l="1"/>
  <c r="Q25" i="3"/>
  <c r="AE25" i="3"/>
  <c r="AE26" i="3"/>
  <c r="X26" i="3" s="1"/>
  <c r="N25" i="3"/>
  <c r="U25" i="3" s="1"/>
  <c r="W26" i="3"/>
  <c r="AC25" i="3"/>
  <c r="V25" i="3" s="1"/>
  <c r="U26" i="3"/>
  <c r="V26" i="3"/>
  <c r="X2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Zwolak</author>
  </authors>
  <commentList>
    <comment ref="A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Mass fraction of the size</t>
        </r>
      </text>
    </comment>
    <comment ref="F4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G4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H4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I4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J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K4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L4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Zwolak</author>
  </authors>
  <commentList>
    <comment ref="A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Mass fraction of the size</t>
        </r>
      </text>
    </comment>
    <comment ref="F44" authorId="0" shapeId="0" xr:uid="{C1F1013F-8837-49FB-8982-79F1EB61E27B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G44" authorId="0" shapeId="0" xr:uid="{B9214E07-211E-450E-A9EA-0713D9EB049F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H44" authorId="0" shapeId="0" xr:uid="{E8223B8C-CEC1-46E0-9C60-A029E57E7644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I44" authorId="0" shapeId="0" xr:uid="{FAE29FAD-CC20-43DC-9834-660D062E8D1D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J44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K44" authorId="0" shapeId="0" xr:uid="{00000000-0006-0000-0100-000007000000}">
      <text>
        <r>
          <rPr>
            <b/>
            <sz val="9"/>
            <color rgb="FF000000"/>
            <rFont val="Tahoma"/>
            <family val="2"/>
          </rPr>
          <t>Greg Zwolak: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Guesses - data doesn't exist</t>
        </r>
      </text>
    </comment>
    <comment ref="L44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X5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X8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X104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F16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F187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F206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F225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  <comment ref="F244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CN loss due to reactions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 Zwolak</author>
  </authors>
  <commentList>
    <comment ref="F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If gold grain density is known calculated, otherwise treated as a parameter to be optimised</t>
        </r>
      </text>
    </comment>
    <comment ref="J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Mean of gold particle size</t>
        </r>
      </text>
    </comment>
    <comment ref="F6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If gold grain density is known calculated, otherwise treated as a parameter to be optimised</t>
        </r>
      </text>
    </comment>
    <comment ref="J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Standard deviation of gold particle size</t>
        </r>
      </text>
    </comment>
    <comment ref="F55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Calculated from the best fit</t>
        </r>
      </text>
    </comment>
    <comment ref="F89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G8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H89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I89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J89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K89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  <comment ref="L89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Greg Zwolak:</t>
        </r>
        <r>
          <rPr>
            <sz val="9"/>
            <color indexed="81"/>
            <rFont val="Tahoma"/>
            <family val="2"/>
          </rPr>
          <t xml:space="preserve">
Guesses - data doesn't exist</t>
        </r>
      </text>
    </comment>
  </commentList>
</comments>
</file>

<file path=xl/sharedStrings.xml><?xml version="1.0" encoding="utf-8"?>
<sst xmlns="http://schemas.openxmlformats.org/spreadsheetml/2006/main" count="310" uniqueCount="147">
  <si>
    <t>Theoretical CN consumption</t>
  </si>
  <si>
    <t>According to De Andrade Lima and Hodouin</t>
  </si>
  <si>
    <t>ppm</t>
  </si>
  <si>
    <t>micron</t>
  </si>
  <si>
    <t>Kc1</t>
  </si>
  <si>
    <t>Kc2</t>
  </si>
  <si>
    <t>Kc11</t>
  </si>
  <si>
    <t>Kc22</t>
  </si>
  <si>
    <t>Kd</t>
  </si>
  <si>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</si>
  <si>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2</t>
    </r>
  </si>
  <si>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3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</si>
  <si>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</si>
  <si>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scheme val="minor"/>
      </rPr>
      <t>2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</si>
  <si>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</si>
  <si>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2</t>
    </r>
  </si>
  <si>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</si>
  <si>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2</t>
    </r>
  </si>
  <si>
    <t>tph</t>
  </si>
  <si>
    <t>Tank1</t>
  </si>
  <si>
    <t>Tank2</t>
  </si>
  <si>
    <t>Tank3</t>
  </si>
  <si>
    <t>pH</t>
  </si>
  <si>
    <r>
      <t>c</t>
    </r>
    <r>
      <rPr>
        <vertAlign val="subscript"/>
        <sz val="11"/>
        <color theme="1"/>
        <rFont val="Calibri"/>
        <family val="2"/>
        <scheme val="minor"/>
      </rPr>
      <t>Au,0</t>
    </r>
  </si>
  <si>
    <t>Error</t>
  </si>
  <si>
    <r>
      <t>c</t>
    </r>
    <r>
      <rPr>
        <vertAlign val="subscript"/>
        <sz val="11"/>
        <color theme="1"/>
        <rFont val="Calibri"/>
        <family val="2"/>
        <scheme val="minor"/>
      </rPr>
      <t>Cu</t>
    </r>
  </si>
  <si>
    <t>%</t>
  </si>
  <si>
    <r>
      <t>c</t>
    </r>
    <r>
      <rPr>
        <vertAlign val="subscript"/>
        <sz val="11"/>
        <color theme="1"/>
        <rFont val="Calibri"/>
        <family val="2"/>
        <scheme val="minor"/>
      </rPr>
      <t>S</t>
    </r>
  </si>
  <si>
    <t>d</t>
  </si>
  <si>
    <t>tr</t>
  </si>
  <si>
    <t>%solids</t>
  </si>
  <si>
    <t>Total</t>
  </si>
  <si>
    <r>
      <t>d</t>
    </r>
    <r>
      <rPr>
        <vertAlign val="subscript"/>
        <sz val="11"/>
        <color theme="1"/>
        <rFont val="Calibri"/>
        <family val="2"/>
        <scheme val="minor"/>
      </rPr>
      <t xml:space="preserve">P </t>
    </r>
    <r>
      <rPr>
        <sz val="11"/>
        <color theme="1"/>
        <rFont val="Calibri"/>
        <family val="2"/>
        <scheme val="minor"/>
      </rPr>
      <t>(</t>
    </r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m)</t>
    </r>
  </si>
  <si>
    <r>
      <t>x</t>
    </r>
    <r>
      <rPr>
        <vertAlign val="subscript"/>
        <sz val="11"/>
        <color theme="1"/>
        <rFont val="Calibri"/>
        <family val="2"/>
        <scheme val="minor"/>
      </rPr>
      <t>dp</t>
    </r>
  </si>
  <si>
    <t>Tank4</t>
  </si>
  <si>
    <t>Tank5</t>
  </si>
  <si>
    <t>Tank6</t>
  </si>
  <si>
    <t>Tank7</t>
  </si>
  <si>
    <t>Tank8</t>
  </si>
  <si>
    <t>Tank9</t>
  </si>
  <si>
    <t>Calculated parameters</t>
  </si>
  <si>
    <t>Starting parameters</t>
  </si>
  <si>
    <t>tr cum</t>
  </si>
  <si>
    <t>CN- data</t>
  </si>
  <si>
    <t>CN- model</t>
  </si>
  <si>
    <t>Tank</t>
  </si>
  <si>
    <t>Tank10</t>
  </si>
  <si>
    <t>Tank11</t>
  </si>
  <si>
    <t>CN added (kg/tonne)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</si>
  <si>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Au </t>
    </r>
    <r>
      <rPr>
        <sz val="11"/>
        <color theme="1"/>
        <rFont val="Calibri"/>
        <family val="2"/>
        <scheme val="minor"/>
      </rPr>
      <t>(ppm)</t>
    </r>
  </si>
  <si>
    <r>
      <t>c</t>
    </r>
    <r>
      <rPr>
        <vertAlign val="subscript"/>
        <sz val="11"/>
        <color theme="1"/>
        <rFont val="Calibri"/>
        <family val="2"/>
        <scheme val="minor"/>
      </rPr>
      <t>CN-</t>
    </r>
    <r>
      <rPr>
        <sz val="11"/>
        <color theme="1"/>
        <rFont val="Calibri"/>
        <family val="2"/>
        <scheme val="minor"/>
      </rPr>
      <t xml:space="preserve"> (ppm)</t>
    </r>
  </si>
  <si>
    <r>
      <t>c</t>
    </r>
    <r>
      <rPr>
        <vertAlign val="subscript"/>
        <sz val="11"/>
        <color theme="1"/>
        <rFont val="Calibri"/>
        <family val="2"/>
        <scheme val="minor"/>
      </rPr>
      <t>CN- init</t>
    </r>
    <r>
      <rPr>
        <sz val="11"/>
        <color theme="1"/>
        <rFont val="Calibri"/>
        <family val="2"/>
        <scheme val="minor"/>
      </rPr>
      <t xml:space="preserve"> (ppm)</t>
    </r>
  </si>
  <si>
    <t>Objective Funtion</t>
  </si>
  <si>
    <t>NaCN-data</t>
  </si>
  <si>
    <t>NaCN-model</t>
  </si>
  <si>
    <t>New data</t>
  </si>
  <si>
    <t>Optimised parameters</t>
  </si>
  <si>
    <t xml:space="preserve">Trial </t>
  </si>
  <si>
    <t>By-passing (%)</t>
  </si>
  <si>
    <r>
      <t>pH</t>
    </r>
    <r>
      <rPr>
        <sz val="8"/>
        <color theme="1"/>
        <rFont val="Calibri"/>
        <family val="2"/>
        <scheme val="minor"/>
      </rPr>
      <t>coeff</t>
    </r>
  </si>
  <si>
    <t>Starting Parameters</t>
  </si>
  <si>
    <t>k</t>
  </si>
  <si>
    <t>s</t>
  </si>
  <si>
    <r>
      <rPr>
        <sz val="11"/>
        <color theme="1"/>
        <rFont val="Symbol"/>
        <family val="1"/>
        <charset val="2"/>
      </rPr>
      <t>s</t>
    </r>
    <r>
      <rPr>
        <sz val="8"/>
        <color theme="1"/>
        <rFont val="Calibri"/>
        <family val="2"/>
        <scheme val="minor"/>
      </rPr>
      <t>p</t>
    </r>
  </si>
  <si>
    <r>
      <rPr>
        <sz val="11"/>
        <color theme="1"/>
        <rFont val="Symbol"/>
        <family val="1"/>
        <charset val="2"/>
      </rPr>
      <t>m</t>
    </r>
    <r>
      <rPr>
        <sz val="8"/>
        <color theme="1"/>
        <rFont val="Calibri"/>
        <family val="2"/>
        <scheme val="minor"/>
      </rPr>
      <t>g</t>
    </r>
  </si>
  <si>
    <r>
      <rPr>
        <sz val="11"/>
        <color theme="1"/>
        <rFont val="Symbol"/>
        <family val="1"/>
        <charset val="2"/>
      </rPr>
      <t>s</t>
    </r>
    <r>
      <rPr>
        <sz val="8"/>
        <color theme="1"/>
        <rFont val="Calibri"/>
        <family val="2"/>
        <scheme val="minor"/>
      </rPr>
      <t>g</t>
    </r>
  </si>
  <si>
    <t>K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</si>
  <si>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</t>
    </r>
  </si>
  <si>
    <t>Leaching model inputs and parameters</t>
  </si>
  <si>
    <t>Density distribution of the gold grains (if known)</t>
  </si>
  <si>
    <r>
      <t>Gold diamension (</t>
    </r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m)</t>
    </r>
  </si>
  <si>
    <t>Particle size</t>
  </si>
  <si>
    <t>Gold grain size</t>
  </si>
  <si>
    <r>
      <t>P</t>
    </r>
    <r>
      <rPr>
        <vertAlign val="subscript"/>
        <sz val="14"/>
        <color theme="1"/>
        <rFont val="Calibri"/>
        <family val="2"/>
        <scheme val="minor"/>
      </rPr>
      <t>AuL</t>
    </r>
  </si>
  <si>
    <t>x</t>
  </si>
  <si>
    <t>b =</t>
  </si>
  <si>
    <t>a =</t>
  </si>
  <si>
    <t>Density (%/100)</t>
  </si>
  <si>
    <r>
      <t>P</t>
    </r>
    <r>
      <rPr>
        <vertAlign val="subscript"/>
        <sz val="12"/>
        <color theme="1"/>
        <rFont val="Calibri"/>
        <family val="2"/>
        <scheme val="minor"/>
      </rPr>
      <t>AuP</t>
    </r>
  </si>
  <si>
    <r>
      <t>P</t>
    </r>
    <r>
      <rPr>
        <vertAlign val="subscript"/>
        <sz val="11"/>
        <color theme="1"/>
        <rFont val="Calibri"/>
        <family val="2"/>
        <scheme val="minor"/>
      </rPr>
      <t>AuS</t>
    </r>
  </si>
  <si>
    <r>
      <t>P</t>
    </r>
    <r>
      <rPr>
        <vertAlign val="subscript"/>
        <sz val="11"/>
        <color theme="1"/>
        <rFont val="Calibri"/>
        <family val="2"/>
        <scheme val="minor"/>
      </rPr>
      <t>Au</t>
    </r>
    <r>
      <rPr>
        <vertAlign val="subscript"/>
        <sz val="11"/>
        <color theme="1"/>
        <rFont val="Calibri"/>
        <family val="2"/>
      </rPr>
      <t>∞</t>
    </r>
  </si>
  <si>
    <t>Density calc</t>
  </si>
  <si>
    <t>Sum</t>
  </si>
  <si>
    <t>Cum Prob</t>
  </si>
  <si>
    <t>Probability</t>
  </si>
  <si>
    <r>
      <t>D (R*D</t>
    </r>
    <r>
      <rPr>
        <vertAlign val="subscript"/>
        <sz val="11"/>
        <color theme="1"/>
        <rFont val="Calibri"/>
        <family val="2"/>
        <scheme val="minor"/>
      </rPr>
      <t>O2</t>
    </r>
    <r>
      <rPr>
        <sz val="11"/>
        <color theme="1"/>
        <rFont val="Calibri"/>
        <family val="2"/>
        <scheme val="minor"/>
      </rPr>
      <t>)</t>
    </r>
  </si>
  <si>
    <r>
      <t>D</t>
    </r>
    <r>
      <rPr>
        <vertAlign val="subscript"/>
        <sz val="11"/>
        <color theme="1"/>
        <rFont val="Calibri"/>
        <family val="2"/>
        <scheme val="minor"/>
      </rPr>
      <t>CN</t>
    </r>
  </si>
  <si>
    <t xml:space="preserve"> </t>
  </si>
  <si>
    <t>DO</t>
  </si>
  <si>
    <t>CN-</t>
  </si>
  <si>
    <r>
      <t>V</t>
    </r>
    <r>
      <rPr>
        <vertAlign val="subscript"/>
        <sz val="11"/>
        <color theme="1"/>
        <rFont val="Calibri"/>
        <family val="2"/>
        <scheme val="minor"/>
      </rPr>
      <t>Au</t>
    </r>
  </si>
  <si>
    <r>
      <t>V</t>
    </r>
    <r>
      <rPr>
        <vertAlign val="subscript"/>
        <sz val="11"/>
        <color theme="1"/>
        <rFont val="Calibri"/>
        <family val="2"/>
        <scheme val="minor"/>
      </rPr>
      <t>AuE</t>
    </r>
  </si>
  <si>
    <r>
      <t>V</t>
    </r>
    <r>
      <rPr>
        <vertAlign val="subscript"/>
        <sz val="11"/>
        <color theme="1"/>
        <rFont val="Calibri"/>
        <family val="2"/>
        <scheme val="minor"/>
      </rPr>
      <t>AuP</t>
    </r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</si>
  <si>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(t)</t>
    </r>
  </si>
  <si>
    <t>density</t>
  </si>
  <si>
    <t>g/cm3</t>
  </si>
  <si>
    <t>kg/m3</t>
  </si>
  <si>
    <t>g/m3</t>
  </si>
  <si>
    <t>Au- data</t>
  </si>
  <si>
    <t>Au- model</t>
  </si>
  <si>
    <t>Au-Liberated</t>
  </si>
  <si>
    <t>Au-Exposed</t>
  </si>
  <si>
    <t>Au-Por</t>
  </si>
  <si>
    <t>Au-Innaccessible</t>
  </si>
  <si>
    <t>Leaching Model</t>
  </si>
  <si>
    <t>Optimised Parameters</t>
  </si>
  <si>
    <t>Calculated Parameters</t>
  </si>
  <si>
    <t>Au- data (s)</t>
  </si>
  <si>
    <t>Au- model (s)</t>
  </si>
  <si>
    <t>Calculated density distribution of the gold grains (if known)</t>
  </si>
  <si>
    <t>No of stages</t>
  </si>
  <si>
    <t>Higher pH</t>
  </si>
  <si>
    <t>CN model staged</t>
  </si>
  <si>
    <t>NaCN data</t>
  </si>
  <si>
    <t>Obj Funct</t>
  </si>
  <si>
    <r>
      <t>c</t>
    </r>
    <r>
      <rPr>
        <vertAlign val="subscript"/>
        <sz val="11"/>
        <color theme="1"/>
        <rFont val="Calibri"/>
        <family val="2"/>
        <scheme val="minor"/>
      </rPr>
      <t>CN-Cuinit</t>
    </r>
  </si>
  <si>
    <r>
      <t>c</t>
    </r>
    <r>
      <rPr>
        <vertAlign val="subscript"/>
        <sz val="11"/>
        <color theme="1"/>
        <rFont val="Calibri"/>
        <family val="2"/>
        <scheme val="minor"/>
      </rPr>
      <t>CN-Sinit</t>
    </r>
  </si>
  <si>
    <t>CN-Cu</t>
  </si>
  <si>
    <t>CN-S</t>
  </si>
  <si>
    <t>carbon (g/L)</t>
  </si>
  <si>
    <t>CN-Cu model</t>
  </si>
  <si>
    <t>CN-S model</t>
  </si>
  <si>
    <t>NaCN model scenario</t>
  </si>
  <si>
    <t>CNOcoeff</t>
  </si>
  <si>
    <t>RpH</t>
  </si>
  <si>
    <t>RCNO</t>
  </si>
  <si>
    <t>RCN</t>
  </si>
  <si>
    <t>XDpNumber</t>
  </si>
  <si>
    <t>Backflow (%)</t>
  </si>
  <si>
    <t>Feed</t>
  </si>
  <si>
    <t>Backflow2</t>
  </si>
  <si>
    <t>Backflow3</t>
  </si>
  <si>
    <t>Bypass 1</t>
  </si>
  <si>
    <t>Bypass 2</t>
  </si>
  <si>
    <t>Bypass 3</t>
  </si>
  <si>
    <t>C1</t>
  </si>
  <si>
    <t>C2</t>
  </si>
  <si>
    <t>C3</t>
  </si>
  <si>
    <t>Flow 2</t>
  </si>
  <si>
    <t>Flow 3</t>
  </si>
  <si>
    <t>Flow 1</t>
  </si>
  <si>
    <t>C0</t>
  </si>
  <si>
    <t>Backflow 4</t>
  </si>
  <si>
    <t>V (m3)</t>
  </si>
  <si>
    <t>Vtank (m3)</t>
  </si>
  <si>
    <t>[Au]</t>
  </si>
  <si>
    <t>Opt 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</si>
</sst>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0"/>
    <numFmt numFmtId="165" formatCode="0.0"/>
    <numFmt numFmtId="166" formatCode="0.000"/>
    <numFmt numFmtId="167" formatCode="0.000E+00"/>
    <numFmt numFmtId="168" formatCode="0.0000"/>
    <numFmt numFmtId="170" formatCode="0.000000"/>
  </numFmts>
  <fonts count="21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sz val="11"/>
      <color theme="3" tint="0.39997558519241921"/>
      <name val="Symbol"/>
      <family val="1"/>
      <charset val="2"/>
    </font>
    <font>
      <sz val="11"/>
      <color theme="3" tint="0.39997558519241921"/>
      <name val="Calibri"/>
      <family val="2"/>
      <scheme val="minor"/>
    </font>
    <font>
      <sz val="11"/>
      <color theme="3" tint="0.39994506668294322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/>
    <xf numFmtId="164" fontId="0" fillId="0" borderId="0" xfId="0" applyNumberFormat="1"/>
    <xf numFmtId="1" fontId="0" fillId="0" borderId="0" xfId="0" applyNumberFormat="1"/>
    <xf numFmtId="0" fontId="5" fillId="0" borderId="0" xfId="0" applyFont="1"/>
    <xf numFmtId="1" fontId="5" fillId="0" borderId="0" xfId="0" applyNumberFormat="1" applyFont="1"/>
    <xf numFmtId="0" fontId="6" fillId="0" borderId="0" xfId="0" applyFont="1"/>
    <xf numFmtId="0" fontId="8" fillId="0" borderId="0" xfId="0" applyFont="1"/>
    <xf numFmtId="1" fontId="8" fillId="0" borderId="0" xfId="0" applyNumberFormat="1" applyFont="1"/>
    <xf numFmtId="164" fontId="8" fillId="0" borderId="0" xfId="0" applyNumberFormat="1" applyFont="1"/>
    <xf numFmtId="11" fontId="6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/>
    <xf numFmtId="167" fontId="6" fillId="0" borderId="0" xfId="0" applyNumberFormat="1" applyFont="1"/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5" fillId="0" borderId="0" xfId="0" applyFont="1" applyProtection="1">
      <protection locked="0"/>
    </xf>
    <xf numFmtId="0" fontId="7" fillId="0" borderId="0" xfId="0" applyFont="1" applyProtection="1">
      <protection locked="0"/>
    </xf>
    <xf numFmtId="2" fontId="5" fillId="0" borderId="0" xfId="0" applyNumberFormat="1" applyFont="1" applyProtection="1">
      <protection locked="0"/>
    </xf>
    <xf numFmtId="11" fontId="5" fillId="0" borderId="0" xfId="0" applyNumberFormat="1" applyFont="1" applyProtection="1">
      <protection locked="0"/>
    </xf>
    <xf numFmtId="2" fontId="0" fillId="0" borderId="0" xfId="0" applyNumberFormat="1"/>
    <xf numFmtId="11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5" fillId="0" borderId="0" xfId="0" applyFont="1"/>
    <xf numFmtId="0" fontId="16" fillId="0" borderId="0" xfId="0" applyFont="1"/>
    <xf numFmtId="166" fontId="0" fillId="0" borderId="0" xfId="0" applyNumberFormat="1"/>
    <xf numFmtId="166" fontId="0" fillId="0" borderId="0" xfId="0" applyNumberFormat="1" applyProtection="1">
      <protection locked="0"/>
    </xf>
    <xf numFmtId="168" fontId="0" fillId="0" borderId="0" xfId="0" applyNumberFormat="1"/>
    <xf numFmtId="0" fontId="17" fillId="0" borderId="0" xfId="0" applyFont="1"/>
    <xf numFmtId="0" fontId="0" fillId="0" borderId="9" xfId="0" applyBorder="1"/>
    <xf numFmtId="0" fontId="5" fillId="0" borderId="9" xfId="0" applyFont="1" applyBorder="1" applyProtection="1">
      <protection locked="0"/>
    </xf>
    <xf numFmtId="0" fontId="8" fillId="0" borderId="9" xfId="0" applyFont="1" applyBorder="1"/>
    <xf numFmtId="0" fontId="0" fillId="0" borderId="10" xfId="0" applyBorder="1"/>
    <xf numFmtId="0" fontId="0" fillId="0" borderId="13" xfId="0" applyBorder="1"/>
    <xf numFmtId="0" fontId="5" fillId="0" borderId="14" xfId="0" applyFont="1" applyBorder="1" applyProtection="1">
      <protection locked="0"/>
    </xf>
    <xf numFmtId="0" fontId="0" fillId="0" borderId="15" xfId="0" applyBorder="1"/>
    <xf numFmtId="1" fontId="8" fillId="0" borderId="9" xfId="0" applyNumberFormat="1" applyFont="1" applyBorder="1"/>
    <xf numFmtId="0" fontId="0" fillId="0" borderId="11" xfId="0" applyBorder="1"/>
    <xf numFmtId="0" fontId="0" fillId="0" borderId="12" xfId="0" applyBorder="1"/>
    <xf numFmtId="0" fontId="5" fillId="0" borderId="9" xfId="0" applyFont="1" applyBorder="1"/>
    <xf numFmtId="1" fontId="17" fillId="0" borderId="9" xfId="0" applyNumberFormat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5" fillId="0" borderId="10" xfId="0" applyFont="1" applyBorder="1" applyProtection="1">
      <protection locked="0"/>
    </xf>
    <xf numFmtId="0" fontId="5" fillId="0" borderId="11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13" xfId="0" applyFont="1" applyBorder="1" applyProtection="1">
      <protection locked="0"/>
    </xf>
    <xf numFmtId="0" fontId="8" fillId="0" borderId="13" xfId="0" applyFont="1" applyBorder="1"/>
    <xf numFmtId="0" fontId="0" fillId="0" borderId="14" xfId="0" applyBorder="1"/>
    <xf numFmtId="1" fontId="8" fillId="0" borderId="13" xfId="0" applyNumberFormat="1" applyFont="1" applyBorder="1"/>
    <xf numFmtId="0" fontId="0" fillId="0" borderId="16" xfId="0" applyBorder="1"/>
    <xf numFmtId="0" fontId="16" fillId="0" borderId="13" xfId="0" applyFont="1" applyBorder="1"/>
    <xf numFmtId="0" fontId="16" fillId="0" borderId="9" xfId="0" applyFont="1" applyBorder="1"/>
    <xf numFmtId="0" fontId="16" fillId="0" borderId="14" xfId="0" applyFont="1" applyBorder="1"/>
    <xf numFmtId="0" fontId="5" fillId="0" borderId="22" xfId="0" applyFont="1" applyBorder="1" applyProtection="1">
      <protection locked="0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7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Cyanide profile - model vs. actual plant data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'Au&amp;CN_Parameter_Optimisation'!$P$1</c:f>
              <c:strCache>
                <c:ptCount val="1"/>
                <c:pt idx="0">
                  <c:v>CN- data</c:v>
                </c:pt>
              </c:strCache>
            </c:strRef>
          </c:tx>
          <c:spPr>
            <a:ln>
              <a:noFill/>
            </a:ln>
          </c:spPr>
          <c:xVal>
            <c:numRef>
              <c:f>'Au&amp;CN_Parameter_Optimisation'!$O$2:$O$12</c:f>
              <c:numCache>
                <c:formatCode>General</c:formatCode>
                <c:ptCount val="11"/>
                <c:pt idx="0">
                  <c:v>2.3328723907470703</c:v>
                </c:pt>
                <c:pt idx="1">
                  <c:v>4.6657447814941406</c:v>
                </c:pt>
                <c:pt idx="2">
                  <c:v>6.9986171722412109</c:v>
                </c:pt>
                <c:pt idx="3">
                  <c:v>9.3314895629882812</c:v>
                </c:pt>
                <c:pt idx="4">
                  <c:v>11.664361953735352</c:v>
                </c:pt>
                <c:pt idx="5">
                  <c:v>13.997234344482422</c:v>
                </c:pt>
                <c:pt idx="6">
                  <c:v>16.330106735229492</c:v>
                </c:pt>
              </c:numCache>
            </c:numRef>
          </c:xVal>
          <c:yVal>
            <c:numRef>
              <c:f>'Au&amp;CN_Parameter_Optimisation'!$R$2:$R$12</c:f>
              <c:numCache>
                <c:formatCode>0</c:formatCode>
                <c:ptCount val="11"/>
                <c:pt idx="0">
                  <c:v>1416.7735849056603</c:v>
                </c:pt>
                <c:pt idx="1">
                  <c:v>965.37735849056594</c:v>
                </c:pt>
                <c:pt idx="2">
                  <c:v>726.41509433962256</c:v>
                </c:pt>
                <c:pt idx="3">
                  <c:v>531.41509433962256</c:v>
                </c:pt>
                <c:pt idx="4">
                  <c:v>475.47169811320754</c:v>
                </c:pt>
                <c:pt idx="5">
                  <c:v>401.88679245283015</c:v>
                </c:pt>
                <c:pt idx="6">
                  <c:v>365.49056603773585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47-4093-BF28-990AAADD702D}"/>
            </c:ext>
          </c:extLst>
        </c:ser>
        <c:ser>
          <c:idx val="1"/>
          <c:order val="1"/>
          <c:tx>
            <c:strRef>
              <c:f>'Au&amp;CN_Parameter_Optimisation'!$Q$1</c:f>
              <c:strCache>
                <c:ptCount val="1"/>
                <c:pt idx="0">
                  <c:v>CN- model</c:v>
                </c:pt>
              </c:strCache>
            </c:strRef>
          </c:tx>
          <c:marker>
            <c:symbol val="none"/>
          </c:marker>
          <c:xVal>
            <c:numRef>
              <c:f>'Au&amp;CN_Parameter_Optimisation'!$O$2:$O$12</c:f>
              <c:numCache>
                <c:formatCode>General</c:formatCode>
                <c:ptCount val="11"/>
                <c:pt idx="0">
                  <c:v>2.3328723907470703</c:v>
                </c:pt>
                <c:pt idx="1">
                  <c:v>4.6657447814941406</c:v>
                </c:pt>
                <c:pt idx="2">
                  <c:v>6.9986171722412109</c:v>
                </c:pt>
                <c:pt idx="3">
                  <c:v>9.3314895629882812</c:v>
                </c:pt>
                <c:pt idx="4">
                  <c:v>11.664361953735352</c:v>
                </c:pt>
                <c:pt idx="5">
                  <c:v>13.997234344482422</c:v>
                </c:pt>
                <c:pt idx="6">
                  <c:v>16.330106735229492</c:v>
                </c:pt>
              </c:numCache>
            </c:numRef>
          </c:xVal>
          <c:yVal>
            <c:numRef>
              <c:f>'Au&amp;CN_Parameter_Optimisation'!$S$2:$S$12</c:f>
              <c:numCache>
                <c:formatCode>0</c:formatCode>
                <c:ptCount val="11"/>
                <c:pt idx="0">
                  <c:v>1337.3185180581995</c:v>
                </c:pt>
                <c:pt idx="1">
                  <c:v>1008.9780087989309</c:v>
                </c:pt>
                <c:pt idx="2">
                  <c:v>756.81048551222295</c:v>
                </c:pt>
                <c:pt idx="3">
                  <c:v>604.80400936480191</c:v>
                </c:pt>
                <c:pt idx="4">
                  <c:v>475.91770573338067</c:v>
                </c:pt>
                <c:pt idx="5">
                  <c:v>376.06619734357986</c:v>
                </c:pt>
                <c:pt idx="6">
                  <c:v>297.71524735381479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47-4093-BF28-990AAADD7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80616"/>
        <c:axId val="206681008"/>
      </c:scatterChart>
      <c:valAx>
        <c:axId val="206680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Residence time (hrs)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6681008"/>
        <c:crosses val="autoZero"/>
        <c:crossBetween val="midCat"/>
      </c:valAx>
      <c:valAx>
        <c:axId val="20668100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AU"/>
                  <a:t>NaCN- (ppm)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06680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Overall [Au]</a:t>
            </a:r>
            <a:r>
              <a:rPr lang="en-AU" baseline="-25000"/>
              <a:t>S</a:t>
            </a:r>
            <a:r>
              <a:rPr lang="en-AU"/>
              <a:t> vs time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Data</c:v>
          </c:tx>
          <c:spPr>
            <a:ln>
              <a:noFill/>
            </a:ln>
          </c:spPr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'Au&amp;CN_Parameter_Optimisation'!$M$50:$M$61</c:f>
              <c:numCache>
                <c:formatCode>0.000</c:formatCode>
                <c:ptCount val="12"/>
                <c:pt idx="0" formatCode="0.00">
                  <c:v>11.69</c:v>
                </c:pt>
                <c:pt idx="1">
                  <c:v>3.847</c:v>
                </c:pt>
                <c:pt idx="2">
                  <c:v>2.0070000000000001</c:v>
                </c:pt>
                <c:pt idx="3">
                  <c:v>1.325</c:v>
                </c:pt>
                <c:pt idx="4">
                  <c:v>1.04</c:v>
                </c:pt>
                <c:pt idx="5">
                  <c:v>0.98299999999999998</c:v>
                </c:pt>
                <c:pt idx="6">
                  <c:v>0.95899999999999996</c:v>
                </c:pt>
                <c:pt idx="7">
                  <c:v>0.86899999999999999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3F-41C9-AA1E-C84484F6048E}"/>
            </c:ext>
          </c:extLst>
        </c:ser>
        <c:ser>
          <c:idx val="1"/>
          <c:order val="1"/>
          <c:tx>
            <c:v>Model</c:v>
          </c:tx>
          <c:spPr>
            <a:ln w="19050"/>
          </c:spPr>
          <c:marker>
            <c:symbol val="none"/>
          </c:marker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'Au&amp;CN_Parameter_Optimisation'!$N$50:$N$61</c:f>
              <c:numCache>
                <c:formatCode>0.000</c:formatCode>
                <c:ptCount val="12"/>
                <c:pt idx="0">
                  <c:v>11.687933015005537</c:v>
                </c:pt>
                <c:pt idx="1">
                  <c:v>3.8192501371385781</c:v>
                </c:pt>
                <c:pt idx="2">
                  <c:v>2.020159819244892</c:v>
                </c:pt>
                <c:pt idx="3">
                  <c:v>1.3824151686836743</c:v>
                </c:pt>
                <c:pt idx="4">
                  <c:v>1.1033346096316914</c:v>
                </c:pt>
                <c:pt idx="5">
                  <c:v>0.95071607857510199</c:v>
                </c:pt>
                <c:pt idx="6">
                  <c:v>0.87558431514852364</c:v>
                </c:pt>
                <c:pt idx="7">
                  <c:v>0.83163399114254977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F-41C9-AA1E-C84484F6048E}"/>
            </c:ext>
          </c:extLst>
        </c:ser>
        <c:ser>
          <c:idx val="2"/>
          <c:order val="2"/>
          <c:tx>
            <c:v>Model_Au_Liq</c:v>
          </c:tx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'Au&amp;CN_Parameter_Optimisation'!$T$50:$T$61</c:f>
              <c:numCache>
                <c:formatCode>0.000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3F-41C9-AA1E-C84484F60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68704"/>
        <c:axId val="171069096"/>
      </c:scatterChart>
      <c:valAx>
        <c:axId val="17106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AU" sz="1200"/>
                  <a:t>Residence time (hrs)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069096"/>
        <c:crosses val="autoZero"/>
        <c:crossBetween val="midCat"/>
      </c:valAx>
      <c:valAx>
        <c:axId val="171069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AU" sz="1200" b="1"/>
                  <a:t>[Au]S</a:t>
                </a:r>
                <a:r>
                  <a:rPr lang="en-AU" sz="1200" b="1" baseline="0"/>
                  <a:t> 9ppm)</a:t>
                </a:r>
                <a:endParaRPr lang="en-AU" sz="1200" b="1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71068704"/>
        <c:crosses val="autoZero"/>
        <c:crossBetween val="midCat"/>
      </c:valAx>
    </c:plotArea>
    <c:legend>
      <c:legendPos val="t"/>
      <c:legendEntry>
        <c:idx val="2"/>
        <c:delete val="1"/>
      </c:legendEntry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Calculated vs initial</a:t>
            </a:r>
            <a:r>
              <a:rPr lang="en-AU" baseline="0"/>
              <a:t> </a:t>
            </a:r>
            <a:r>
              <a:rPr lang="en-AU"/>
              <a:t>gold particle size distribution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Estimated</c:v>
          </c:tx>
          <c:xVal>
            <c:numRef>
              <c:f>'Au&amp;CN_Parameter_Optimisation'!$A$106:$A$179</c:f>
              <c:numCache>
                <c:formatCode>General</c:formatCode>
                <c:ptCount val="7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94</c:v>
                </c:pt>
                <c:pt idx="68">
                  <c:v>95</c:v>
                </c:pt>
                <c:pt idx="69">
                  <c:v>96</c:v>
                </c:pt>
                <c:pt idx="70">
                  <c:v>97</c:v>
                </c:pt>
                <c:pt idx="71">
                  <c:v>98</c:v>
                </c:pt>
                <c:pt idx="72">
                  <c:v>99</c:v>
                </c:pt>
                <c:pt idx="73">
                  <c:v>100</c:v>
                </c:pt>
              </c:numCache>
            </c:numRef>
          </c:xVal>
          <c:yVal>
            <c:numRef>
              <c:f>'Au&amp;CN_Parameter_Optimisation'!$B$106:$B$179</c:f>
              <c:numCache>
                <c:formatCode>General</c:formatCode>
                <c:ptCount val="74"/>
                <c:pt idx="0">
                  <c:v>0.11783595154516498</c:v>
                </c:pt>
                <c:pt idx="1">
                  <c:v>0.2590952971673619</c:v>
                </c:pt>
                <c:pt idx="2">
                  <c:v>9.7013814040177601E-2</c:v>
                </c:pt>
                <c:pt idx="3">
                  <c:v>2.1486146166553338E-2</c:v>
                </c:pt>
                <c:pt idx="4">
                  <c:v>3.6821337881292071E-3</c:v>
                </c:pt>
                <c:pt idx="5">
                  <c:v>5.4175145933149508E-4</c:v>
                </c:pt>
                <c:pt idx="6">
                  <c:v>7.2032929486694119E-5</c:v>
                </c:pt>
                <c:pt idx="7">
                  <c:v>8.9111125735402451E-6</c:v>
                </c:pt>
                <c:pt idx="8">
                  <c:v>1.0444094627221883E-6</c:v>
                </c:pt>
                <c:pt idx="9">
                  <c:v>1.1737613792654594E-7</c:v>
                </c:pt>
                <c:pt idx="10">
                  <c:v>1.275602007580883E-8</c:v>
                </c:pt>
                <c:pt idx="11">
                  <c:v>1.3487540526103785E-9</c:v>
                </c:pt>
                <c:pt idx="12">
                  <c:v>1.3938710978769442E-10</c:v>
                </c:pt>
                <c:pt idx="13">
                  <c:v>1.4129101649432563E-11</c:v>
                </c:pt>
                <c:pt idx="14">
                  <c:v>1.4086721583719284E-12</c:v>
                </c:pt>
                <c:pt idx="15">
                  <c:v>1.3844250401213447E-13</c:v>
                </c:pt>
                <c:pt idx="16">
                  <c:v>1.3436105097713529E-14</c:v>
                </c:pt>
                <c:pt idx="17">
                  <c:v>1.2896272286056275E-15</c:v>
                </c:pt>
                <c:pt idx="18">
                  <c:v>1.2256799542152948E-16</c:v>
                </c:pt>
                <c:pt idx="19">
                  <c:v>1.1546828003246199E-17</c:v>
                </c:pt>
                <c:pt idx="20">
                  <c:v>1.079205163108225E-18</c:v>
                </c:pt>
                <c:pt idx="21">
                  <c:v>1.0014499750578651E-19</c:v>
                </c:pt>
                <c:pt idx="22">
                  <c:v>9.2325542165457369E-21</c:v>
                </c:pt>
                <c:pt idx="23">
                  <c:v>8.4611281441790672E-22</c:v>
                </c:pt>
                <c:pt idx="24">
                  <c:v>7.7119479930341065E-23</c:v>
                </c:pt>
                <c:pt idx="25">
                  <c:v>6.9938940935909971E-24</c:v>
                </c:pt>
                <c:pt idx="26">
                  <c:v>1.1522740094783511E-24</c:v>
                </c:pt>
                <c:pt idx="27">
                  <c:v>3.4581973036953053E-25</c:v>
                </c:pt>
                <c:pt idx="28">
                  <c:v>1.036780253083322E-25</c:v>
                </c:pt>
                <c:pt idx="29">
                  <c:v>3.1051546492449106E-26</c:v>
                </c:pt>
                <c:pt idx="30">
                  <c:v>9.2908415228470383E-27</c:v>
                </c:pt>
                <c:pt idx="31">
                  <c:v>2.7772634101682488E-27</c:v>
                </c:pt>
                <c:pt idx="32">
                  <c:v>8.2943704329643243E-28</c:v>
                </c:pt>
                <c:pt idx="33">
                  <c:v>2.4749562732969436E-28</c:v>
                </c:pt>
                <c:pt idx="34">
                  <c:v>7.3787385792680629E-29</c:v>
                </c:pt>
                <c:pt idx="35">
                  <c:v>2.198058892478511E-29</c:v>
                </c:pt>
                <c:pt idx="36">
                  <c:v>6.5426043892506163E-30</c:v>
                </c:pt>
                <c:pt idx="37">
                  <c:v>1.9459295527352818E-30</c:v>
                </c:pt>
                <c:pt idx="38">
                  <c:v>5.7833456484801045E-31</c:v>
                </c:pt>
                <c:pt idx="39">
                  <c:v>1.7175791116011437E-31</c:v>
                </c:pt>
                <c:pt idx="40">
                  <c:v>5.0974085647961979E-32</c:v>
                </c:pt>
                <c:pt idx="41">
                  <c:v>1.511772131130013E-32</c:v>
                </c:pt>
                <c:pt idx="42">
                  <c:v>4.4805994633555895E-33</c:v>
                </c:pt>
                <c:pt idx="43">
                  <c:v>1.3271106336919898E-33</c:v>
                </c:pt>
                <c:pt idx="44">
                  <c:v>3.9283241798083672E-34</c:v>
                </c:pt>
                <c:pt idx="45">
                  <c:v>1.1621022041643511E-34</c:v>
                </c:pt>
                <c:pt idx="46">
                  <c:v>3.4357808469767965E-35</c:v>
                </c:pt>
                <c:pt idx="47">
                  <c:v>1.0152142827567049E-35</c:v>
                </c:pt>
                <c:pt idx="48">
                  <c:v>2.998111950616546E-36</c:v>
                </c:pt>
                <c:pt idx="49">
                  <c:v>8.8491649596914499E-37</c:v>
                </c:pt>
                <c:pt idx="50">
                  <c:v>2.6105214006297739E-37</c:v>
                </c:pt>
                <c:pt idx="51">
                  <c:v>7.6971279661231773E-38</c:v>
                </c:pt>
                <c:pt idx="52">
                  <c:v>2.2683620322004728E-38</c:v>
                </c:pt>
                <c:pt idx="53">
                  <c:v>6.6816505682025458E-39</c:v>
                </c:pt>
                <c:pt idx="54">
                  <c:v>1.9671984972738203E-39</c:v>
                </c:pt>
                <c:pt idx="55">
                  <c:v>5.7890960248730324E-40</c:v>
                </c:pt>
                <c:pt idx="56">
                  <c:v>1.7028499899259582E-40</c:v>
                </c:pt>
                <c:pt idx="57">
                  <c:v>5.0066800949951987E-41</c:v>
                </c:pt>
                <c:pt idx="58">
                  <c:v>1.4714167119527062E-41</c:v>
                </c:pt>
                <c:pt idx="59">
                  <c:v>4.3225331272938063E-42</c:v>
                </c:pt>
                <c:pt idx="60">
                  <c:v>1.2692934567801004E-42</c:v>
                </c:pt>
                <c:pt idx="61">
                  <c:v>3.7257261559671365E-43</c:v>
                </c:pt>
                <c:pt idx="62">
                  <c:v>1.0931731898399789E-43</c:v>
                </c:pt>
                <c:pt idx="63">
                  <c:v>3.2062693587791746E-44</c:v>
                </c:pt>
                <c:pt idx="64">
                  <c:v>9.4004304356760639E-45</c:v>
                </c:pt>
                <c:pt idx="65">
                  <c:v>2.7550898512435088E-45</c:v>
                </c:pt>
                <c:pt idx="66">
                  <c:v>8.0717473132268212E-46</c:v>
                </c:pt>
                <c:pt idx="67">
                  <c:v>2.3639945579393334E-46</c:v>
                </c:pt>
                <c:pt idx="68">
                  <c:v>6.921110189992375E-47</c:v>
                </c:pt>
                <c:pt idx="69">
                  <c:v>2.0256228222297806E-47</c:v>
                </c:pt>
                <c:pt idx="70">
                  <c:v>5.9264957531687029E-48</c:v>
                </c:pt>
                <c:pt idx="71">
                  <c:v>1.7333924837509778E-48</c:v>
                </c:pt>
                <c:pt idx="72">
                  <c:v>5.0682524941593958E-49</c:v>
                </c:pt>
                <c:pt idx="73">
                  <c:v>1.4814423595525755E-49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60-491C-B3E4-345B15433019}"/>
            </c:ext>
          </c:extLst>
        </c:ser>
        <c:ser>
          <c:idx val="1"/>
          <c:order val="1"/>
          <c:tx>
            <c:v>Starting estimate</c:v>
          </c:tx>
          <c:spPr>
            <a:ln w="19050"/>
          </c:spPr>
          <c:dPt>
            <c:idx val="1"/>
            <c:marker>
              <c:spPr>
                <a:ln w="3175"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260-491C-B3E4-345B15433019}"/>
              </c:ext>
            </c:extLst>
          </c:dPt>
          <c:xVal>
            <c:numRef>
              <c:f>'Au&amp;CN_Parameter_Optimisation'!$A$52:$A$101</c:f>
              <c:numCache>
                <c:formatCode>General</c:formatCode>
                <c:ptCount val="5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  <c:pt idx="26">
                  <c:v>54</c:v>
                </c:pt>
                <c:pt idx="27">
                  <c:v>56</c:v>
                </c:pt>
                <c:pt idx="28">
                  <c:v>58</c:v>
                </c:pt>
                <c:pt idx="29">
                  <c:v>60</c:v>
                </c:pt>
                <c:pt idx="30">
                  <c:v>62</c:v>
                </c:pt>
                <c:pt idx="31">
                  <c:v>64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80</c:v>
                </c:pt>
                <c:pt idx="40">
                  <c:v>82</c:v>
                </c:pt>
                <c:pt idx="41">
                  <c:v>84</c:v>
                </c:pt>
                <c:pt idx="42">
                  <c:v>86</c:v>
                </c:pt>
                <c:pt idx="43">
                  <c:v>88</c:v>
                </c:pt>
                <c:pt idx="44">
                  <c:v>90</c:v>
                </c:pt>
                <c:pt idx="45">
                  <c:v>92</c:v>
                </c:pt>
                <c:pt idx="46">
                  <c:v>94</c:v>
                </c:pt>
                <c:pt idx="47">
                  <c:v>96</c:v>
                </c:pt>
                <c:pt idx="48">
                  <c:v>98</c:v>
                </c:pt>
                <c:pt idx="49">
                  <c:v>100</c:v>
                </c:pt>
              </c:numCache>
            </c:numRef>
          </c:xVal>
          <c:yVal>
            <c:numRef>
              <c:f>'Au&amp;CN_Parameter_Optimisation'!$C$52:$C$101</c:f>
              <c:numCache>
                <c:formatCode>General</c:formatCode>
                <c:ptCount val="50"/>
                <c:pt idx="0">
                  <c:v>2.0264525111654098E-2</c:v>
                </c:pt>
                <c:pt idx="1">
                  <c:v>0.24742292326177415</c:v>
                </c:pt>
                <c:pt idx="2">
                  <c:v>0.16796693660947989</c:v>
                </c:pt>
                <c:pt idx="3">
                  <c:v>4.8391004776784451E-2</c:v>
                </c:pt>
                <c:pt idx="4">
                  <c:v>9.1726382514810047E-3</c:v>
                </c:pt>
                <c:pt idx="5">
                  <c:v>1.355501320013122E-3</c:v>
                </c:pt>
                <c:pt idx="6">
                  <c:v>1.6979873065593444E-4</c:v>
                </c:pt>
                <c:pt idx="7">
                  <c:v>1.890727599049674E-5</c:v>
                </c:pt>
                <c:pt idx="8">
                  <c:v>1.9276431813544717E-6</c:v>
                </c:pt>
                <c:pt idx="9">
                  <c:v>1.8351343566464873E-7</c:v>
                </c:pt>
                <c:pt idx="10">
                  <c:v>1.6539433543282445E-8</c:v>
                </c:pt>
                <c:pt idx="11">
                  <c:v>1.4253451263771736E-9</c:v>
                </c:pt>
                <c:pt idx="12">
                  <c:v>1.1833534755264858E-10</c:v>
                </c:pt>
                <c:pt idx="13">
                  <c:v>9.5192139376691314E-12</c:v>
                </c:pt>
                <c:pt idx="14">
                  <c:v>7.4531660190240449E-13</c:v>
                </c:pt>
                <c:pt idx="15">
                  <c:v>5.7003528504146078E-14</c:v>
                </c:pt>
                <c:pt idx="16">
                  <c:v>4.2712756076527154E-15</c:v>
                </c:pt>
                <c:pt idx="17">
                  <c:v>3.1430912376996729E-16</c:v>
                </c:pt>
                <c:pt idx="18">
                  <c:v>2.2760068886000476E-17</c:v>
                </c:pt>
                <c:pt idx="19">
                  <c:v>1.6245867976136863E-18</c:v>
                </c:pt>
                <c:pt idx="20">
                  <c:v>1.1446960015870451E-19</c:v>
                </c:pt>
                <c:pt idx="21">
                  <c:v>7.9717022417014189E-21</c:v>
                </c:pt>
                <c:pt idx="22">
                  <c:v>5.4927302788780877E-22</c:v>
                </c:pt>
                <c:pt idx="23">
                  <c:v>3.7480384724149362E-23</c:v>
                </c:pt>
                <c:pt idx="24">
                  <c:v>2.5348386167124481E-24</c:v>
                </c:pt>
                <c:pt idx="25">
                  <c:v>1.700343970677252E-25</c:v>
                </c:pt>
                <c:pt idx="26">
                  <c:v>1.1319764449238873E-26</c:v>
                </c:pt>
                <c:pt idx="27">
                  <c:v>7.4833423028936751E-28</c:v>
                </c:pt>
                <c:pt idx="28">
                  <c:v>4.9150601253338784E-29</c:v>
                </c:pt>
                <c:pt idx="29">
                  <c:v>3.2087209393543148E-30</c:v>
                </c:pt>
                <c:pt idx="30">
                  <c:v>2.0829571835164812E-31</c:v>
                </c:pt>
                <c:pt idx="31">
                  <c:v>1.3450314206887159E-32</c:v>
                </c:pt>
                <c:pt idx="32">
                  <c:v>8.6423482933991775E-34</c:v>
                </c:pt>
                <c:pt idx="33">
                  <c:v>5.5272466905964641E-35</c:v>
                </c:pt>
                <c:pt idx="34">
                  <c:v>3.5195137244726487E-36</c:v>
                </c:pt>
                <c:pt idx="35">
                  <c:v>2.2318345175806993E-37</c:v>
                </c:pt>
                <c:pt idx="36">
                  <c:v>1.4097644115295181E-38</c:v>
                </c:pt>
                <c:pt idx="37">
                  <c:v>8.8721310507857257E-40</c:v>
                </c:pt>
                <c:pt idx="38">
                  <c:v>5.5640445299895046E-41</c:v>
                </c:pt>
                <c:pt idx="39">
                  <c:v>3.4778623385519364E-42</c:v>
                </c:pt>
                <c:pt idx="40">
                  <c:v>2.1670322494426873E-43</c:v>
                </c:pt>
                <c:pt idx="41">
                  <c:v>1.3462209306546143E-44</c:v>
                </c:pt>
                <c:pt idx="42">
                  <c:v>8.3392556914252251E-46</c:v>
                </c:pt>
                <c:pt idx="43">
                  <c:v>5.1517634292464677E-47</c:v>
                </c:pt>
                <c:pt idx="44">
                  <c:v>3.1743583586738319E-48</c:v>
                </c:pt>
                <c:pt idx="45">
                  <c:v>1.9510912451634638E-49</c:v>
                </c:pt>
                <c:pt idx="46">
                  <c:v>1.1963759811261077E-50</c:v>
                </c:pt>
                <c:pt idx="47">
                  <c:v>7.3193104574430774E-52</c:v>
                </c:pt>
                <c:pt idx="48">
                  <c:v>4.4681339620178233E-53</c:v>
                </c:pt>
                <c:pt idx="49">
                  <c:v>2.7219138238516704E-54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60-491C-B3E4-345B15433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69880"/>
        <c:axId val="171070272"/>
      </c:scatterChart>
      <c:valAx>
        <c:axId val="171069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AU" sz="1200"/>
                  <a:t>Gold particle max. diameter</a:t>
                </a:r>
                <a:r>
                  <a:rPr lang="en-AU" sz="1200" baseline="0"/>
                  <a:t> (m</a:t>
                </a:r>
                <a:r>
                  <a:rPr lang="en-AU" sz="1200"/>
                  <a:t>icron)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070272"/>
        <c:crosses val="autoZero"/>
        <c:crossBetween val="midCat"/>
      </c:valAx>
      <c:valAx>
        <c:axId val="171070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en-AU" sz="1200"/>
                  <a:t>Density (%)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1069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Individual [Au]</a:t>
            </a:r>
            <a:r>
              <a:rPr lang="en-AU" baseline="-25000"/>
              <a:t>S</a:t>
            </a:r>
            <a:r>
              <a:rPr lang="en-AU"/>
              <a:t> vs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'Au&amp;CN_Parameter_Optimisation'!$P$49</c:f>
              <c:strCache>
                <c:ptCount val="1"/>
                <c:pt idx="0">
                  <c:v>Au-Liberated</c:v>
                </c:pt>
              </c:strCache>
            </c:strRef>
          </c:tx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'Au&amp;CN_Parameter_Optimisation'!$P$50:$P$61</c:f>
              <c:numCache>
                <c:formatCode>0.00000000</c:formatCode>
                <c:ptCount val="12"/>
                <c:pt idx="0">
                  <c:v>1.5586460376216817</c:v>
                </c:pt>
                <c:pt idx="1">
                  <c:v>7.8621606746387424E-3</c:v>
                </c:pt>
                <c:pt idx="2">
                  <c:v>8.2310841833022573E-4</c:v>
                </c:pt>
                <c:pt idx="3">
                  <c:v>1.1474041718991205E-4</c:v>
                </c:pt>
                <c:pt idx="4">
                  <c:v>2.2315820790809186E-5</c:v>
                </c:pt>
                <c:pt idx="5">
                  <c:v>4.6541185855832906E-6</c:v>
                </c:pt>
                <c:pt idx="6">
                  <c:v>1.5271394840256219E-6</c:v>
                </c:pt>
                <c:pt idx="7">
                  <c:v>6.4658290303703832E-7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B-4441-8E41-E279903F9A90}"/>
            </c:ext>
          </c:extLst>
        </c:ser>
        <c:ser>
          <c:idx val="1"/>
          <c:order val="1"/>
          <c:tx>
            <c:strRef>
              <c:f>'Au&amp;CN_Parameter_Optimisation'!$Q$49</c:f>
              <c:strCache>
                <c:ptCount val="1"/>
                <c:pt idx="0">
                  <c:v>Au-Exposed</c:v>
                </c:pt>
              </c:strCache>
            </c:strRef>
          </c:tx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'Au&amp;CN_Parameter_Optimisation'!$Q$50:$Q$61</c:f>
              <c:numCache>
                <c:formatCode>General</c:formatCode>
                <c:ptCount val="12"/>
                <c:pt idx="0">
                  <c:v>4.3788640852869429</c:v>
                </c:pt>
                <c:pt idx="1">
                  <c:v>1.479376037146678</c:v>
                </c:pt>
                <c:pt idx="2">
                  <c:v>0.60640169538315891</c:v>
                </c:pt>
                <c:pt idx="3">
                  <c:v>0.30209283876023824</c:v>
                </c:pt>
                <c:pt idx="4">
                  <c:v>0.17561783513510698</c:v>
                </c:pt>
                <c:pt idx="5">
                  <c:v>0.10951047097891146</c:v>
                </c:pt>
                <c:pt idx="6">
                  <c:v>7.8038387984513249E-2</c:v>
                </c:pt>
                <c:pt idx="7">
                  <c:v>6.0034467772491169E-2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B-4441-8E41-E279903F9A90}"/>
            </c:ext>
          </c:extLst>
        </c:ser>
        <c:ser>
          <c:idx val="2"/>
          <c:order val="2"/>
          <c:tx>
            <c:strRef>
              <c:f>'Au&amp;CN_Parameter_Optimisation'!$R$49</c:f>
              <c:strCache>
                <c:ptCount val="1"/>
                <c:pt idx="0">
                  <c:v>Au-Por</c:v>
                </c:pt>
              </c:strCache>
            </c:strRef>
          </c:tx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'Au&amp;CN_Parameter_Optimisation'!$R$50:$R$61</c:f>
              <c:numCache>
                <c:formatCode>General</c:formatCode>
                <c:ptCount val="12"/>
                <c:pt idx="0">
                  <c:v>5.077059131616811</c:v>
                </c:pt>
                <c:pt idx="1">
                  <c:v>1.6586481788371592</c:v>
                </c:pt>
                <c:pt idx="2">
                  <c:v>0.73957125496330045</c:v>
                </c:pt>
                <c:pt idx="3">
                  <c:v>0.40684382902614402</c:v>
                </c:pt>
                <c:pt idx="4">
                  <c:v>0.25433069819569132</c:v>
                </c:pt>
                <c:pt idx="5">
                  <c:v>0.16783719299750269</c:v>
                </c:pt>
                <c:pt idx="6">
                  <c:v>0.12418063954442422</c:v>
                </c:pt>
                <c:pt idx="7">
                  <c:v>9.8235116307053366E-2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B-4441-8E41-E279903F9A90}"/>
            </c:ext>
          </c:extLst>
        </c:ser>
        <c:ser>
          <c:idx val="3"/>
          <c:order val="3"/>
          <c:tx>
            <c:strRef>
              <c:f>'Au&amp;CN_Parameter_Optimisation'!$S$49</c:f>
              <c:strCache>
                <c:ptCount val="1"/>
                <c:pt idx="0">
                  <c:v>Au-Innaccessible</c:v>
                </c:pt>
              </c:strCache>
            </c:strRef>
          </c:tx>
          <c:xVal>
            <c:numRef>
              <c:f>'Au&amp;CN_Parameter_Optimisation'!$L$50:$L$61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'Au&amp;CN_Parameter_Optimisation'!$S$50:$S$61</c:f>
              <c:numCache>
                <c:formatCode>General</c:formatCode>
                <c:ptCount val="12"/>
                <c:pt idx="0">
                  <c:v>0.67336376048010216</c:v>
                </c:pt>
                <c:pt idx="1">
                  <c:v>0.67336376048010216</c:v>
                </c:pt>
                <c:pt idx="2">
                  <c:v>0.67336376048010216</c:v>
                </c:pt>
                <c:pt idx="3">
                  <c:v>0.67336376048010216</c:v>
                </c:pt>
                <c:pt idx="4">
                  <c:v>0.67336376048010216</c:v>
                </c:pt>
                <c:pt idx="5">
                  <c:v>0.67336376048010216</c:v>
                </c:pt>
                <c:pt idx="6">
                  <c:v>0.67336376048010216</c:v>
                </c:pt>
                <c:pt idx="7">
                  <c:v>0.67336376048010216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B-4441-8E41-E279903F9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977192"/>
        <c:axId val="170822112"/>
      </c:scatterChart>
      <c:valAx>
        <c:axId val="170977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AU" sz="1200"/>
                  <a:t>Residence time</a:t>
                </a:r>
                <a:r>
                  <a:rPr lang="en-AU" sz="1200" baseline="0"/>
                  <a:t> (hrs)</a:t>
                </a:r>
                <a:endParaRPr lang="en-AU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70822112"/>
        <c:crosses val="autoZero"/>
        <c:crossBetween val="midCat"/>
      </c:valAx>
      <c:valAx>
        <c:axId val="17082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sz="1400"/>
                  <a:t>[Au]S (ppm)</a:t>
                </a:r>
              </a:p>
            </c:rich>
          </c:tx>
          <c:overlay val="0"/>
        </c:title>
        <c:numFmt formatCode="0.00000000" sourceLinked="1"/>
        <c:majorTickMark val="none"/>
        <c:minorTickMark val="none"/>
        <c:tickLblPos val="nextTo"/>
        <c:crossAx val="170977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Cyanide profile - model vs. actual plant data and prediction for staged</a:t>
            </a:r>
            <a:r>
              <a:rPr lang="en-AU" baseline="0"/>
              <a:t> addition</a:t>
            </a:r>
            <a:endParaRPr lang="en-AU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'Au&amp;CN_Profile_Calculation'!$R$1</c:f>
              <c:strCache>
                <c:ptCount val="1"/>
                <c:pt idx="0">
                  <c:v>NaCN data</c:v>
                </c:pt>
              </c:strCache>
            </c:strRef>
          </c:tx>
          <c:spPr>
            <a:ln>
              <a:noFill/>
            </a:ln>
          </c:spPr>
          <c:xVal>
            <c:numRef>
              <c:f>'Au&amp;CN_Profile_Calculation'!$O$2:$O$12</c:f>
              <c:numCache>
                <c:formatCode>General</c:formatCode>
                <c:ptCount val="11"/>
                <c:pt idx="0">
                  <c:v>2.3328723907470703</c:v>
                </c:pt>
                <c:pt idx="1">
                  <c:v>4.6657447814941406</c:v>
                </c:pt>
                <c:pt idx="2">
                  <c:v>6.9986171722412109</c:v>
                </c:pt>
                <c:pt idx="3">
                  <c:v>9.3314895629882812</c:v>
                </c:pt>
                <c:pt idx="4">
                  <c:v>11.664361953735352</c:v>
                </c:pt>
                <c:pt idx="5">
                  <c:v>13.997234344482422</c:v>
                </c:pt>
                <c:pt idx="6">
                  <c:v>16.330106735229492</c:v>
                </c:pt>
              </c:numCache>
            </c:numRef>
          </c:xVal>
          <c:yVal>
            <c:numRef>
              <c:f>'Au&amp;CN_Profile_Calculation'!$R$2:$R$12</c:f>
              <c:numCache>
                <c:formatCode>0.0</c:formatCode>
                <c:ptCount val="11"/>
                <c:pt idx="0">
                  <c:v>1416.7735849056603</c:v>
                </c:pt>
                <c:pt idx="1">
                  <c:v>965.37735849056594</c:v>
                </c:pt>
                <c:pt idx="2">
                  <c:v>726.41509433962256</c:v>
                </c:pt>
                <c:pt idx="3">
                  <c:v>531.41509433962256</c:v>
                </c:pt>
                <c:pt idx="4">
                  <c:v>475.47169811320754</c:v>
                </c:pt>
                <c:pt idx="5">
                  <c:v>401.88679245283015</c:v>
                </c:pt>
                <c:pt idx="6">
                  <c:v>365.49056603773585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D6-46A6-A0A8-6CDAE7181B73}"/>
            </c:ext>
          </c:extLst>
        </c:ser>
        <c:ser>
          <c:idx val="2"/>
          <c:order val="1"/>
          <c:tx>
            <c:v>Model fit</c:v>
          </c:tx>
          <c:marker>
            <c:symbol val="none"/>
          </c:marker>
          <c:xVal>
            <c:numRef>
              <c:f>'Au&amp;CN_Parameter_Optimisation'!$O$2:$O$12</c:f>
              <c:numCache>
                <c:formatCode>General</c:formatCode>
                <c:ptCount val="11"/>
                <c:pt idx="0">
                  <c:v>2.3328723907470703</c:v>
                </c:pt>
                <c:pt idx="1">
                  <c:v>4.6657447814941406</c:v>
                </c:pt>
                <c:pt idx="2">
                  <c:v>6.9986171722412109</c:v>
                </c:pt>
                <c:pt idx="3">
                  <c:v>9.3314895629882812</c:v>
                </c:pt>
                <c:pt idx="4">
                  <c:v>11.664361953735352</c:v>
                </c:pt>
                <c:pt idx="5">
                  <c:v>13.997234344482422</c:v>
                </c:pt>
                <c:pt idx="6">
                  <c:v>16.330106735229492</c:v>
                </c:pt>
              </c:numCache>
            </c:numRef>
          </c:xVal>
          <c:yVal>
            <c:numRef>
              <c:f>'Au&amp;CN_Parameter_Optimisation'!$S$2:$S$12</c:f>
              <c:numCache>
                <c:formatCode>0</c:formatCode>
                <c:ptCount val="11"/>
                <c:pt idx="0">
                  <c:v>1337.3185180581995</c:v>
                </c:pt>
                <c:pt idx="1">
                  <c:v>1008.9780087989309</c:v>
                </c:pt>
                <c:pt idx="2">
                  <c:v>756.81048551222295</c:v>
                </c:pt>
                <c:pt idx="3">
                  <c:v>604.80400936480191</c:v>
                </c:pt>
                <c:pt idx="4">
                  <c:v>475.91770573338067</c:v>
                </c:pt>
                <c:pt idx="5">
                  <c:v>376.06619734357986</c:v>
                </c:pt>
                <c:pt idx="6">
                  <c:v>297.71524735381479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D6-46A6-A0A8-6CDAE7181B73}"/>
            </c:ext>
          </c:extLst>
        </c:ser>
        <c:ser>
          <c:idx val="1"/>
          <c:order val="2"/>
          <c:marker>
            <c:symbol val="none"/>
          </c:marker>
          <c:xVal>
            <c:numRef>
              <c:f>'Au&amp;CN_Profile_Calculation'!$O$2:$O$12</c:f>
              <c:numCache>
                <c:formatCode>General</c:formatCode>
                <c:ptCount val="11"/>
                <c:pt idx="0">
                  <c:v>2.3328723907470703</c:v>
                </c:pt>
                <c:pt idx="1">
                  <c:v>4.6657447814941406</c:v>
                </c:pt>
                <c:pt idx="2">
                  <c:v>6.9986171722412109</c:v>
                </c:pt>
                <c:pt idx="3">
                  <c:v>9.3314895629882812</c:v>
                </c:pt>
                <c:pt idx="4">
                  <c:v>11.664361953735352</c:v>
                </c:pt>
                <c:pt idx="5">
                  <c:v>13.997234344482422</c:v>
                </c:pt>
                <c:pt idx="6">
                  <c:v>16.330106735229492</c:v>
                </c:pt>
              </c:numCache>
            </c:numRef>
          </c:xVal>
          <c:yVal>
            <c:numRef>
              <c:f>'Au&amp;CN_Profile_Calculation'!$S$2:$S$12</c:f>
              <c:numCache>
                <c:formatCode>0</c:formatCode>
                <c:ptCount val="11"/>
                <c:pt idx="0">
                  <c:v>1337.3185180581995</c:v>
                </c:pt>
                <c:pt idx="1">
                  <c:v>1008.9780087989309</c:v>
                </c:pt>
                <c:pt idx="2">
                  <c:v>756.81048551222295</c:v>
                </c:pt>
                <c:pt idx="3">
                  <c:v>604.80400936480191</c:v>
                </c:pt>
                <c:pt idx="4">
                  <c:v>475.91770573338073</c:v>
                </c:pt>
                <c:pt idx="5">
                  <c:v>376.06619734357997</c:v>
                </c:pt>
                <c:pt idx="6">
                  <c:v>297.7152473538149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D6-46A6-A0A8-6CDAE7181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32504"/>
        <c:axId val="213459912"/>
      </c:scatterChart>
      <c:valAx>
        <c:axId val="170732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Residence time (hrs)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459912"/>
        <c:crosses val="autoZero"/>
        <c:crossBetween val="midCat"/>
      </c:valAx>
      <c:valAx>
        <c:axId val="21345991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AU"/>
                  <a:t>NaCN (ppm)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170732504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'Au&amp;CN_Profile_Calculation'!$L$50:$L$60</c:f>
              <c:numCache>
                <c:formatCode>General</c:formatCode>
                <c:ptCount val="11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'Au&amp;CN_Profile_Calculation'!$M$50:$M$60</c:f>
              <c:numCache>
                <c:formatCode>0.000</c:formatCode>
                <c:ptCount val="11"/>
                <c:pt idx="0">
                  <c:v>11.69</c:v>
                </c:pt>
                <c:pt idx="1">
                  <c:v>3.847</c:v>
                </c:pt>
                <c:pt idx="2">
                  <c:v>2.0070000000000001</c:v>
                </c:pt>
                <c:pt idx="3">
                  <c:v>1.325</c:v>
                </c:pt>
                <c:pt idx="4">
                  <c:v>1.04</c:v>
                </c:pt>
                <c:pt idx="5">
                  <c:v>0.98299999999999998</c:v>
                </c:pt>
                <c:pt idx="6">
                  <c:v>0.95899999999999996</c:v>
                </c:pt>
                <c:pt idx="7">
                  <c:v>0.86899999999999999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8-4CA7-A133-95CC0D0D081D}"/>
            </c:ext>
          </c:extLst>
        </c:ser>
        <c:ser>
          <c:idx val="3"/>
          <c:order val="1"/>
          <c:tx>
            <c:v>Model fit</c:v>
          </c:tx>
          <c:marker>
            <c:symbol val="none"/>
          </c:marker>
          <c:xVal>
            <c:numRef>
              <c:f>'Au&amp;CN_Parameter_Optimisation'!$L$50:$L$60</c:f>
              <c:numCache>
                <c:formatCode>General</c:formatCode>
                <c:ptCount val="11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'Au&amp;CN_Parameter_Optimisation'!$N$50:$N$60</c:f>
              <c:numCache>
                <c:formatCode>0.000</c:formatCode>
                <c:ptCount val="11"/>
                <c:pt idx="0">
                  <c:v>11.687933015005537</c:v>
                </c:pt>
                <c:pt idx="1">
                  <c:v>3.8192501371385781</c:v>
                </c:pt>
                <c:pt idx="2">
                  <c:v>2.020159819244892</c:v>
                </c:pt>
                <c:pt idx="3">
                  <c:v>1.3824151686836743</c:v>
                </c:pt>
                <c:pt idx="4">
                  <c:v>1.1033346096316914</c:v>
                </c:pt>
                <c:pt idx="5">
                  <c:v>0.95071607857510199</c:v>
                </c:pt>
                <c:pt idx="6">
                  <c:v>0.87558431514852364</c:v>
                </c:pt>
                <c:pt idx="7">
                  <c:v>0.83163399114254977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8-4CA7-A133-95CC0D0D081D}"/>
            </c:ext>
          </c:extLst>
        </c:ser>
        <c:ser>
          <c:idx val="1"/>
          <c:order val="2"/>
          <c:tx>
            <c:v>Scenario</c:v>
          </c:tx>
          <c:spPr>
            <a:ln w="25400"/>
          </c:spPr>
          <c:xVal>
            <c:numRef>
              <c:f>'Au&amp;CN_Profile_Calculation'!$L$50:$L$60</c:f>
              <c:numCache>
                <c:formatCode>General</c:formatCode>
                <c:ptCount val="11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'Au&amp;CN_Profile_Calculation'!$N$50:$N$60</c:f>
              <c:numCache>
                <c:formatCode>0.000</c:formatCode>
                <c:ptCount val="11"/>
                <c:pt idx="0">
                  <c:v>11.687940899848819</c:v>
                </c:pt>
                <c:pt idx="1">
                  <c:v>3.8737428371667932</c:v>
                </c:pt>
                <c:pt idx="2">
                  <c:v>2.0167346019370687</c:v>
                </c:pt>
                <c:pt idx="3">
                  <c:v>1.3699913645408712</c:v>
                </c:pt>
                <c:pt idx="4">
                  <c:v>1.0786862727944935</c:v>
                </c:pt>
                <c:pt idx="5">
                  <c:v>0.93543127794456082</c:v>
                </c:pt>
                <c:pt idx="6">
                  <c:v>0.86716558090435802</c:v>
                </c:pt>
                <c:pt idx="7">
                  <c:v>0.82922147467597618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F8-4CA7-A133-95CC0D0D0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60696"/>
        <c:axId val="213461088"/>
      </c:scatterChart>
      <c:valAx>
        <c:axId val="213460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461088"/>
        <c:crosses val="autoZero"/>
        <c:crossBetween val="midCat"/>
      </c:valAx>
      <c:valAx>
        <c:axId val="2134610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134606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Dg density model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'Au&amp;CN_Profile_Calculation'!$C$51</c:f>
              <c:strCache>
                <c:ptCount val="1"/>
                <c:pt idx="0">
                  <c:v>Density calc</c:v>
                </c:pt>
              </c:strCache>
            </c:strRef>
          </c:tx>
          <c:xVal>
            <c:numRef>
              <c:f>'Au&amp;CN_Profile_Calculation'!$A$52:$A$77</c:f>
              <c:numCache>
                <c:formatCode>General</c:formatCode>
                <c:ptCount val="2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  <c:pt idx="25">
                  <c:v>52</c:v>
                </c:pt>
              </c:numCache>
            </c:numRef>
          </c:xVal>
          <c:yVal>
            <c:numRef>
              <c:f>'Au&amp;CN_Profile_Calculation'!$C$52:$C$77</c:f>
              <c:numCache>
                <c:formatCode>General</c:formatCode>
                <c:ptCount val="26"/>
                <c:pt idx="0">
                  <c:v>0.11783595154516498</c:v>
                </c:pt>
                <c:pt idx="1">
                  <c:v>0.2590952971673619</c:v>
                </c:pt>
                <c:pt idx="2">
                  <c:v>9.7013814040177601E-2</c:v>
                </c:pt>
                <c:pt idx="3">
                  <c:v>2.1486146166553338E-2</c:v>
                </c:pt>
                <c:pt idx="4">
                  <c:v>3.6821337881292071E-3</c:v>
                </c:pt>
                <c:pt idx="5">
                  <c:v>5.4175145933149508E-4</c:v>
                </c:pt>
                <c:pt idx="6">
                  <c:v>7.2032929486694119E-5</c:v>
                </c:pt>
                <c:pt idx="7">
                  <c:v>8.9111125735402451E-6</c:v>
                </c:pt>
                <c:pt idx="8">
                  <c:v>1.0444094627221883E-6</c:v>
                </c:pt>
                <c:pt idx="9">
                  <c:v>1.1737613792654594E-7</c:v>
                </c:pt>
                <c:pt idx="10">
                  <c:v>1.275602007580883E-8</c:v>
                </c:pt>
                <c:pt idx="11">
                  <c:v>1.3487540526103785E-9</c:v>
                </c:pt>
                <c:pt idx="12">
                  <c:v>1.3938710978769442E-10</c:v>
                </c:pt>
                <c:pt idx="13">
                  <c:v>1.4129101649432563E-11</c:v>
                </c:pt>
                <c:pt idx="14">
                  <c:v>1.4086721583719284E-12</c:v>
                </c:pt>
                <c:pt idx="15">
                  <c:v>1.3844250401213447E-13</c:v>
                </c:pt>
                <c:pt idx="16">
                  <c:v>1.3436105097713529E-14</c:v>
                </c:pt>
                <c:pt idx="17">
                  <c:v>1.2896272286056275E-15</c:v>
                </c:pt>
                <c:pt idx="18">
                  <c:v>1.2256799542152948E-16</c:v>
                </c:pt>
                <c:pt idx="19">
                  <c:v>1.1546828003246199E-17</c:v>
                </c:pt>
                <c:pt idx="20">
                  <c:v>1.079205163108225E-18</c:v>
                </c:pt>
                <c:pt idx="21">
                  <c:v>1.0014499750578651E-19</c:v>
                </c:pt>
                <c:pt idx="22">
                  <c:v>9.2325542165457369E-21</c:v>
                </c:pt>
                <c:pt idx="23">
                  <c:v>8.4611281441790672E-22</c:v>
                </c:pt>
                <c:pt idx="24">
                  <c:v>7.7119479930341065E-23</c:v>
                </c:pt>
                <c:pt idx="25">
                  <c:v>6.9938940935909971E-24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B-4E79-8347-112148AED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73080"/>
        <c:axId val="206973472"/>
      </c:scatterChart>
      <c:valAx>
        <c:axId val="20697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73472"/>
        <c:crosses val="autoZero"/>
        <c:crossBetween val="midCat"/>
      </c:valAx>
      <c:valAx>
        <c:axId val="20697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73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Individual [Au]</a:t>
            </a:r>
            <a:r>
              <a:rPr lang="en-AU" baseline="-25000"/>
              <a:t>S</a:t>
            </a:r>
            <a:r>
              <a:rPr lang="en-AU"/>
              <a:t> vs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'Au&amp;CN_Profile_Calculation'!$P$49</c:f>
              <c:strCache>
                <c:ptCount val="1"/>
                <c:pt idx="0">
                  <c:v>Au-Liberated</c:v>
                </c:pt>
              </c:strCache>
            </c:strRef>
          </c:tx>
          <c:spPr>
            <a:ln w="19050"/>
          </c:spPr>
          <c:xVal>
            <c:numRef>
              <c:f>'Au&amp;CN_Profile_Calculation'!$L$50:$L$61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'Au&amp;CN_Profile_Calculation'!$P$50:$P$61</c:f>
              <c:numCache>
                <c:formatCode>0.00000000</c:formatCode>
                <c:ptCount val="12"/>
                <c:pt idx="0">
                  <c:v>1.5578329751380451</c:v>
                </c:pt>
                <c:pt idx="1">
                  <c:v>8.1844988826511519E-3</c:v>
                </c:pt>
                <c:pt idx="2">
                  <c:v>8.1561493991538672E-4</c:v>
                </c:pt>
                <c:pt idx="3">
                  <c:v>1.0802330941806125E-4</c:v>
                </c:pt>
                <c:pt idx="4">
                  <c:v>1.8071247948208979E-5</c:v>
                </c:pt>
                <c:pt idx="5">
                  <c:v>3.7786218274451037E-6</c:v>
                </c:pt>
                <c:pt idx="6">
                  <c:v>1.3047420344633886E-6</c:v>
                </c:pt>
                <c:pt idx="7">
                  <c:v>6.104736816308056E-7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C8-4E3B-9123-B40B7677E9C1}"/>
            </c:ext>
          </c:extLst>
        </c:ser>
        <c:ser>
          <c:idx val="1"/>
          <c:order val="1"/>
          <c:tx>
            <c:strRef>
              <c:f>'Au&amp;CN_Parameter_Optimisation'!$Q$49</c:f>
              <c:strCache>
                <c:ptCount val="1"/>
                <c:pt idx="0">
                  <c:v>Au-Exposed</c:v>
                </c:pt>
              </c:strCache>
            </c:strRef>
          </c:tx>
          <c:spPr>
            <a:ln w="19050"/>
          </c:spPr>
          <c:xVal>
            <c:numRef>
              <c:f>'Au&amp;CN_Profile_Calculation'!$L$50:$L$61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'Au&amp;CN_Profile_Calculation'!$Q$50:$Q$61</c:f>
              <c:numCache>
                <c:formatCode>General</c:formatCode>
                <c:ptCount val="12"/>
                <c:pt idx="0">
                  <c:v>4.3783819014470895</c:v>
                </c:pt>
                <c:pt idx="1">
                  <c:v>1.5047888675213934</c:v>
                </c:pt>
                <c:pt idx="2">
                  <c:v>0.60459319901096664</c:v>
                </c:pt>
                <c:pt idx="3">
                  <c:v>0.29624624621600659</c:v>
                </c:pt>
                <c:pt idx="4">
                  <c:v>0.16471949865627608</c:v>
                </c:pt>
                <c:pt idx="5">
                  <c:v>0.10302763870907035</c:v>
                </c:pt>
                <c:pt idx="6">
                  <c:v>7.4545378583540781E-2</c:v>
                </c:pt>
                <c:pt idx="7">
                  <c:v>5.9037945133031143E-2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C8-4E3B-9123-B40B7677E9C1}"/>
            </c:ext>
          </c:extLst>
        </c:ser>
        <c:ser>
          <c:idx val="2"/>
          <c:order val="2"/>
          <c:tx>
            <c:strRef>
              <c:f>'Au&amp;CN_Parameter_Optimisation'!$R$49</c:f>
              <c:strCache>
                <c:ptCount val="1"/>
                <c:pt idx="0">
                  <c:v>Au-Por</c:v>
                </c:pt>
              </c:strCache>
            </c:strRef>
          </c:tx>
          <c:spPr>
            <a:ln w="19050"/>
          </c:spPr>
          <c:xVal>
            <c:numRef>
              <c:f>'Au&amp;CN_Profile_Calculation'!$L$50:$L$61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'Au&amp;CN_Profile_Calculation'!$R$50:$R$61</c:f>
              <c:numCache>
                <c:formatCode>General</c:formatCode>
                <c:ptCount val="12"/>
                <c:pt idx="0">
                  <c:v>5.0782763219198745</c:v>
                </c:pt>
                <c:pt idx="1">
                  <c:v>1.6873197694189379</c:v>
                </c:pt>
                <c:pt idx="2">
                  <c:v>0.73787608664237625</c:v>
                </c:pt>
                <c:pt idx="3">
                  <c:v>0.40018739367163597</c:v>
                </c:pt>
                <c:pt idx="4">
                  <c:v>0.24049900154645867</c:v>
                </c:pt>
                <c:pt idx="5">
                  <c:v>0.15895015926985256</c:v>
                </c:pt>
                <c:pt idx="6">
                  <c:v>0.11916919623497227</c:v>
                </c:pt>
                <c:pt idx="7">
                  <c:v>9.6733217725452902E-2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C8-4E3B-9123-B40B7677E9C1}"/>
            </c:ext>
          </c:extLst>
        </c:ser>
        <c:ser>
          <c:idx val="3"/>
          <c:order val="3"/>
          <c:tx>
            <c:strRef>
              <c:f>'Au&amp;CN_Parameter_Optimisation'!$S$49</c:f>
              <c:strCache>
                <c:ptCount val="1"/>
                <c:pt idx="0">
                  <c:v>Au-Innaccessible</c:v>
                </c:pt>
              </c:strCache>
            </c:strRef>
          </c:tx>
          <c:spPr>
            <a:ln w="19050"/>
          </c:spPr>
          <c:xVal>
            <c:numRef>
              <c:f>'Au&amp;CN_Profile_Calculation'!$L$50:$L$61</c:f>
              <c:numCache>
                <c:formatCode>General</c:formatCode>
                <c:ptCount val="12"/>
                <c:pt idx="0">
                  <c:v>0</c:v>
                </c:pt>
                <c:pt idx="1">
                  <c:v>2.3328723907470703</c:v>
                </c:pt>
                <c:pt idx="2">
                  <c:v>4.6657447814941406</c:v>
                </c:pt>
                <c:pt idx="3">
                  <c:v>6.9986171722412109</c:v>
                </c:pt>
                <c:pt idx="4">
                  <c:v>9.3314895629882812</c:v>
                </c:pt>
                <c:pt idx="5">
                  <c:v>11.664361953735352</c:v>
                </c:pt>
                <c:pt idx="6">
                  <c:v>13.997234344482422</c:v>
                </c:pt>
                <c:pt idx="7">
                  <c:v>16.330106735229492</c:v>
                </c:pt>
              </c:numCache>
            </c:numRef>
          </c:xVal>
          <c:yVal>
            <c:numRef>
              <c:f>'Au&amp;CN_Profile_Calculation'!$S$50:$S$61</c:f>
              <c:numCache>
                <c:formatCode>General</c:formatCode>
                <c:ptCount val="12"/>
                <c:pt idx="0">
                  <c:v>0.67344970134381044</c:v>
                </c:pt>
                <c:pt idx="1">
                  <c:v>0.67344970134381044</c:v>
                </c:pt>
                <c:pt idx="2">
                  <c:v>0.67344970134381044</c:v>
                </c:pt>
                <c:pt idx="3">
                  <c:v>0.67344970134381044</c:v>
                </c:pt>
                <c:pt idx="4">
                  <c:v>0.67344970134381044</c:v>
                </c:pt>
                <c:pt idx="5">
                  <c:v>0.67344970134381044</c:v>
                </c:pt>
                <c:pt idx="6">
                  <c:v>0.67344970134381044</c:v>
                </c:pt>
                <c:pt idx="7">
                  <c:v>0.67344970134381044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C8-4E3B-9123-B40B7677E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25576"/>
        <c:axId val="206656304"/>
      </c:scatterChart>
      <c:valAx>
        <c:axId val="170825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AU" sz="1200"/>
                  <a:t>Residence time</a:t>
                </a:r>
                <a:r>
                  <a:rPr lang="en-AU" sz="1200" baseline="0"/>
                  <a:t> (hrs)</a:t>
                </a:r>
                <a:endParaRPr lang="en-AU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6656304"/>
        <c:crosses val="autoZero"/>
        <c:crossBetween val="midCat"/>
      </c:valAx>
      <c:valAx>
        <c:axId val="20665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sz="1400"/>
                  <a:t>[Au]S (ppm)</a:t>
                </a:r>
              </a:p>
            </c:rich>
          </c:tx>
          <c:overlay val="0"/>
        </c:title>
        <c:numFmt formatCode="0.00000000" sourceLinked="1"/>
        <c:majorTickMark val="none"/>
        <c:minorTickMark val="none"/>
        <c:tickLblPos val="nextTo"/>
        <c:crossAx val="170825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308875</xdr:colOff>
      <xdr:row>13</xdr:row>
      <xdr:rowOff>199314</xdr:rowOff>
    </xdr:from>
    <xdr:to>
      <xdr:col>20</xdr:col>
      <xdr:colOff>24594</xdr:colOff>
      <xdr:row>33</xdr:row>
      <xdr:rowOff>151690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360150</xdr:colOff>
      <xdr:row>58</xdr:row>
      <xdr:rowOff>75867</xdr:rowOff>
    </xdr:from>
    <xdr:to>
      <xdr:col>17</xdr:col>
      <xdr:colOff>909425</xdr:colOff>
      <xdr:row>80</xdr:row>
      <xdr:rowOff>177610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347294</xdr:colOff>
      <xdr:row>61</xdr:row>
      <xdr:rowOff>213946</xdr:rowOff>
    </xdr:from>
    <xdr:to>
      <xdr:col>38</xdr:col>
      <xdr:colOff>60081</xdr:colOff>
      <xdr:row>87</xdr:row>
      <xdr:rowOff>181707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25589</xdr:colOff>
      <xdr:row>58</xdr:row>
      <xdr:rowOff>72741</xdr:rowOff>
    </xdr:from>
    <xdr:to>
      <xdr:col>24</xdr:col>
      <xdr:colOff>517714</xdr:colOff>
      <xdr:row>81</xdr:row>
      <xdr:rowOff>28433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12</xdr:row>
          <xdr:rowOff>152400</xdr:rowOff>
        </xdr:from>
        <xdr:to>
          <xdr:col>5</xdr:col>
          <xdr:colOff>482600</xdr:colOff>
          <xdr:row>15</xdr:row>
          <xdr:rowOff>63500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Optimise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254000</xdr:colOff>
          <xdr:row>54</xdr:row>
          <xdr:rowOff>63500</xdr:rowOff>
        </xdr:from>
        <xdr:to>
          <xdr:col>8</xdr:col>
          <xdr:colOff>901700</xdr:colOff>
          <xdr:row>56</xdr:row>
          <xdr:rowOff>63500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Optimise Leaching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736600</xdr:colOff>
          <xdr:row>40</xdr:row>
          <xdr:rowOff>114300</xdr:rowOff>
        </xdr:from>
        <xdr:to>
          <xdr:col>14</xdr:col>
          <xdr:colOff>546100</xdr:colOff>
          <xdr:row>44</xdr:row>
          <xdr:rowOff>114300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Optimise All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13</xdr:row>
      <xdr:rowOff>9525</xdr:rowOff>
    </xdr:from>
    <xdr:to>
      <xdr:col>17</xdr:col>
      <xdr:colOff>323849</xdr:colOff>
      <xdr:row>32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590549</xdr:colOff>
      <xdr:row>61</xdr:row>
      <xdr:rowOff>180975</xdr:rowOff>
    </xdr:from>
    <xdr:to>
      <xdr:col>18</xdr:col>
      <xdr:colOff>1104899</xdr:colOff>
      <xdr:row>83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428625</xdr:colOff>
      <xdr:row>60</xdr:row>
      <xdr:rowOff>114300</xdr:rowOff>
    </xdr:from>
    <xdr:to>
      <xdr:col>8</xdr:col>
      <xdr:colOff>428625</xdr:colOff>
      <xdr:row>75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622300</xdr:colOff>
      <xdr:row>84</xdr:row>
      <xdr:rowOff>38100</xdr:rowOff>
    </xdr:from>
    <xdr:to>
      <xdr:col>18</xdr:col>
      <xdr:colOff>1130300</xdr:colOff>
      <xdr:row>107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12</xdr:row>
          <xdr:rowOff>101600</xdr:rowOff>
        </xdr:from>
        <xdr:to>
          <xdr:col>5</xdr:col>
          <xdr:colOff>558800</xdr:colOff>
          <xdr:row>14</xdr:row>
          <xdr:rowOff>177800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CN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52</xdr:row>
          <xdr:rowOff>139700</xdr:rowOff>
        </xdr:from>
        <xdr:to>
          <xdr:col>9</xdr:col>
          <xdr:colOff>215900</xdr:colOff>
          <xdr:row>54</xdr:row>
          <xdr:rowOff>152400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Leaching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241300</xdr:colOff>
          <xdr:row>0</xdr:row>
          <xdr:rowOff>101600</xdr:rowOff>
        </xdr:from>
        <xdr:to>
          <xdr:col>7</xdr:col>
          <xdr:colOff>482600</xdr:colOff>
          <xdr:row>4</xdr:row>
          <xdr:rowOff>139700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Both CN &amp; Leaching profiles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276225</xdr:colOff>
      <xdr:row>15</xdr:row>
      <xdr:rowOff>152401</xdr:rowOff>
    </xdr:from>
    <xdr:to>
      <xdr:col>8</xdr:col>
      <xdr:colOff>552450</xdr:colOff>
      <xdr:row>20</xdr:row>
      <xdr:rowOff>4817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2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238625" y="3086101"/>
          <a:ext cx="3114675" cy="804916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847725</xdr:colOff>
      <xdr:row>15</xdr:row>
      <xdr:rowOff>180975</xdr:rowOff>
    </xdr:from>
    <xdr:to>
      <xdr:col>29</xdr:col>
      <xdr:colOff>504825</xdr:colOff>
      <xdr:row>20</xdr:row>
      <xdr:rowOff>17958</xdr:rowOff>
    </xdr:to>
    <xdr:pic>
      <xdr:nvPicPr>
        <xdr:cNvPr id="4100" name="Picture 4">
          <a:extLst>
            <a:ext uri="{FF2B5EF4-FFF2-40B4-BE49-F238E27FC236}">
              <a16:creationId xmlns:a16="http://schemas.microsoft.com/office/drawing/2014/main" id="{00000000-0008-0000-02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0612100" y="3114675"/>
          <a:ext cx="2600325" cy="789483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352425</xdr:colOff>
      <xdr:row>14</xdr:row>
      <xdr:rowOff>152400</xdr:rowOff>
    </xdr:from>
    <xdr:to>
      <xdr:col>23</xdr:col>
      <xdr:colOff>273827</xdr:colOff>
      <xdr:row>18</xdr:row>
      <xdr:rowOff>85725</xdr:rowOff>
    </xdr:to>
    <xdr:pic>
      <xdr:nvPicPr>
        <xdr:cNvPr id="4101" name="Picture 5">
          <a:extLst>
            <a:ext uri="{FF2B5EF4-FFF2-40B4-BE49-F238E27FC236}">
              <a16:creationId xmlns:a16="http://schemas.microsoft.com/office/drawing/2014/main" id="{00000000-0008-0000-0200-000005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459075" y="2895600"/>
          <a:ext cx="3359927" cy="695325"/>
        </a:xfrm>
        <a:prstGeom prst="rect">
          <a:avLst/>
        </a:prstGeom>
        <a:noFill/>
      </xdr:spPr>
    </xdr:pic>
    <xdr:clientData/>
  </xdr:twoCellAnchor>
  <xdr:twoCellAnchor editAs="oneCell">
    <xdr:from>
      <xdr:col>11</xdr:col>
      <xdr:colOff>895350</xdr:colOff>
      <xdr:row>15</xdr:row>
      <xdr:rowOff>47626</xdr:rowOff>
    </xdr:from>
    <xdr:to>
      <xdr:col>15</xdr:col>
      <xdr:colOff>809625</xdr:colOff>
      <xdr:row>18</xdr:row>
      <xdr:rowOff>144103</xdr:rowOff>
    </xdr:to>
    <xdr:pic>
      <xdr:nvPicPr>
        <xdr:cNvPr id="4102" name="Picture 6">
          <a:extLst>
            <a:ext uri="{FF2B5EF4-FFF2-40B4-BE49-F238E27FC236}">
              <a16:creationId xmlns:a16="http://schemas.microsoft.com/office/drawing/2014/main" id="{00000000-0008-0000-0200-000006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715500" y="2981326"/>
          <a:ext cx="3381375" cy="667977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219076</xdr:colOff>
      <xdr:row>83</xdr:row>
      <xdr:rowOff>28576</xdr:rowOff>
    </xdr:from>
    <xdr:to>
      <xdr:col>2</xdr:col>
      <xdr:colOff>460921</xdr:colOff>
      <xdr:row>86</xdr:row>
      <xdr:rowOff>142876</xdr:rowOff>
    </xdr:to>
    <xdr:pic>
      <xdr:nvPicPr>
        <xdr:cNvPr id="4106" name="Picture 10">
          <a:extLst>
            <a:ext uri="{FF2B5EF4-FFF2-40B4-BE49-F238E27FC236}">
              <a16:creationId xmlns:a16="http://schemas.microsoft.com/office/drawing/2014/main" id="{00000000-0008-0000-0200-00000A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19076" y="16021051"/>
          <a:ext cx="2804070" cy="68580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400050</xdr:colOff>
      <xdr:row>82</xdr:row>
      <xdr:rowOff>28574</xdr:rowOff>
    </xdr:from>
    <xdr:to>
      <xdr:col>20</xdr:col>
      <xdr:colOff>387291</xdr:colOff>
      <xdr:row>85</xdr:row>
      <xdr:rowOff>76199</xdr:rowOff>
    </xdr:to>
    <xdr:pic>
      <xdr:nvPicPr>
        <xdr:cNvPr id="4107" name="Picture 11">
          <a:extLst>
            <a:ext uri="{FF2B5EF4-FFF2-40B4-BE49-F238E27FC236}">
              <a16:creationId xmlns:a16="http://schemas.microsoft.com/office/drawing/2014/main" id="{00000000-0008-0000-0200-00000B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2687300" y="15830549"/>
          <a:ext cx="4521141" cy="61912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638175</xdr:colOff>
      <xdr:row>81</xdr:row>
      <xdr:rowOff>114300</xdr:rowOff>
    </xdr:from>
    <xdr:to>
      <xdr:col>15</xdr:col>
      <xdr:colOff>265206</xdr:colOff>
      <xdr:row>86</xdr:row>
      <xdr:rowOff>28575</xdr:rowOff>
    </xdr:to>
    <xdr:pic>
      <xdr:nvPicPr>
        <xdr:cNvPr id="4108" name="Picture 12">
          <a:extLst>
            <a:ext uri="{FF2B5EF4-FFF2-40B4-BE49-F238E27FC236}">
              <a16:creationId xmlns:a16="http://schemas.microsoft.com/office/drawing/2014/main" id="{00000000-0008-0000-0200-00000C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8048625" y="15725775"/>
          <a:ext cx="4503831" cy="86677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133350</xdr:colOff>
      <xdr:row>81</xdr:row>
      <xdr:rowOff>76200</xdr:rowOff>
    </xdr:from>
    <xdr:to>
      <xdr:col>9</xdr:col>
      <xdr:colOff>440357</xdr:colOff>
      <xdr:row>85</xdr:row>
      <xdr:rowOff>171450</xdr:rowOff>
    </xdr:to>
    <xdr:pic>
      <xdr:nvPicPr>
        <xdr:cNvPr id="4109" name="Picture 13">
          <a:extLst>
            <a:ext uri="{FF2B5EF4-FFF2-40B4-BE49-F238E27FC236}">
              <a16:creationId xmlns:a16="http://schemas.microsoft.com/office/drawing/2014/main" id="{00000000-0008-0000-0200-00000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486150" y="15687675"/>
          <a:ext cx="4364657" cy="85725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857250</xdr:colOff>
      <xdr:row>90</xdr:row>
      <xdr:rowOff>28575</xdr:rowOff>
    </xdr:from>
    <xdr:to>
      <xdr:col>21</xdr:col>
      <xdr:colOff>161925</xdr:colOff>
      <xdr:row>93</xdr:row>
      <xdr:rowOff>195120</xdr:rowOff>
    </xdr:to>
    <xdr:pic>
      <xdr:nvPicPr>
        <xdr:cNvPr id="4110" name="Picture 14">
          <a:extLst>
            <a:ext uri="{FF2B5EF4-FFF2-40B4-BE49-F238E27FC236}">
              <a16:creationId xmlns:a16="http://schemas.microsoft.com/office/drawing/2014/main" id="{00000000-0008-0000-0200-00000E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3144500" y="17354550"/>
          <a:ext cx="4448175" cy="852345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876301</xdr:colOff>
      <xdr:row>96</xdr:row>
      <xdr:rowOff>95250</xdr:rowOff>
    </xdr:from>
    <xdr:to>
      <xdr:col>21</xdr:col>
      <xdr:colOff>95251</xdr:colOff>
      <xdr:row>100</xdr:row>
      <xdr:rowOff>173192</xdr:rowOff>
    </xdr:to>
    <xdr:pic>
      <xdr:nvPicPr>
        <xdr:cNvPr id="4111" name="Picture 15">
          <a:extLst>
            <a:ext uri="{FF2B5EF4-FFF2-40B4-BE49-F238E27FC236}">
              <a16:creationId xmlns:a16="http://schemas.microsoft.com/office/drawing/2014/main" id="{00000000-0008-0000-0200-00000F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3163551" y="18716625"/>
          <a:ext cx="4362450" cy="839942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685800</xdr:colOff>
      <xdr:row>104</xdr:row>
      <xdr:rowOff>76200</xdr:rowOff>
    </xdr:from>
    <xdr:to>
      <xdr:col>21</xdr:col>
      <xdr:colOff>219075</xdr:colOff>
      <xdr:row>108</xdr:row>
      <xdr:rowOff>41104</xdr:rowOff>
    </xdr:to>
    <xdr:pic>
      <xdr:nvPicPr>
        <xdr:cNvPr id="4112" name="Picture 16">
          <a:extLst>
            <a:ext uri="{FF2B5EF4-FFF2-40B4-BE49-F238E27FC236}">
              <a16:creationId xmlns:a16="http://schemas.microsoft.com/office/drawing/2014/main" id="{00000000-0008-0000-0200-000010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973050" y="20221575"/>
          <a:ext cx="4676775" cy="726904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330200</xdr:colOff>
      <xdr:row>3</xdr:row>
      <xdr:rowOff>44450</xdr:rowOff>
    </xdr:from>
    <xdr:to>
      <xdr:col>5</xdr:col>
      <xdr:colOff>0</xdr:colOff>
      <xdr:row>8</xdr:row>
      <xdr:rowOff>165100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0" y="596900"/>
          <a:ext cx="889000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571500</xdr:colOff>
      <xdr:row>4</xdr:row>
      <xdr:rowOff>0</xdr:rowOff>
    </xdr:from>
    <xdr:to>
      <xdr:col>3</xdr:col>
      <xdr:colOff>298450</xdr:colOff>
      <xdr:row>4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571500" y="736600"/>
          <a:ext cx="15557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</xdr:colOff>
      <xdr:row>7</xdr:row>
      <xdr:rowOff>177800</xdr:rowOff>
    </xdr:from>
    <xdr:to>
      <xdr:col>8</xdr:col>
      <xdr:colOff>596900</xdr:colOff>
      <xdr:row>8</xdr:row>
      <xdr:rowOff>12700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3060700" y="1466850"/>
          <a:ext cx="2413000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</xdr:colOff>
      <xdr:row>6</xdr:row>
      <xdr:rowOff>152400</xdr:rowOff>
    </xdr:from>
    <xdr:to>
      <xdr:col>10</xdr:col>
      <xdr:colOff>425450</xdr:colOff>
      <xdr:row>12</xdr:row>
      <xdr:rowOff>165100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24500" y="1257300"/>
          <a:ext cx="996950" cy="1117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0</xdr:colOff>
      <xdr:row>4</xdr:row>
      <xdr:rowOff>6350</xdr:rowOff>
    </xdr:from>
    <xdr:to>
      <xdr:col>3</xdr:col>
      <xdr:colOff>0</xdr:colOff>
      <xdr:row>12</xdr:row>
      <xdr:rowOff>171450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1828800" y="742950"/>
          <a:ext cx="0" cy="1638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596900</xdr:colOff>
      <xdr:row>12</xdr:row>
      <xdr:rowOff>171450</xdr:rowOff>
    </xdr:from>
    <xdr:to>
      <xdr:col>5</xdr:col>
      <xdr:colOff>603250</xdr:colOff>
      <xdr:row>12</xdr:row>
      <xdr:rowOff>177800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>
          <a:off x="1816100" y="2381250"/>
          <a:ext cx="1835150" cy="6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603250</xdr:colOff>
      <xdr:row>8</xdr:row>
      <xdr:rowOff>12700</xdr:rowOff>
    </xdr:from>
    <xdr:to>
      <xdr:col>6</xdr:col>
      <xdr:colOff>0</xdr:colOff>
      <xdr:row>13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 flipV="1">
          <a:off x="3651250" y="1485900"/>
          <a:ext cx="6350" cy="908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6350</xdr:colOff>
      <xdr:row>8</xdr:row>
      <xdr:rowOff>12700</xdr:rowOff>
    </xdr:from>
    <xdr:to>
      <xdr:col>8</xdr:col>
      <xdr:colOff>6350</xdr:colOff>
      <xdr:row>15</xdr:row>
      <xdr:rowOff>152400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4883150" y="1485900"/>
          <a:ext cx="0" cy="142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6350</xdr:colOff>
      <xdr:row>15</xdr:row>
      <xdr:rowOff>165100</xdr:rowOff>
    </xdr:from>
    <xdr:to>
      <xdr:col>12</xdr:col>
      <xdr:colOff>520700</xdr:colOff>
      <xdr:row>15</xdr:row>
      <xdr:rowOff>177800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4883150" y="2927350"/>
          <a:ext cx="2952750" cy="12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457200</xdr:colOff>
      <xdr:row>11</xdr:row>
      <xdr:rowOff>171450</xdr:rowOff>
    </xdr:from>
    <xdr:to>
      <xdr:col>15</xdr:col>
      <xdr:colOff>603250</xdr:colOff>
      <xdr:row>12</xdr:row>
      <xdr:rowOff>6350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 flipV="1">
          <a:off x="6553200" y="2197100"/>
          <a:ext cx="3194050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476250</xdr:colOff>
      <xdr:row>11</xdr:row>
      <xdr:rowOff>177800</xdr:rowOff>
    </xdr:from>
    <xdr:to>
      <xdr:col>12</xdr:col>
      <xdr:colOff>488950</xdr:colOff>
      <xdr:row>15</xdr:row>
      <xdr:rowOff>165100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 flipH="1" flipV="1">
          <a:off x="7791450" y="2203450"/>
          <a:ext cx="12700" cy="723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171450</xdr:rowOff>
    </xdr:from>
    <xdr:to>
      <xdr:col>14</xdr:col>
      <xdr:colOff>12700</xdr:colOff>
      <xdr:row>12</xdr:row>
      <xdr:rowOff>6350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 flipH="1" flipV="1">
          <a:off x="8534400" y="171450"/>
          <a:ext cx="12700" cy="2044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0</xdr:row>
      <xdr:rowOff>171450</xdr:rowOff>
    </xdr:from>
    <xdr:to>
      <xdr:col>14</xdr:col>
      <xdr:colOff>6350</xdr:colOff>
      <xdr:row>1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H="1" flipV="1">
          <a:off x="1447800" y="171450"/>
          <a:ext cx="7092950" cy="12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0</xdr:row>
      <xdr:rowOff>165100</xdr:rowOff>
    </xdr:from>
    <xdr:to>
      <xdr:col>2</xdr:col>
      <xdr:colOff>228600</xdr:colOff>
      <xdr:row>3</xdr:row>
      <xdr:rowOff>177800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1447800" y="165100"/>
          <a:ext cx="0" cy="5651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6350</xdr:colOff>
      <xdr:row>10</xdr:row>
      <xdr:rowOff>127000</xdr:rowOff>
    </xdr:from>
    <xdr:to>
      <xdr:col>17</xdr:col>
      <xdr:colOff>501650</xdr:colOff>
      <xdr:row>17</xdr:row>
      <xdr:rowOff>6350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9759950" y="1968500"/>
          <a:ext cx="1104900" cy="1168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546100</xdr:colOff>
      <xdr:row>15</xdr:row>
      <xdr:rowOff>101600</xdr:rowOff>
    </xdr:from>
    <xdr:to>
      <xdr:col>20</xdr:col>
      <xdr:colOff>381000</xdr:colOff>
      <xdr:row>15</xdr:row>
      <xdr:rowOff>107950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V="1">
          <a:off x="10909300" y="2863850"/>
          <a:ext cx="1663700" cy="6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12</xdr:row>
      <xdr:rowOff>6350</xdr:rowOff>
    </xdr:from>
    <xdr:to>
      <xdr:col>15</xdr:col>
      <xdr:colOff>6350</xdr:colOff>
      <xdr:row>20</xdr:row>
      <xdr:rowOff>19050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9144000" y="2216150"/>
          <a:ext cx="6350" cy="1485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20</xdr:row>
      <xdr:rowOff>0</xdr:rowOff>
    </xdr:from>
    <xdr:to>
      <xdr:col>19</xdr:col>
      <xdr:colOff>0</xdr:colOff>
      <xdr:row>20</xdr:row>
      <xdr:rowOff>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>
          <a:off x="9144000" y="3683000"/>
          <a:ext cx="2438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603250</xdr:colOff>
      <xdr:row>15</xdr:row>
      <xdr:rowOff>114300</xdr:rowOff>
    </xdr:from>
    <xdr:to>
      <xdr:col>19</xdr:col>
      <xdr:colOff>6350</xdr:colOff>
      <xdr:row>20</xdr:row>
      <xdr:rowOff>6350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 flipH="1" flipV="1">
          <a:off x="11576050" y="2876550"/>
          <a:ext cx="12700" cy="812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6350</xdr:colOff>
      <xdr:row>3</xdr:row>
      <xdr:rowOff>165100</xdr:rowOff>
    </xdr:from>
    <xdr:to>
      <xdr:col>20</xdr:col>
      <xdr:colOff>12700</xdr:colOff>
      <xdr:row>15</xdr:row>
      <xdr:rowOff>120650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 flipV="1">
          <a:off x="12198350" y="717550"/>
          <a:ext cx="6350" cy="2165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101600</xdr:colOff>
      <xdr:row>3</xdr:row>
      <xdr:rowOff>171450</xdr:rowOff>
    </xdr:from>
    <xdr:to>
      <xdr:col>20</xdr:col>
      <xdr:colOff>12700</xdr:colOff>
      <xdr:row>4</xdr:row>
      <xdr:rowOff>12700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 flipH="1">
          <a:off x="4368800" y="723900"/>
          <a:ext cx="7835900" cy="25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</xdr:colOff>
      <xdr:row>4</xdr:row>
      <xdr:rowOff>19050</xdr:rowOff>
    </xdr:from>
    <xdr:to>
      <xdr:col>7</xdr:col>
      <xdr:colOff>101600</xdr:colOff>
      <xdr:row>7</xdr:row>
      <xdr:rowOff>177800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 flipH="1">
          <a:off x="4362450" y="755650"/>
          <a:ext cx="6350" cy="711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590550</xdr:colOff>
      <xdr:row>4</xdr:row>
      <xdr:rowOff>95250</xdr:rowOff>
    </xdr:from>
    <xdr:to>
      <xdr:col>4</xdr:col>
      <xdr:colOff>419100</xdr:colOff>
      <xdr:row>7</xdr:row>
      <xdr:rowOff>31750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2419350" y="831850"/>
          <a:ext cx="438150" cy="488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V1</a:t>
          </a:r>
        </a:p>
        <a:p>
          <a:r>
            <a:rPr lang="en-AU" sz="1100"/>
            <a:t>Tr1</a:t>
          </a:r>
        </a:p>
      </xdr:txBody>
    </xdr:sp>
    <xdr:clientData/>
  </xdr:twoCellAnchor>
  <xdr:twoCellAnchor>
    <xdr:from>
      <xdr:col>9</xdr:col>
      <xdr:colOff>342900</xdr:colOff>
      <xdr:row>8</xdr:row>
      <xdr:rowOff>76200</xdr:rowOff>
    </xdr:from>
    <xdr:to>
      <xdr:col>10</xdr:col>
      <xdr:colOff>165100</xdr:colOff>
      <xdr:row>11</xdr:row>
      <xdr:rowOff>12700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5829300" y="1549400"/>
          <a:ext cx="431800" cy="488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V2</a:t>
          </a:r>
        </a:p>
        <a:p>
          <a:r>
            <a:rPr lang="en-AU" sz="1100"/>
            <a:t>Tr2</a:t>
          </a:r>
        </a:p>
        <a:p>
          <a:endParaRPr lang="en-AU" sz="1100"/>
        </a:p>
      </xdr:txBody>
    </xdr:sp>
    <xdr:clientData/>
  </xdr:twoCellAnchor>
  <xdr:twoCellAnchor>
    <xdr:from>
      <xdr:col>16</xdr:col>
      <xdr:colOff>412750</xdr:colOff>
      <xdr:row>12</xdr:row>
      <xdr:rowOff>63500</xdr:rowOff>
    </xdr:from>
    <xdr:to>
      <xdr:col>17</xdr:col>
      <xdr:colOff>260350</xdr:colOff>
      <xdr:row>15</xdr:row>
      <xdr:rowOff>31750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0166350" y="2273300"/>
          <a:ext cx="457200" cy="52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V3</a:t>
          </a:r>
        </a:p>
        <a:p>
          <a:r>
            <a:rPr lang="en-AU" sz="1100"/>
            <a:t>Tr3</a:t>
          </a:r>
        </a:p>
      </xdr:txBody>
    </xdr:sp>
    <xdr:clientData/>
  </xdr:twoCellAnchor>
  <xdr:twoCellAnchor>
    <xdr:from>
      <xdr:col>5</xdr:col>
      <xdr:colOff>254000</xdr:colOff>
      <xdr:row>4</xdr:row>
      <xdr:rowOff>25400</xdr:rowOff>
    </xdr:from>
    <xdr:to>
      <xdr:col>6</xdr:col>
      <xdr:colOff>50800</xdr:colOff>
      <xdr:row>6</xdr:row>
      <xdr:rowOff>133350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3302000" y="762000"/>
          <a:ext cx="4064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139700</xdr:colOff>
      <xdr:row>8</xdr:row>
      <xdr:rowOff>31750</xdr:rowOff>
    </xdr:from>
    <xdr:to>
      <xdr:col>11</xdr:col>
      <xdr:colOff>565150</xdr:colOff>
      <xdr:row>10</xdr:row>
      <xdr:rowOff>50800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6845300" y="1504950"/>
          <a:ext cx="425450" cy="387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18</xdr:col>
      <xdr:colOff>139700</xdr:colOff>
      <xdr:row>11</xdr:row>
      <xdr:rowOff>158750</xdr:rowOff>
    </xdr:from>
    <xdr:to>
      <xdr:col>18</xdr:col>
      <xdr:colOff>552450</xdr:colOff>
      <xdr:row>13</xdr:row>
      <xdr:rowOff>158750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11112500" y="2184400"/>
          <a:ext cx="412750" cy="368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44450</xdr:colOff>
      <xdr:row>4</xdr:row>
      <xdr:rowOff>165100</xdr:rowOff>
    </xdr:from>
    <xdr:to>
      <xdr:col>5</xdr:col>
      <xdr:colOff>254000</xdr:colOff>
      <xdr:row>5</xdr:row>
      <xdr:rowOff>79375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>
          <a:endCxn id="56" idx="1"/>
        </xdr:cNvCxnSpPr>
      </xdr:nvCxnSpPr>
      <xdr:spPr>
        <a:xfrm>
          <a:off x="3092450" y="901700"/>
          <a:ext cx="209550" cy="984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438150</xdr:colOff>
      <xdr:row>9</xdr:row>
      <xdr:rowOff>0</xdr:rowOff>
    </xdr:from>
    <xdr:to>
      <xdr:col>11</xdr:col>
      <xdr:colOff>139700</xdr:colOff>
      <xdr:row>9</xdr:row>
      <xdr:rowOff>41275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>
          <a:endCxn id="57" idx="1"/>
        </xdr:cNvCxnSpPr>
      </xdr:nvCxnSpPr>
      <xdr:spPr>
        <a:xfrm>
          <a:off x="6534150" y="1657350"/>
          <a:ext cx="311150" cy="412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501650</xdr:colOff>
      <xdr:row>12</xdr:row>
      <xdr:rowOff>152400</xdr:rowOff>
    </xdr:from>
    <xdr:to>
      <xdr:col>18</xdr:col>
      <xdr:colOff>139700</xdr:colOff>
      <xdr:row>12</xdr:row>
      <xdr:rowOff>158750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CxnSpPr>
          <a:endCxn id="58" idx="1"/>
        </xdr:cNvCxnSpPr>
      </xdr:nvCxnSpPr>
      <xdr:spPr>
        <a:xfrm>
          <a:off x="10864850" y="2362200"/>
          <a:ext cx="247650" cy="6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4</xdr:row>
      <xdr:rowOff>69850</xdr:rowOff>
    </xdr:from>
    <xdr:to>
      <xdr:col>6</xdr:col>
      <xdr:colOff>44450</xdr:colOff>
      <xdr:row>6</xdr:row>
      <xdr:rowOff>50800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3314700" y="806450"/>
          <a:ext cx="387350" cy="34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900"/>
            <a:t>Vd1</a:t>
          </a:r>
        </a:p>
      </xdr:txBody>
    </xdr:sp>
    <xdr:clientData/>
  </xdr:twoCellAnchor>
  <xdr:twoCellAnchor>
    <xdr:from>
      <xdr:col>15</xdr:col>
      <xdr:colOff>0</xdr:colOff>
      <xdr:row>1</xdr:row>
      <xdr:rowOff>6350</xdr:rowOff>
    </xdr:from>
    <xdr:to>
      <xdr:col>15</xdr:col>
      <xdr:colOff>6350</xdr:colOff>
      <xdr:row>11</xdr:row>
      <xdr:rowOff>165100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9144000" y="190500"/>
          <a:ext cx="6350" cy="2000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12700</xdr:colOff>
      <xdr:row>1</xdr:row>
      <xdr:rowOff>6350</xdr:rowOff>
    </xdr:from>
    <xdr:to>
      <xdr:col>20</xdr:col>
      <xdr:colOff>292100</xdr:colOff>
      <xdr:row>1</xdr:row>
      <xdr:rowOff>12700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9156700" y="190500"/>
          <a:ext cx="3327400" cy="6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41"/>
  <sheetViews>
    <sheetView zoomScale="67" zoomScaleNormal="67" workbookViewId="0">
      <selection activeCell="X22" sqref="X22"/>
    </sheetView>
  </sheetViews>
  <sheetFormatPr baseColWidth="10" defaultColWidth="9.1640625" defaultRowHeight="15" x14ac:dyDescent="0.2"/>
  <cols>
    <col min="1" max="1" width="19.83203125" customWidth="1"/>
    <col min="2" max="2" width="19" bestFit="1" customWidth="1"/>
    <col min="3" max="3" width="13.5" customWidth="1"/>
    <col min="4" max="4" width="14.5" customWidth="1"/>
    <col min="5" max="5" width="14.1640625" customWidth="1"/>
    <col min="6" max="6" width="12" customWidth="1"/>
    <col min="7" max="7" width="14.6640625" customWidth="1"/>
    <col min="8" max="8" width="19.1640625" customWidth="1"/>
    <col min="9" max="9" width="13.5" customWidth="1"/>
    <col min="10" max="10" width="9.33203125" bestFit="1" customWidth="1"/>
    <col min="11" max="11" width="11.6640625" customWidth="1"/>
    <col min="12" max="12" width="10.5" customWidth="1"/>
    <col min="13" max="13" width="12" customWidth="1"/>
    <col min="14" max="14" width="11.83203125" customWidth="1"/>
    <col min="15" max="15" width="17.83203125" customWidth="1"/>
    <col min="16" max="16" width="14" bestFit="1" customWidth="1"/>
    <col min="17" max="17" width="15.33203125" customWidth="1"/>
    <col min="18" max="18" width="14.5" customWidth="1"/>
    <col min="19" max="19" width="18.6640625" customWidth="1"/>
    <col min="20" max="20" width="14.1640625" customWidth="1"/>
    <col min="21" max="22" width="10.5" customWidth="1"/>
    <col min="23" max="23" width="11.83203125" customWidth="1"/>
    <col min="24" max="24" width="9.1640625" customWidth="1"/>
    <col min="26" max="26" width="13.1640625" customWidth="1"/>
  </cols>
  <sheetData>
    <row r="1" spans="1:31" x14ac:dyDescent="0.2">
      <c r="A1" t="s">
        <v>0</v>
      </c>
      <c r="M1" s="14" t="s">
        <v>45</v>
      </c>
      <c r="N1" s="14" t="s">
        <v>29</v>
      </c>
      <c r="O1" s="14" t="s">
        <v>42</v>
      </c>
      <c r="P1" s="14" t="s">
        <v>43</v>
      </c>
      <c r="Q1" s="14" t="s">
        <v>44</v>
      </c>
      <c r="R1" s="14" t="s">
        <v>53</v>
      </c>
      <c r="S1" s="14" t="s">
        <v>54</v>
      </c>
      <c r="T1" s="14" t="s">
        <v>24</v>
      </c>
      <c r="U1" s="14" t="s">
        <v>120</v>
      </c>
      <c r="V1" s="14" t="s">
        <v>121</v>
      </c>
      <c r="W1" s="14" t="s">
        <v>124</v>
      </c>
      <c r="X1" s="14" t="s">
        <v>125</v>
      </c>
      <c r="Y1" s="14" t="s">
        <v>126</v>
      </c>
      <c r="Z1" s="14" t="s">
        <v>146</v>
      </c>
    </row>
    <row r="2" spans="1:31" x14ac:dyDescent="0.2">
      <c r="M2">
        <v>1</v>
      </c>
      <c r="N2" s="6">
        <v>2.3328723907470703</v>
      </c>
      <c r="O2">
        <f>N2</f>
        <v>2.3328723907470703</v>
      </c>
      <c r="P2" s="11">
        <f>B37</f>
        <v>750.89</v>
      </c>
      <c r="Q2" s="15">
        <v>708.77881457084573</v>
      </c>
      <c r="R2" s="3">
        <f t="shared" ref="R2:S8" si="0">P2/0.53</f>
        <v>1416.7735849056603</v>
      </c>
      <c r="S2" s="3">
        <f t="shared" si="0"/>
        <v>1337.3185180581995</v>
      </c>
      <c r="T2">
        <f t="shared" ref="T2:T8" si="1">(P2-Q2)^2</f>
        <v>1773.3519382486143</v>
      </c>
      <c r="U2">
        <v>47.420000001414728</v>
      </c>
      <c r="V2">
        <v>377.06299139882043</v>
      </c>
      <c r="W2">
        <v>84.07092360651923</v>
      </c>
      <c r="X2">
        <v>0</v>
      </c>
      <c r="Y2">
        <v>1.833794488194086E-56</v>
      </c>
      <c r="Z2" s="22">
        <f>8*$G$54/$G$55*B44*26/32</f>
        <v>425.67700534759354</v>
      </c>
      <c r="AA2">
        <v>166379.86830006741</v>
      </c>
      <c r="AB2">
        <v>166379.86830006741</v>
      </c>
      <c r="AC2">
        <v>2.3328723907470703</v>
      </c>
      <c r="AD2">
        <v>0</v>
      </c>
      <c r="AE2">
        <v>0</v>
      </c>
    </row>
    <row r="3" spans="1:31" x14ac:dyDescent="0.2">
      <c r="A3" t="s">
        <v>1</v>
      </c>
      <c r="M3">
        <v>2</v>
      </c>
      <c r="N3" s="6">
        <v>2.3328723907470703</v>
      </c>
      <c r="O3">
        <f t="shared" ref="O3:O8" si="2">O2+N3</f>
        <v>4.6657447814941406</v>
      </c>
      <c r="P3" s="11">
        <f>C37</f>
        <v>511.65</v>
      </c>
      <c r="Q3" s="15">
        <v>534.75834466343338</v>
      </c>
      <c r="R3" s="3">
        <f t="shared" si="0"/>
        <v>965.37735849056594</v>
      </c>
      <c r="S3" s="3">
        <f t="shared" si="0"/>
        <v>1008.9780087989309</v>
      </c>
      <c r="T3">
        <f t="shared" si="1"/>
        <v>533.99559308403093</v>
      </c>
      <c r="U3">
        <v>47.420000002828715</v>
      </c>
      <c r="V3">
        <v>475.79116691484842</v>
      </c>
      <c r="W3">
        <v>75.294826417870681</v>
      </c>
      <c r="X3">
        <v>0</v>
      </c>
      <c r="Y3">
        <v>1.3633363260414675E-56</v>
      </c>
      <c r="Z3" s="22">
        <f>8*$G$54/$G$55*C44*26/32</f>
        <v>570.35935828876995</v>
      </c>
      <c r="AA3">
        <v>166379.86830006741</v>
      </c>
      <c r="AB3">
        <v>166379.86830006741</v>
      </c>
      <c r="AC3">
        <v>2.3328723907470703</v>
      </c>
      <c r="AD3">
        <v>0</v>
      </c>
      <c r="AE3">
        <v>0</v>
      </c>
    </row>
    <row r="4" spans="1:31" x14ac:dyDescent="0.2">
      <c r="M4">
        <v>3</v>
      </c>
      <c r="N4" s="6">
        <v>2.3328723907470703</v>
      </c>
      <c r="O4">
        <f t="shared" si="2"/>
        <v>6.9986171722412109</v>
      </c>
      <c r="P4" s="11">
        <f>D37</f>
        <v>385</v>
      </c>
      <c r="Q4" s="15">
        <v>401.10955732147818</v>
      </c>
      <c r="R4" s="3">
        <f t="shared" si="0"/>
        <v>726.41509433962256</v>
      </c>
      <c r="S4" s="3">
        <f t="shared" si="0"/>
        <v>756.81048551222295</v>
      </c>
      <c r="T4">
        <f t="shared" si="1"/>
        <v>259.51783709399115</v>
      </c>
      <c r="U4">
        <v>47.420000004241771</v>
      </c>
      <c r="V4">
        <v>493.76386266560479</v>
      </c>
      <c r="W4">
        <v>115.66549600902572</v>
      </c>
      <c r="X4">
        <v>0</v>
      </c>
      <c r="Y4">
        <v>8.8299003789075294E-57</v>
      </c>
      <c r="Z4" s="22">
        <f>8*$G$54/$G$55*D44*26/32</f>
        <v>615.79679144385022</v>
      </c>
      <c r="AA4">
        <v>166379.86830006741</v>
      </c>
      <c r="AB4">
        <v>166379.86830006741</v>
      </c>
      <c r="AC4">
        <v>2.3328723907470703</v>
      </c>
      <c r="AD4">
        <v>0</v>
      </c>
      <c r="AE4">
        <v>0</v>
      </c>
    </row>
    <row r="5" spans="1:31" x14ac:dyDescent="0.2">
      <c r="A5" s="14" t="s">
        <v>18</v>
      </c>
      <c r="B5" s="18">
        <v>136.68</v>
      </c>
      <c r="D5" t="s">
        <v>110</v>
      </c>
      <c r="E5" s="18">
        <v>7</v>
      </c>
      <c r="M5">
        <v>4</v>
      </c>
      <c r="N5" s="6">
        <v>2.3328723907470703</v>
      </c>
      <c r="O5">
        <f t="shared" si="2"/>
        <v>9.3314895629882812</v>
      </c>
      <c r="P5" s="11">
        <f>E37</f>
        <v>281.64999999999998</v>
      </c>
      <c r="Q5" s="15">
        <v>320.54612496334505</v>
      </c>
      <c r="R5" s="3">
        <f t="shared" si="0"/>
        <v>531.41509433962256</v>
      </c>
      <c r="S5" s="3">
        <f t="shared" si="0"/>
        <v>604.80400936480191</v>
      </c>
      <c r="T5">
        <f t="shared" si="1"/>
        <v>1512.9085371641559</v>
      </c>
      <c r="U5">
        <v>47.420000005654373</v>
      </c>
      <c r="V5">
        <v>501.50099180625358</v>
      </c>
      <c r="W5">
        <v>72.825086831590198</v>
      </c>
      <c r="X5">
        <v>0</v>
      </c>
      <c r="Y5">
        <v>7.1737798298271469E-57</v>
      </c>
      <c r="Z5" s="22">
        <f>8*$G$54/$G$55*E44*26/32</f>
        <v>594.87165775401058</v>
      </c>
      <c r="AA5">
        <v>166379.86830006741</v>
      </c>
      <c r="AB5">
        <v>166379.86830006741</v>
      </c>
      <c r="AC5">
        <v>2.3328723907470703</v>
      </c>
      <c r="AD5">
        <v>0</v>
      </c>
      <c r="AE5">
        <v>0</v>
      </c>
    </row>
    <row r="6" spans="1:31" x14ac:dyDescent="0.2">
      <c r="B6" s="4"/>
      <c r="M6">
        <v>5</v>
      </c>
      <c r="N6" s="6">
        <v>2.3328723907470703</v>
      </c>
      <c r="O6">
        <f t="shared" si="2"/>
        <v>11.664361953735352</v>
      </c>
      <c r="P6" s="11">
        <f>F37</f>
        <v>252</v>
      </c>
      <c r="Q6" s="15">
        <v>252.23638403869177</v>
      </c>
      <c r="R6" s="3">
        <f t="shared" si="0"/>
        <v>475.47169811320754</v>
      </c>
      <c r="S6" s="3">
        <f t="shared" si="0"/>
        <v>475.91770573338067</v>
      </c>
      <c r="T6">
        <f t="shared" si="1"/>
        <v>5.5877413748230929E-2</v>
      </c>
      <c r="U6">
        <v>47.420000007066321</v>
      </c>
      <c r="V6">
        <v>503.88085211595234</v>
      </c>
      <c r="W6">
        <v>65.929699385255546</v>
      </c>
      <c r="X6">
        <v>0</v>
      </c>
      <c r="Y6">
        <v>5.2023113443956043E-57</v>
      </c>
      <c r="Z6" s="22">
        <f>8*$G$54/$G$55*F44*26/32</f>
        <v>602.04598930481279</v>
      </c>
      <c r="AA6">
        <v>166379.86830006741</v>
      </c>
      <c r="AB6">
        <v>166379.86830006741</v>
      </c>
      <c r="AC6">
        <v>2.3328723907470703</v>
      </c>
      <c r="AD6">
        <v>0</v>
      </c>
      <c r="AE6">
        <v>0</v>
      </c>
    </row>
    <row r="7" spans="1:31" x14ac:dyDescent="0.2">
      <c r="A7" t="s">
        <v>127</v>
      </c>
      <c r="B7">
        <v>10</v>
      </c>
      <c r="M7">
        <v>6</v>
      </c>
      <c r="N7" s="6">
        <v>2.3328723907470703</v>
      </c>
      <c r="O7">
        <f t="shared" si="2"/>
        <v>13.997234344482422</v>
      </c>
      <c r="P7" s="11">
        <f>G37</f>
        <v>213</v>
      </c>
      <c r="Q7" s="15">
        <v>199.31508459209735</v>
      </c>
      <c r="R7" s="3">
        <f t="shared" si="0"/>
        <v>401.88679245283015</v>
      </c>
      <c r="S7" s="3">
        <f t="shared" si="0"/>
        <v>376.06619734357986</v>
      </c>
      <c r="T7">
        <f t="shared" si="1"/>
        <v>187.27690972145137</v>
      </c>
      <c r="U7">
        <v>47.420000008477686</v>
      </c>
      <c r="V7">
        <v>504.70114944466513</v>
      </c>
      <c r="W7">
        <v>52.097097966992848</v>
      </c>
      <c r="X7">
        <v>0</v>
      </c>
      <c r="Y7">
        <v>4.1052244757175534E-57</v>
      </c>
      <c r="Z7" s="22">
        <f>8*$G$54/$G$55*G44*26/32</f>
        <v>358.71657754010698</v>
      </c>
      <c r="AA7">
        <v>166379.86830006741</v>
      </c>
      <c r="AB7">
        <v>166379.86830006741</v>
      </c>
      <c r="AC7">
        <v>2.3328723907470703</v>
      </c>
      <c r="AD7">
        <v>0</v>
      </c>
      <c r="AE7">
        <v>0</v>
      </c>
    </row>
    <row r="8" spans="1:31" ht="17" x14ac:dyDescent="0.25">
      <c r="A8" s="14" t="s">
        <v>32</v>
      </c>
      <c r="B8" s="18">
        <v>12.5</v>
      </c>
      <c r="C8" s="18">
        <v>31.5</v>
      </c>
      <c r="D8" s="18">
        <v>45.5</v>
      </c>
      <c r="E8" s="18">
        <v>64</v>
      </c>
      <c r="F8" s="18">
        <v>90.5</v>
      </c>
      <c r="G8" s="18">
        <v>128</v>
      </c>
      <c r="H8" s="18">
        <v>181</v>
      </c>
      <c r="I8" s="18">
        <v>256</v>
      </c>
      <c r="J8" s="18">
        <v>362.5</v>
      </c>
      <c r="K8" s="18">
        <v>512.5</v>
      </c>
      <c r="M8">
        <v>7</v>
      </c>
      <c r="N8" s="6">
        <v>2.3328723907470703</v>
      </c>
      <c r="O8">
        <f t="shared" si="2"/>
        <v>16.330106735229492</v>
      </c>
      <c r="P8" s="11">
        <f>H37</f>
        <v>193.71</v>
      </c>
      <c r="Q8" s="15">
        <v>157.78908109752186</v>
      </c>
      <c r="R8" s="3">
        <f t="shared" si="0"/>
        <v>365.49056603773585</v>
      </c>
      <c r="S8" s="3">
        <f t="shared" si="0"/>
        <v>297.71524735381479</v>
      </c>
      <c r="T8">
        <f t="shared" si="1"/>
        <v>1290.312414798412</v>
      </c>
      <c r="U8">
        <v>47.420000009888476</v>
      </c>
      <c r="V8">
        <v>504.98627054447576</v>
      </c>
      <c r="W8">
        <v>41.243005931450249</v>
      </c>
      <c r="X8">
        <v>0</v>
      </c>
      <c r="Y8">
        <v>3.2463655849803251E-57</v>
      </c>
      <c r="Z8" s="22">
        <f>8*$G$54/$G$55*H44*26/32</f>
        <v>239.14438502673795</v>
      </c>
      <c r="AA8">
        <v>166379.86830006741</v>
      </c>
      <c r="AB8">
        <v>166379.86830006741</v>
      </c>
      <c r="AC8">
        <v>2.3328723907470703</v>
      </c>
      <c r="AD8">
        <v>0</v>
      </c>
      <c r="AE8">
        <v>0</v>
      </c>
    </row>
    <row r="9" spans="1:31" ht="17" x14ac:dyDescent="0.25">
      <c r="A9" s="14" t="s">
        <v>33</v>
      </c>
      <c r="B9" s="18">
        <v>0.80079999999999996</v>
      </c>
      <c r="C9" s="18">
        <v>4.0899999999999999E-2</v>
      </c>
      <c r="D9" s="18">
        <v>5.4100000000000002E-2</v>
      </c>
      <c r="E9" s="18">
        <v>5.0299999999999997E-2</v>
      </c>
      <c r="F9" s="18">
        <v>2.76E-2</v>
      </c>
      <c r="G9" s="4">
        <v>1.26E-2</v>
      </c>
      <c r="H9" s="4">
        <v>4.4999999999999997E-3</v>
      </c>
      <c r="I9" s="4">
        <v>1.2999999999999999E-3</v>
      </c>
      <c r="J9" s="4">
        <v>5.0000000000000001E-4</v>
      </c>
      <c r="K9" s="4">
        <v>1E-4</v>
      </c>
      <c r="N9" s="6"/>
      <c r="P9" s="11"/>
      <c r="Q9" s="15"/>
      <c r="R9" s="3"/>
      <c r="S9" s="3"/>
    </row>
    <row r="10" spans="1:31" x14ac:dyDescent="0.2">
      <c r="A10" s="14" t="s">
        <v>145</v>
      </c>
      <c r="B10" s="18">
        <v>29.92</v>
      </c>
      <c r="C10">
        <v>7.94</v>
      </c>
      <c r="D10">
        <v>12.32</v>
      </c>
      <c r="E10" s="18">
        <v>17.36</v>
      </c>
      <c r="F10" s="4">
        <v>17.52</v>
      </c>
      <c r="G10" s="4">
        <v>9.08</v>
      </c>
      <c r="H10" s="4">
        <v>4.3</v>
      </c>
      <c r="I10" s="4">
        <v>1.07</v>
      </c>
      <c r="J10" s="4">
        <v>0.49</v>
      </c>
      <c r="K10" s="4">
        <v>0.01</v>
      </c>
      <c r="N10" s="6"/>
      <c r="P10" s="11"/>
      <c r="Q10" s="15"/>
      <c r="R10" s="3"/>
      <c r="S10" s="3"/>
    </row>
    <row r="11" spans="1:31" ht="17" x14ac:dyDescent="0.25">
      <c r="A11" s="14" t="s">
        <v>51</v>
      </c>
      <c r="B11" s="19">
        <v>0</v>
      </c>
      <c r="C11" s="14" t="s">
        <v>2</v>
      </c>
      <c r="D11" t="s">
        <v>115</v>
      </c>
      <c r="E11" s="38">
        <v>47.42</v>
      </c>
      <c r="F11" s="6" t="s">
        <v>2</v>
      </c>
      <c r="G11" s="4"/>
      <c r="H11" s="4"/>
      <c r="I11" s="4"/>
      <c r="N11" s="6"/>
      <c r="P11" s="11"/>
      <c r="Q11" s="15"/>
      <c r="R11" s="3"/>
      <c r="S11" s="3"/>
    </row>
    <row r="12" spans="1:31" ht="17" x14ac:dyDescent="0.25">
      <c r="A12" s="14" t="s">
        <v>23</v>
      </c>
      <c r="B12" s="20">
        <v>11.69</v>
      </c>
      <c r="C12" s="14" t="s">
        <v>2</v>
      </c>
      <c r="D12" t="s">
        <v>116</v>
      </c>
      <c r="E12" s="38">
        <v>3.06</v>
      </c>
      <c r="F12" t="s">
        <v>2</v>
      </c>
      <c r="N12" s="6"/>
      <c r="P12" s="11"/>
      <c r="Q12" s="15"/>
      <c r="R12" s="3"/>
      <c r="S12" s="3"/>
    </row>
    <row r="13" spans="1:31" ht="17" x14ac:dyDescent="0.25">
      <c r="A13" s="14" t="s">
        <v>25</v>
      </c>
      <c r="B13" s="18">
        <v>1</v>
      </c>
      <c r="C13" s="14" t="s">
        <v>26</v>
      </c>
      <c r="S13" t="s">
        <v>31</v>
      </c>
      <c r="T13">
        <f>SUM(T2:T12)</f>
        <v>5557.4191075244034</v>
      </c>
      <c r="Z13">
        <v>157.78908109752186</v>
      </c>
      <c r="AA13">
        <v>157.78908109752186</v>
      </c>
      <c r="AC13">
        <v>50.179691259906676</v>
      </c>
      <c r="AD13">
        <v>50.261436129893106</v>
      </c>
    </row>
    <row r="14" spans="1:31" ht="17" x14ac:dyDescent="0.25">
      <c r="A14" s="14" t="s">
        <v>27</v>
      </c>
      <c r="B14" s="20">
        <v>1</v>
      </c>
      <c r="C14" s="14" t="s">
        <v>26</v>
      </c>
    </row>
    <row r="15" spans="1:31" x14ac:dyDescent="0.2">
      <c r="A15" s="16" t="s">
        <v>28</v>
      </c>
      <c r="B15" s="18">
        <f>G65</f>
        <v>503.75245751600414</v>
      </c>
      <c r="C15" s="14" t="s">
        <v>3</v>
      </c>
    </row>
    <row r="16" spans="1:31" x14ac:dyDescent="0.2">
      <c r="A16" s="14"/>
      <c r="B16" s="34"/>
      <c r="C16" s="14"/>
    </row>
    <row r="17" spans="1:11" x14ac:dyDescent="0.2">
      <c r="A17" s="14" t="s">
        <v>41</v>
      </c>
      <c r="E17" s="14" t="s">
        <v>40</v>
      </c>
      <c r="F17" s="14"/>
      <c r="G17" s="14"/>
      <c r="H17" t="s">
        <v>52</v>
      </c>
    </row>
    <row r="18" spans="1:11" x14ac:dyDescent="0.2">
      <c r="A18" t="s">
        <v>4</v>
      </c>
      <c r="B18" s="21">
        <v>5.0000000000000001E-4</v>
      </c>
      <c r="E18" t="s">
        <v>4</v>
      </c>
      <c r="F18" s="21">
        <v>2.2652853360981015E-7</v>
      </c>
      <c r="G18" s="14"/>
      <c r="H18" s="17">
        <v>7806.0779814157504</v>
      </c>
      <c r="K18" s="10"/>
    </row>
    <row r="19" spans="1:11" x14ac:dyDescent="0.2">
      <c r="A19" t="s">
        <v>5</v>
      </c>
      <c r="B19" s="21">
        <v>5.0000000000000001E-4</v>
      </c>
      <c r="E19" t="s">
        <v>5</v>
      </c>
      <c r="F19" s="21">
        <v>4.5181317777818101E-6</v>
      </c>
      <c r="G19" s="14"/>
      <c r="H19" s="17">
        <v>7806.0779814157504</v>
      </c>
      <c r="K19" s="10"/>
    </row>
    <row r="20" spans="1:11" x14ac:dyDescent="0.2">
      <c r="A20" t="s">
        <v>6</v>
      </c>
      <c r="B20" s="18">
        <v>5</v>
      </c>
      <c r="E20" t="s">
        <v>6</v>
      </c>
      <c r="F20" s="18">
        <v>5.065379311566579E-3</v>
      </c>
      <c r="G20" s="14"/>
      <c r="H20" s="17">
        <v>7806.0779814157504</v>
      </c>
      <c r="K20" s="6"/>
    </row>
    <row r="21" spans="1:11" x14ac:dyDescent="0.2">
      <c r="A21" t="s">
        <v>7</v>
      </c>
      <c r="B21" s="18">
        <v>5</v>
      </c>
      <c r="E21" t="s">
        <v>7</v>
      </c>
      <c r="F21" s="18">
        <v>9.9977347146639026</v>
      </c>
      <c r="G21" s="14"/>
      <c r="H21" s="17">
        <v>7806.0779814157504</v>
      </c>
      <c r="K21" s="6"/>
    </row>
    <row r="22" spans="1:11" x14ac:dyDescent="0.2">
      <c r="A22" t="s">
        <v>8</v>
      </c>
      <c r="B22" s="21">
        <v>1000000</v>
      </c>
      <c r="E22" t="s">
        <v>8</v>
      </c>
      <c r="F22" s="21">
        <v>1999546.9429327804</v>
      </c>
      <c r="G22" s="14"/>
      <c r="H22" s="17">
        <v>7806.0779814157504</v>
      </c>
      <c r="K22" s="10"/>
    </row>
    <row r="23" spans="1:11" x14ac:dyDescent="0.2">
      <c r="A23" t="s">
        <v>9</v>
      </c>
      <c r="B23" s="18">
        <v>1.4310897565392238</v>
      </c>
      <c r="E23" t="s">
        <v>9</v>
      </c>
      <c r="F23" s="18">
        <v>2.8615311477504219</v>
      </c>
      <c r="G23" s="14"/>
      <c r="H23" s="17">
        <v>7806.0779814157504</v>
      </c>
      <c r="K23" s="6"/>
    </row>
    <row r="24" spans="1:11" x14ac:dyDescent="0.2">
      <c r="A24" t="s">
        <v>10</v>
      </c>
      <c r="B24" s="18">
        <v>4.1519152611498864</v>
      </c>
      <c r="E24" t="s">
        <v>10</v>
      </c>
      <c r="F24" s="18">
        <v>8.293536915338894</v>
      </c>
      <c r="G24" s="14"/>
      <c r="H24" s="17">
        <v>7806.0779814157504</v>
      </c>
      <c r="K24" s="6"/>
    </row>
    <row r="25" spans="1:11" x14ac:dyDescent="0.2">
      <c r="A25" t="s">
        <v>11</v>
      </c>
      <c r="B25" s="18">
        <v>30.847330701172414</v>
      </c>
      <c r="E25" t="s">
        <v>11</v>
      </c>
      <c r="F25" s="18">
        <v>61.680685801165801</v>
      </c>
      <c r="G25" s="14"/>
      <c r="H25" s="17">
        <v>7806.0779814157504</v>
      </c>
      <c r="K25" s="6"/>
    </row>
    <row r="26" spans="1:11" x14ac:dyDescent="0.2">
      <c r="A26" t="s">
        <v>12</v>
      </c>
      <c r="B26" s="18">
        <v>3.8765235218672238</v>
      </c>
      <c r="E26" t="s">
        <v>12</v>
      </c>
      <c r="F26" s="18">
        <v>1.7562863778250381E-3</v>
      </c>
      <c r="G26" s="14"/>
      <c r="H26" s="17">
        <v>7806.0779814157504</v>
      </c>
      <c r="K26" s="6"/>
    </row>
    <row r="27" spans="1:11" x14ac:dyDescent="0.2">
      <c r="A27" t="s">
        <v>13</v>
      </c>
      <c r="B27" s="18">
        <v>4.7465133538520394</v>
      </c>
      <c r="E27" t="s">
        <v>13</v>
      </c>
      <c r="F27" s="18">
        <v>4.5232344683710322</v>
      </c>
      <c r="G27" s="14"/>
      <c r="H27" s="17">
        <v>7806.0779814157504</v>
      </c>
      <c r="K27" s="6"/>
    </row>
    <row r="28" spans="1:11" x14ac:dyDescent="0.2">
      <c r="A28" t="s">
        <v>14</v>
      </c>
      <c r="B28" s="18">
        <v>0</v>
      </c>
      <c r="E28" t="s">
        <v>14</v>
      </c>
      <c r="F28" s="18">
        <v>0</v>
      </c>
      <c r="G28" s="14"/>
      <c r="H28" s="17">
        <v>7806.0779814157504</v>
      </c>
      <c r="K28" s="6"/>
    </row>
    <row r="29" spans="1:11" x14ac:dyDescent="0.2">
      <c r="A29" t="s">
        <v>15</v>
      </c>
      <c r="B29" s="18">
        <v>0</v>
      </c>
      <c r="E29" t="s">
        <v>15</v>
      </c>
      <c r="F29" s="18">
        <v>0</v>
      </c>
      <c r="G29" s="14"/>
      <c r="H29" s="17">
        <v>7806.0779814157504</v>
      </c>
      <c r="K29" s="6"/>
    </row>
    <row r="30" spans="1:11" x14ac:dyDescent="0.2">
      <c r="A30" t="s">
        <v>16</v>
      </c>
      <c r="B30" s="18">
        <v>1</v>
      </c>
      <c r="E30" t="s">
        <v>16</v>
      </c>
      <c r="F30" s="18">
        <v>4.5305706721962026E-4</v>
      </c>
      <c r="G30" s="14"/>
      <c r="H30" s="17">
        <v>7806.0779814157504</v>
      </c>
      <c r="K30" s="6"/>
    </row>
    <row r="31" spans="1:11" x14ac:dyDescent="0.2">
      <c r="A31" t="s">
        <v>17</v>
      </c>
      <c r="B31" s="18">
        <v>1</v>
      </c>
      <c r="E31" t="s">
        <v>17</v>
      </c>
      <c r="F31" s="18">
        <v>0.95386554604264628</v>
      </c>
      <c r="G31" s="14"/>
      <c r="H31" s="17">
        <v>7806.0779814157504</v>
      </c>
      <c r="K31" s="6"/>
    </row>
    <row r="32" spans="1:11" x14ac:dyDescent="0.2">
      <c r="A32" t="s">
        <v>59</v>
      </c>
      <c r="B32" s="18">
        <v>0.5</v>
      </c>
      <c r="E32" t="s">
        <v>59</v>
      </c>
      <c r="F32" s="18">
        <v>1.3381503271904384E-2</v>
      </c>
      <c r="H32" s="22">
        <v>7806.0779814157504</v>
      </c>
    </row>
    <row r="33" spans="1:23" x14ac:dyDescent="0.2">
      <c r="A33" t="s">
        <v>123</v>
      </c>
      <c r="B33">
        <v>0</v>
      </c>
      <c r="E33" t="s">
        <v>123</v>
      </c>
      <c r="F33">
        <v>0</v>
      </c>
      <c r="H33">
        <v>7806.0779814157504</v>
      </c>
    </row>
    <row r="34" spans="1:23" ht="16" thickBot="1" x14ac:dyDescent="0.25"/>
    <row r="35" spans="1:23" ht="16" thickBot="1" x14ac:dyDescent="0.25">
      <c r="A35" s="42"/>
      <c r="B35" s="54" t="s">
        <v>19</v>
      </c>
      <c r="C35" s="54" t="s">
        <v>20</v>
      </c>
      <c r="D35" s="54" t="s">
        <v>21</v>
      </c>
      <c r="E35" s="54" t="s">
        <v>34</v>
      </c>
      <c r="F35" s="54" t="s">
        <v>35</v>
      </c>
      <c r="G35" s="54" t="s">
        <v>36</v>
      </c>
      <c r="H35" s="54" t="s">
        <v>37</v>
      </c>
      <c r="I35" s="54" t="s">
        <v>38</v>
      </c>
      <c r="J35" s="54" t="s">
        <v>39</v>
      </c>
      <c r="K35" s="55" t="s">
        <v>46</v>
      </c>
      <c r="L35" s="55" t="s">
        <v>47</v>
      </c>
    </row>
    <row r="36" spans="1:23" ht="17" x14ac:dyDescent="0.25">
      <c r="A36" s="51" t="s">
        <v>49</v>
      </c>
      <c r="B36" s="56">
        <v>3.847</v>
      </c>
      <c r="C36" s="57">
        <v>2.0070000000000001</v>
      </c>
      <c r="D36" s="57">
        <v>1.325</v>
      </c>
      <c r="E36" s="57">
        <v>1.04</v>
      </c>
      <c r="F36" s="57">
        <v>0.98299999999999998</v>
      </c>
      <c r="G36" s="57">
        <v>0.95899999999999996</v>
      </c>
      <c r="H36" s="57">
        <v>0.86899999999999999</v>
      </c>
      <c r="I36" s="57"/>
      <c r="J36" s="57"/>
      <c r="K36" s="57"/>
      <c r="L36" s="58"/>
      <c r="W36" s="4"/>
    </row>
    <row r="37" spans="1:23" ht="17" x14ac:dyDescent="0.25">
      <c r="A37" s="51" t="s">
        <v>50</v>
      </c>
      <c r="B37" s="59">
        <v>750.89</v>
      </c>
      <c r="C37" s="67">
        <v>511.65</v>
      </c>
      <c r="D37" s="67">
        <v>385</v>
      </c>
      <c r="E37" s="40">
        <v>281.64999999999998</v>
      </c>
      <c r="F37" s="40">
        <v>252</v>
      </c>
      <c r="G37" s="40">
        <v>213</v>
      </c>
      <c r="H37" s="40">
        <v>193.71</v>
      </c>
      <c r="I37" s="40"/>
      <c r="J37" s="40"/>
      <c r="K37" s="40"/>
      <c r="L37" s="44"/>
      <c r="W37" s="4"/>
    </row>
    <row r="38" spans="1:23" x14ac:dyDescent="0.2">
      <c r="A38" s="51" t="s">
        <v>143</v>
      </c>
      <c r="B38">
        <v>707</v>
      </c>
      <c r="C38">
        <v>707</v>
      </c>
      <c r="D38">
        <v>707</v>
      </c>
      <c r="E38">
        <v>707</v>
      </c>
      <c r="F38">
        <v>707</v>
      </c>
      <c r="G38">
        <v>707</v>
      </c>
      <c r="H38">
        <v>707</v>
      </c>
      <c r="J38" s="40"/>
      <c r="K38" s="40"/>
      <c r="L38" s="44"/>
      <c r="W38" s="3"/>
    </row>
    <row r="39" spans="1:23" x14ac:dyDescent="0.2">
      <c r="A39" s="51" t="s">
        <v>30</v>
      </c>
      <c r="B39" s="59">
        <v>45.1</v>
      </c>
      <c r="C39" s="40">
        <v>45.1</v>
      </c>
      <c r="D39" s="40">
        <v>45.1</v>
      </c>
      <c r="E39" s="40">
        <v>45.1</v>
      </c>
      <c r="F39" s="40">
        <v>45.1</v>
      </c>
      <c r="G39" s="40">
        <v>45.1</v>
      </c>
      <c r="H39" s="40">
        <v>45.1</v>
      </c>
      <c r="I39" s="40"/>
      <c r="J39" s="40"/>
      <c r="K39" s="40"/>
      <c r="L39" s="44"/>
    </row>
    <row r="40" spans="1:23" x14ac:dyDescent="0.2">
      <c r="A40" s="51" t="s">
        <v>22</v>
      </c>
      <c r="B40" s="59">
        <v>10.38</v>
      </c>
      <c r="C40" s="40">
        <v>10.3</v>
      </c>
      <c r="D40" s="40">
        <v>9.9499999999999993</v>
      </c>
      <c r="E40" s="40">
        <v>10.07</v>
      </c>
      <c r="F40" s="40">
        <v>10</v>
      </c>
      <c r="G40" s="40">
        <v>10</v>
      </c>
      <c r="H40" s="40">
        <v>10</v>
      </c>
      <c r="I40" s="40"/>
      <c r="J40" s="40"/>
      <c r="K40" s="40"/>
      <c r="L40" s="44"/>
    </row>
    <row r="41" spans="1:23" x14ac:dyDescent="0.2">
      <c r="A41" s="51" t="s">
        <v>48</v>
      </c>
      <c r="B41" s="59">
        <v>2.68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/>
      <c r="J41" s="40"/>
      <c r="K41" s="40"/>
      <c r="L41" s="44"/>
    </row>
    <row r="42" spans="1:23" x14ac:dyDescent="0.2">
      <c r="A42" s="51" t="s">
        <v>58</v>
      </c>
      <c r="B42" s="59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/>
      <c r="J42" s="40"/>
      <c r="K42" s="40"/>
      <c r="L42" s="44"/>
    </row>
    <row r="43" spans="1:23" x14ac:dyDescent="0.2">
      <c r="A43" s="24" t="s">
        <v>128</v>
      </c>
      <c r="B43" s="59">
        <v>0</v>
      </c>
      <c r="C43" s="40"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/>
      <c r="J43" s="40"/>
      <c r="K43" s="40"/>
      <c r="L43" s="44"/>
    </row>
    <row r="44" spans="1:23" x14ac:dyDescent="0.2">
      <c r="A44" s="51" t="s">
        <v>88</v>
      </c>
      <c r="B44" s="59">
        <v>7.12</v>
      </c>
      <c r="C44" s="40">
        <v>9.5399999999999991</v>
      </c>
      <c r="D44" s="40">
        <v>10.3</v>
      </c>
      <c r="E44" s="40">
        <v>9.9499999999999993</v>
      </c>
      <c r="F44" s="40">
        <v>10.07</v>
      </c>
      <c r="G44" s="40">
        <v>6</v>
      </c>
      <c r="H44" s="40">
        <v>4</v>
      </c>
      <c r="I44" s="40"/>
      <c r="J44" s="40"/>
      <c r="K44" s="40"/>
      <c r="L44" s="44"/>
      <c r="T44" s="4"/>
    </row>
    <row r="45" spans="1:23" x14ac:dyDescent="0.2">
      <c r="A45" s="51" t="s">
        <v>119</v>
      </c>
      <c r="B45" s="64">
        <v>0</v>
      </c>
      <c r="C45" s="65">
        <v>0</v>
      </c>
      <c r="D45" s="65">
        <v>0</v>
      </c>
      <c r="E45" s="65">
        <v>0</v>
      </c>
      <c r="F45" s="65">
        <v>0</v>
      </c>
      <c r="G45" s="65">
        <v>0</v>
      </c>
      <c r="H45" s="65">
        <v>0</v>
      </c>
      <c r="I45" s="65"/>
      <c r="J45" s="65"/>
      <c r="K45" s="65"/>
      <c r="L45" s="66"/>
      <c r="T45" s="4"/>
    </row>
    <row r="46" spans="1:23" x14ac:dyDescent="0.2">
      <c r="A46" s="51" t="s">
        <v>117</v>
      </c>
      <c r="B46" s="60"/>
      <c r="C46" s="41"/>
      <c r="D46" s="41"/>
      <c r="E46" s="41"/>
      <c r="F46" s="41"/>
      <c r="G46" s="41"/>
      <c r="H46" s="41"/>
      <c r="I46" s="39"/>
      <c r="J46" s="39"/>
      <c r="K46" s="49"/>
      <c r="L46" s="61"/>
      <c r="T46" s="3"/>
    </row>
    <row r="47" spans="1:23" x14ac:dyDescent="0.2">
      <c r="A47" s="52" t="s">
        <v>118</v>
      </c>
      <c r="B47" s="62"/>
      <c r="C47" s="46"/>
      <c r="D47" s="46"/>
      <c r="E47" s="41"/>
      <c r="F47" s="41"/>
      <c r="G47" s="41"/>
      <c r="H47" s="41"/>
      <c r="I47" s="39"/>
      <c r="J47" s="39"/>
      <c r="K47" s="50"/>
      <c r="L47" s="61"/>
      <c r="T47" s="3"/>
    </row>
    <row r="48" spans="1:23" ht="16" thickBot="1" x14ac:dyDescent="0.25">
      <c r="A48" s="53" t="s">
        <v>103</v>
      </c>
      <c r="B48" s="68">
        <v>0.67</v>
      </c>
      <c r="C48" s="63">
        <v>0.67</v>
      </c>
      <c r="D48" s="63">
        <v>0.67</v>
      </c>
      <c r="E48" s="63">
        <v>0.67</v>
      </c>
      <c r="F48" s="63">
        <v>0.67</v>
      </c>
      <c r="G48" s="63">
        <v>0.67</v>
      </c>
      <c r="H48" s="63">
        <v>0.67</v>
      </c>
      <c r="I48" s="63"/>
      <c r="J48" s="63"/>
      <c r="K48" s="70"/>
      <c r="L48" s="69"/>
      <c r="T48" s="3"/>
    </row>
    <row r="49" spans="1:23" x14ac:dyDescent="0.2">
      <c r="A49" t="s">
        <v>104</v>
      </c>
      <c r="B49" s="8"/>
      <c r="C49" s="7"/>
      <c r="D49" s="7"/>
      <c r="E49" s="7"/>
      <c r="F49" s="7"/>
      <c r="G49" s="7"/>
      <c r="H49" s="7"/>
      <c r="J49" s="14" t="s">
        <v>45</v>
      </c>
      <c r="K49" s="14" t="s">
        <v>29</v>
      </c>
      <c r="L49" s="14" t="s">
        <v>42</v>
      </c>
      <c r="M49" s="14" t="s">
        <v>107</v>
      </c>
      <c r="N49" s="14" t="s">
        <v>108</v>
      </c>
      <c r="O49" s="14" t="s">
        <v>24</v>
      </c>
      <c r="P49" s="14" t="s">
        <v>100</v>
      </c>
      <c r="Q49" s="14" t="s">
        <v>101</v>
      </c>
      <c r="R49" s="14" t="s">
        <v>102</v>
      </c>
      <c r="S49" s="14" t="s">
        <v>103</v>
      </c>
      <c r="T49" s="14"/>
    </row>
    <row r="50" spans="1:23" x14ac:dyDescent="0.2">
      <c r="E50" s="7"/>
      <c r="F50" t="s">
        <v>60</v>
      </c>
      <c r="J50">
        <v>0</v>
      </c>
      <c r="K50" s="6">
        <v>0</v>
      </c>
      <c r="L50">
        <f>K50</f>
        <v>0</v>
      </c>
      <c r="M50" s="22">
        <f>B12</f>
        <v>11.69</v>
      </c>
      <c r="N50" s="35">
        <v>11.687933015005537</v>
      </c>
      <c r="O50" s="37">
        <f>((M50-N50))^2</f>
        <v>4.2724269673315609E-6</v>
      </c>
      <c r="P50" s="2">
        <v>1.5586460376216817</v>
      </c>
      <c r="Q50">
        <v>4.3788640852869429</v>
      </c>
      <c r="R50">
        <v>5.077059131616811</v>
      </c>
      <c r="S50">
        <v>0.67336376048010216</v>
      </c>
      <c r="T50" s="35"/>
    </row>
    <row r="51" spans="1:23" x14ac:dyDescent="0.2">
      <c r="A51" t="s">
        <v>70</v>
      </c>
      <c r="B51" t="s">
        <v>77</v>
      </c>
      <c r="C51" t="s">
        <v>81</v>
      </c>
      <c r="D51" t="s">
        <v>24</v>
      </c>
      <c r="E51" s="7"/>
      <c r="F51" t="s">
        <v>63</v>
      </c>
      <c r="G51" s="22">
        <v>3.9</v>
      </c>
      <c r="H51" t="s">
        <v>67</v>
      </c>
      <c r="J51">
        <v>1</v>
      </c>
      <c r="K51" s="6">
        <f>N2</f>
        <v>2.3328723907470703</v>
      </c>
      <c r="L51">
        <f>K51+L50</f>
        <v>2.3328723907470703</v>
      </c>
      <c r="M51" s="12">
        <f>B36</f>
        <v>3.847</v>
      </c>
      <c r="N51" s="36">
        <v>3.8192501371385781</v>
      </c>
      <c r="O51" s="37">
        <f t="shared" ref="O51:O57" si="3">((M51-N51))^2</f>
        <v>7.7005488882772198E-4</v>
      </c>
      <c r="P51" s="2">
        <v>7.8621606746387424E-3</v>
      </c>
      <c r="Q51">
        <v>1.479376037146678</v>
      </c>
      <c r="R51">
        <v>1.6586481788371592</v>
      </c>
      <c r="S51">
        <v>0.67336376048010216</v>
      </c>
      <c r="T51" s="35"/>
    </row>
    <row r="52" spans="1:23" x14ac:dyDescent="0.2">
      <c r="A52">
        <v>2</v>
      </c>
      <c r="B52">
        <v>0.08</v>
      </c>
      <c r="C52">
        <f>GAMMADIST(A52/2, $G$52, $G$53, FALSE)</f>
        <v>2.0264525111654098E-2</v>
      </c>
      <c r="D52">
        <f>IF(ISBLANK(B52), 0, (B52-C52)^2)</f>
        <v>3.5683269601362046E-3</v>
      </c>
      <c r="E52" s="7"/>
      <c r="F52" s="1" t="s">
        <v>76</v>
      </c>
      <c r="G52">
        <v>5.9160000000000004</v>
      </c>
      <c r="J52">
        <v>2</v>
      </c>
      <c r="K52" s="6">
        <f t="shared" ref="K52:K57" si="4">N3</f>
        <v>2.3328723907470703</v>
      </c>
      <c r="L52">
        <f t="shared" ref="L52:L57" si="5">L51+K52</f>
        <v>4.6657447814941406</v>
      </c>
      <c r="M52" s="12">
        <f>C36</f>
        <v>2.0070000000000001</v>
      </c>
      <c r="N52" s="36">
        <v>2.020159819244892</v>
      </c>
      <c r="O52" s="37">
        <f t="shared" si="3"/>
        <v>1.7318084255822579E-4</v>
      </c>
      <c r="P52" s="2">
        <v>8.2310841833022573E-4</v>
      </c>
      <c r="Q52">
        <v>0.60640169538315891</v>
      </c>
      <c r="R52">
        <v>0.73957125496330045</v>
      </c>
      <c r="S52">
        <v>0.67336376048010216</v>
      </c>
      <c r="T52" s="35"/>
      <c r="U52" s="4"/>
      <c r="V52" s="4"/>
      <c r="W52" s="4"/>
    </row>
    <row r="53" spans="1:23" x14ac:dyDescent="0.2">
      <c r="A53">
        <f>A52+2</f>
        <v>4</v>
      </c>
      <c r="B53">
        <v>0.23</v>
      </c>
      <c r="C53">
        <f>GAMMADIST((A53+A52)/2, $G$52, $G$53, FALSE)</f>
        <v>0.24742292326177415</v>
      </c>
      <c r="D53">
        <f t="shared" ref="D53:D77" si="6">IF(ISBLANK(B53), 0, (B53-C53)^2)</f>
        <v>3.0355825498567032E-4</v>
      </c>
      <c r="E53" s="9"/>
      <c r="F53" s="1" t="s">
        <v>75</v>
      </c>
      <c r="G53">
        <v>0.69</v>
      </c>
      <c r="J53">
        <v>3</v>
      </c>
      <c r="K53" s="6">
        <f t="shared" si="4"/>
        <v>2.3328723907470703</v>
      </c>
      <c r="L53">
        <f t="shared" si="5"/>
        <v>6.9986171722412109</v>
      </c>
      <c r="M53" s="12">
        <f>D36</f>
        <v>1.325</v>
      </c>
      <c r="N53" s="36">
        <v>1.3824151686836743</v>
      </c>
      <c r="O53" s="37">
        <f t="shared" si="3"/>
        <v>3.2965015949747802E-3</v>
      </c>
      <c r="P53" s="2">
        <v>1.1474041718991205E-4</v>
      </c>
      <c r="Q53">
        <v>0.30209283876023824</v>
      </c>
      <c r="R53">
        <v>0.40684382902614402</v>
      </c>
      <c r="S53">
        <v>0.67336376048010216</v>
      </c>
      <c r="T53" s="35"/>
      <c r="U53" s="4"/>
      <c r="V53" s="4"/>
      <c r="W53" s="4"/>
    </row>
    <row r="54" spans="1:23" ht="17" x14ac:dyDescent="0.25">
      <c r="A54">
        <f t="shared" ref="A54:A101" si="7">A53+2</f>
        <v>6</v>
      </c>
      <c r="B54">
        <v>0.09</v>
      </c>
      <c r="C54">
        <f t="shared" ref="C54:C77" si="8">GAMMADIST((A54+A53)/2, $G$52, $G$53, FALSE)</f>
        <v>0.16796693660947989</v>
      </c>
      <c r="D54">
        <f t="shared" si="6"/>
        <v>6.078843204266657E-3</v>
      </c>
      <c r="E54" s="7"/>
      <c r="F54" t="s">
        <v>85</v>
      </c>
      <c r="G54" s="23">
        <v>653600</v>
      </c>
      <c r="J54">
        <v>4</v>
      </c>
      <c r="K54" s="6">
        <f t="shared" si="4"/>
        <v>2.3328723907470703</v>
      </c>
      <c r="L54">
        <f t="shared" si="5"/>
        <v>9.3314895629882812</v>
      </c>
      <c r="M54" s="12">
        <f>E36</f>
        <v>1.04</v>
      </c>
      <c r="N54" s="36">
        <v>1.1033346096316914</v>
      </c>
      <c r="O54" s="37">
        <f t="shared" si="3"/>
        <v>4.0112727771987313E-3</v>
      </c>
      <c r="P54" s="2">
        <v>2.2315820790809186E-5</v>
      </c>
      <c r="Q54">
        <v>0.17561783513510698</v>
      </c>
      <c r="R54">
        <v>0.25433069819569132</v>
      </c>
      <c r="S54">
        <v>0.67336376048010216</v>
      </c>
      <c r="T54" s="35"/>
      <c r="U54" s="6"/>
      <c r="V54" s="6"/>
      <c r="W54" s="6"/>
    </row>
    <row r="55" spans="1:23" ht="17" x14ac:dyDescent="0.25">
      <c r="A55">
        <f t="shared" si="7"/>
        <v>8</v>
      </c>
      <c r="B55">
        <v>0.04</v>
      </c>
      <c r="C55">
        <f t="shared" si="8"/>
        <v>4.8391004776784451E-2</v>
      </c>
      <c r="D55">
        <f t="shared" si="6"/>
        <v>7.0408961164019449E-5</v>
      </c>
      <c r="E55" s="7"/>
      <c r="F55" t="s">
        <v>86</v>
      </c>
      <c r="G55" s="23">
        <v>71060</v>
      </c>
      <c r="J55">
        <v>5</v>
      </c>
      <c r="K55" s="6">
        <f t="shared" si="4"/>
        <v>2.3328723907470703</v>
      </c>
      <c r="L55">
        <f t="shared" si="5"/>
        <v>11.664361953735352</v>
      </c>
      <c r="M55" s="12">
        <f>F36</f>
        <v>0.98299999999999998</v>
      </c>
      <c r="N55" s="36">
        <v>0.95071607857510199</v>
      </c>
      <c r="O55" s="37">
        <f t="shared" si="3"/>
        <v>1.042251582568988E-3</v>
      </c>
      <c r="P55" s="2">
        <v>4.6541185855832906E-6</v>
      </c>
      <c r="Q55">
        <v>0.10951047097891146</v>
      </c>
      <c r="R55">
        <v>0.16783719299750269</v>
      </c>
      <c r="S55">
        <v>0.67336376048010216</v>
      </c>
      <c r="T55" s="35"/>
      <c r="U55" s="2"/>
      <c r="V55" s="2"/>
      <c r="W55" s="2"/>
    </row>
    <row r="56" spans="1:23" x14ac:dyDescent="0.2">
      <c r="A56">
        <f t="shared" si="7"/>
        <v>10</v>
      </c>
      <c r="B56">
        <v>0.02</v>
      </c>
      <c r="C56">
        <f t="shared" si="8"/>
        <v>9.1726382514810047E-3</v>
      </c>
      <c r="D56">
        <f t="shared" si="6"/>
        <v>1.1723176243329233E-4</v>
      </c>
      <c r="E56" s="7"/>
      <c r="F56" t="s">
        <v>66</v>
      </c>
      <c r="G56">
        <v>0.45500000000000002</v>
      </c>
      <c r="J56">
        <v>6</v>
      </c>
      <c r="K56" s="6">
        <f t="shared" si="4"/>
        <v>2.3328723907470703</v>
      </c>
      <c r="L56">
        <f t="shared" si="5"/>
        <v>13.997234344482422</v>
      </c>
      <c r="M56" s="12">
        <f>G36</f>
        <v>0.95899999999999996</v>
      </c>
      <c r="N56" s="36">
        <v>0.87558431514852364</v>
      </c>
      <c r="O56" s="37">
        <f t="shared" si="3"/>
        <v>6.9581764792408162E-3</v>
      </c>
      <c r="P56" s="2">
        <v>1.5271394840256219E-6</v>
      </c>
      <c r="Q56">
        <v>7.8038387984513249E-2</v>
      </c>
      <c r="R56">
        <v>0.12418063954442422</v>
      </c>
      <c r="S56">
        <v>0.67336376048010216</v>
      </c>
      <c r="T56" s="35"/>
    </row>
    <row r="57" spans="1:23" x14ac:dyDescent="0.2">
      <c r="A57">
        <f t="shared" si="7"/>
        <v>12</v>
      </c>
      <c r="B57">
        <v>1.4999999999999999E-2</v>
      </c>
      <c r="C57">
        <f t="shared" si="8"/>
        <v>1.355501320013122E-3</v>
      </c>
      <c r="D57">
        <f t="shared" si="6"/>
        <v>1.8617234422816363E-4</v>
      </c>
      <c r="F57" s="16" t="s">
        <v>28</v>
      </c>
      <c r="G57">
        <v>186.5</v>
      </c>
      <c r="J57">
        <v>7</v>
      </c>
      <c r="K57" s="6">
        <f t="shared" si="4"/>
        <v>2.3328723907470703</v>
      </c>
      <c r="L57">
        <f t="shared" si="5"/>
        <v>16.330106735229492</v>
      </c>
      <c r="M57" s="12">
        <f>H36</f>
        <v>0.86899999999999999</v>
      </c>
      <c r="N57" s="36">
        <v>0.83163399114254977</v>
      </c>
      <c r="O57" s="37">
        <f t="shared" si="3"/>
        <v>1.3962186179350489E-3</v>
      </c>
      <c r="P57" s="2">
        <v>6.4658290303703832E-7</v>
      </c>
      <c r="Q57">
        <v>6.0034467772491169E-2</v>
      </c>
      <c r="R57">
        <v>9.8235116307053366E-2</v>
      </c>
      <c r="S57">
        <v>0.67336376048010216</v>
      </c>
      <c r="T57" s="35"/>
    </row>
    <row r="58" spans="1:23" x14ac:dyDescent="0.2">
      <c r="A58">
        <f t="shared" si="7"/>
        <v>14</v>
      </c>
      <c r="B58">
        <v>5.0000000000000001E-3</v>
      </c>
      <c r="C58">
        <f t="shared" si="8"/>
        <v>1.6979873065593444E-4</v>
      </c>
      <c r="D58">
        <f t="shared" si="6"/>
        <v>2.3330844302373019E-5</v>
      </c>
      <c r="F58" t="s">
        <v>106</v>
      </c>
      <c r="I58" t="s">
        <v>114</v>
      </c>
      <c r="K58" s="6"/>
      <c r="M58" s="12"/>
      <c r="N58" s="36"/>
      <c r="O58" s="37"/>
      <c r="P58" s="2"/>
      <c r="T58" s="35"/>
    </row>
    <row r="59" spans="1:23" x14ac:dyDescent="0.2">
      <c r="A59">
        <f t="shared" si="7"/>
        <v>16</v>
      </c>
      <c r="B59">
        <v>0.01</v>
      </c>
      <c r="C59">
        <f t="shared" si="8"/>
        <v>1.890727599049674E-5</v>
      </c>
      <c r="D59">
        <f t="shared" si="6"/>
        <v>9.9622211965275453E-5</v>
      </c>
      <c r="F59" t="s">
        <v>63</v>
      </c>
      <c r="G59" s="22">
        <v>3.8536865191191119</v>
      </c>
      <c r="H59" t="s">
        <v>67</v>
      </c>
      <c r="I59">
        <v>1.783595859150933E-2</v>
      </c>
      <c r="K59" s="6"/>
      <c r="M59" s="12"/>
      <c r="N59" s="36"/>
      <c r="O59" s="37"/>
      <c r="P59" s="2"/>
      <c r="T59" s="35"/>
    </row>
    <row r="60" spans="1:23" x14ac:dyDescent="0.2">
      <c r="A60">
        <f t="shared" si="7"/>
        <v>18</v>
      </c>
      <c r="B60">
        <v>0.01</v>
      </c>
      <c r="C60">
        <f t="shared" si="8"/>
        <v>1.9276431813544717E-6</v>
      </c>
      <c r="D60">
        <f t="shared" si="6"/>
        <v>9.9961450852181151E-5</v>
      </c>
      <c r="F60" s="1" t="s">
        <v>76</v>
      </c>
      <c r="G60">
        <v>4.0117135723337878</v>
      </c>
      <c r="I60">
        <v>1.7813347422778222E-2</v>
      </c>
      <c r="K60" s="6"/>
      <c r="M60" s="12"/>
      <c r="N60" s="36"/>
      <c r="O60" s="37"/>
      <c r="P60" s="2"/>
      <c r="T60" s="35"/>
    </row>
    <row r="61" spans="1:23" x14ac:dyDescent="0.2">
      <c r="A61">
        <f t="shared" si="7"/>
        <v>20</v>
      </c>
      <c r="B61">
        <v>0.01</v>
      </c>
      <c r="C61">
        <f t="shared" si="8"/>
        <v>1.8351343566464873E-7</v>
      </c>
      <c r="D61">
        <f t="shared" si="6"/>
        <v>9.9996329764963894E-5</v>
      </c>
      <c r="F61" s="1" t="s">
        <v>75</v>
      </c>
      <c r="G61">
        <v>0.79339797052419581</v>
      </c>
      <c r="I61">
        <v>1.7805887795956779E-2</v>
      </c>
      <c r="K61" s="6"/>
      <c r="M61" s="12"/>
      <c r="N61" s="36"/>
      <c r="O61" s="37"/>
      <c r="P61" s="2"/>
      <c r="T61" s="35"/>
    </row>
    <row r="62" spans="1:23" ht="17" x14ac:dyDescent="0.25">
      <c r="A62">
        <f t="shared" si="7"/>
        <v>22</v>
      </c>
      <c r="B62">
        <v>5.0000000000000001E-3</v>
      </c>
      <c r="C62">
        <f t="shared" si="8"/>
        <v>1.6539433543282445E-8</v>
      </c>
      <c r="D62">
        <f t="shared" si="6"/>
        <v>2.4999834605938121E-5</v>
      </c>
      <c r="F62" t="s">
        <v>85</v>
      </c>
      <c r="G62" s="23">
        <v>64190.92007400997</v>
      </c>
      <c r="I62">
        <v>1.7786933524953565E-2</v>
      </c>
      <c r="O62" s="37"/>
      <c r="T62" s="4"/>
      <c r="W62" s="4"/>
    </row>
    <row r="63" spans="1:23" ht="17" x14ac:dyDescent="0.25">
      <c r="A63">
        <f t="shared" si="7"/>
        <v>24</v>
      </c>
      <c r="B63">
        <v>5.0000000000000001E-3</v>
      </c>
      <c r="C63">
        <f t="shared" si="8"/>
        <v>1.4253451263771736E-9</v>
      </c>
      <c r="D63">
        <f t="shared" si="6"/>
        <v>2.4999985746550767E-5</v>
      </c>
      <c r="F63" t="s">
        <v>86</v>
      </c>
      <c r="G63" s="23">
        <v>10792.25901171998</v>
      </c>
      <c r="I63">
        <v>1.7754434914638087E-2</v>
      </c>
      <c r="K63" s="4"/>
      <c r="N63" s="4"/>
      <c r="T63" s="4"/>
      <c r="W63" s="4"/>
    </row>
    <row r="64" spans="1:23" x14ac:dyDescent="0.2">
      <c r="A64">
        <f t="shared" si="7"/>
        <v>26</v>
      </c>
      <c r="B64">
        <v>0.01</v>
      </c>
      <c r="C64">
        <f t="shared" si="8"/>
        <v>1.1833534755264858E-10</v>
      </c>
      <c r="D64">
        <f t="shared" si="6"/>
        <v>9.999999763329309E-5</v>
      </c>
      <c r="F64" t="s">
        <v>66</v>
      </c>
      <c r="G64">
        <v>1.6514631653530967E-2</v>
      </c>
      <c r="I64">
        <v>1.7731125728935669E-2</v>
      </c>
      <c r="K64" s="4"/>
      <c r="N64" s="3"/>
      <c r="T64" s="4"/>
      <c r="W64" s="3"/>
    </row>
    <row r="65" spans="1:23" x14ac:dyDescent="0.2">
      <c r="A65">
        <f t="shared" si="7"/>
        <v>28</v>
      </c>
      <c r="C65">
        <f t="shared" si="8"/>
        <v>9.5192139376691314E-12</v>
      </c>
      <c r="D65">
        <f t="shared" si="6"/>
        <v>0</v>
      </c>
      <c r="F65" s="16" t="s">
        <v>28</v>
      </c>
      <c r="G65">
        <v>503.75245751600414</v>
      </c>
      <c r="I65">
        <v>1.781366384534645E-2</v>
      </c>
      <c r="K65" s="5"/>
      <c r="T65" s="5"/>
    </row>
    <row r="66" spans="1:23" x14ac:dyDescent="0.2">
      <c r="A66">
        <f t="shared" si="7"/>
        <v>30</v>
      </c>
      <c r="C66">
        <f t="shared" si="8"/>
        <v>7.4531660190240449E-13</v>
      </c>
      <c r="D66">
        <f t="shared" si="6"/>
        <v>0</v>
      </c>
      <c r="K66" s="4"/>
      <c r="T66" s="4"/>
    </row>
    <row r="67" spans="1:23" x14ac:dyDescent="0.2">
      <c r="A67">
        <f t="shared" si="7"/>
        <v>32</v>
      </c>
      <c r="C67">
        <f t="shared" si="8"/>
        <v>5.7003528504146078E-14</v>
      </c>
      <c r="D67">
        <f t="shared" si="6"/>
        <v>0</v>
      </c>
      <c r="K67" s="4"/>
      <c r="T67" s="4"/>
    </row>
    <row r="68" spans="1:23" x14ac:dyDescent="0.2">
      <c r="A68">
        <f t="shared" si="7"/>
        <v>34</v>
      </c>
      <c r="C68">
        <f t="shared" si="8"/>
        <v>4.2712756076527154E-15</v>
      </c>
      <c r="D68">
        <f t="shared" si="6"/>
        <v>0</v>
      </c>
      <c r="J68" s="1"/>
      <c r="K68" s="4"/>
      <c r="S68" s="1"/>
      <c r="T68" s="4"/>
    </row>
    <row r="69" spans="1:23" x14ac:dyDescent="0.2">
      <c r="A69">
        <f t="shared" si="7"/>
        <v>36</v>
      </c>
      <c r="C69">
        <f t="shared" si="8"/>
        <v>3.1430912376996729E-16</v>
      </c>
      <c r="D69">
        <f t="shared" si="6"/>
        <v>0</v>
      </c>
      <c r="K69" s="4"/>
      <c r="T69" s="4"/>
    </row>
    <row r="70" spans="1:23" x14ac:dyDescent="0.2">
      <c r="A70">
        <f t="shared" si="7"/>
        <v>38</v>
      </c>
      <c r="C70">
        <f t="shared" si="8"/>
        <v>2.2760068886000476E-17</v>
      </c>
      <c r="D70">
        <f t="shared" si="6"/>
        <v>0</v>
      </c>
      <c r="E70" s="2"/>
      <c r="F70" s="2"/>
      <c r="K70" s="4"/>
      <c r="T70" s="4"/>
    </row>
    <row r="71" spans="1:23" x14ac:dyDescent="0.2">
      <c r="A71">
        <f t="shared" si="7"/>
        <v>40</v>
      </c>
      <c r="C71">
        <f t="shared" si="8"/>
        <v>1.6245867976136863E-18</v>
      </c>
      <c r="D71">
        <f t="shared" si="6"/>
        <v>0</v>
      </c>
      <c r="K71" s="3"/>
      <c r="T71" s="3"/>
    </row>
    <row r="72" spans="1:23" x14ac:dyDescent="0.2">
      <c r="A72">
        <f t="shared" si="7"/>
        <v>42</v>
      </c>
      <c r="C72">
        <f t="shared" si="8"/>
        <v>1.1446960015870451E-19</v>
      </c>
      <c r="D72">
        <f t="shared" si="6"/>
        <v>0</v>
      </c>
      <c r="G72" s="23"/>
    </row>
    <row r="73" spans="1:23" x14ac:dyDescent="0.2">
      <c r="A73">
        <f t="shared" si="7"/>
        <v>44</v>
      </c>
      <c r="B73">
        <v>5.0000000000000001E-3</v>
      </c>
      <c r="C73">
        <f t="shared" si="8"/>
        <v>7.9717022417014189E-21</v>
      </c>
      <c r="D73">
        <f t="shared" si="6"/>
        <v>2.5000000000000001E-5</v>
      </c>
      <c r="G73" s="23"/>
    </row>
    <row r="74" spans="1:23" x14ac:dyDescent="0.2">
      <c r="A74">
        <f t="shared" si="7"/>
        <v>46</v>
      </c>
      <c r="B74">
        <v>5.0000000000000001E-3</v>
      </c>
      <c r="C74">
        <f t="shared" si="8"/>
        <v>5.4927302788780877E-22</v>
      </c>
      <c r="D74">
        <f t="shared" si="6"/>
        <v>2.5000000000000001E-5</v>
      </c>
    </row>
    <row r="75" spans="1:23" x14ac:dyDescent="0.2">
      <c r="A75">
        <f t="shared" si="7"/>
        <v>48</v>
      </c>
      <c r="C75">
        <f t="shared" si="8"/>
        <v>3.7480384724149362E-23</v>
      </c>
      <c r="D75">
        <f t="shared" si="6"/>
        <v>0</v>
      </c>
      <c r="E75" s="3"/>
      <c r="K75" s="4"/>
      <c r="L75" s="4"/>
      <c r="M75" s="4"/>
      <c r="N75" s="4"/>
      <c r="O75" s="4"/>
      <c r="T75" s="4"/>
      <c r="U75" s="4"/>
      <c r="V75" s="4"/>
      <c r="W75" s="4"/>
    </row>
    <row r="76" spans="1:23" x14ac:dyDescent="0.2">
      <c r="A76">
        <f t="shared" si="7"/>
        <v>50</v>
      </c>
      <c r="B76">
        <v>2E-3</v>
      </c>
      <c r="C76">
        <f t="shared" si="8"/>
        <v>2.5348386167124481E-24</v>
      </c>
      <c r="D76">
        <f t="shared" si="6"/>
        <v>3.9999999999999998E-6</v>
      </c>
      <c r="K76" s="4"/>
      <c r="L76" s="4"/>
      <c r="M76" s="4"/>
      <c r="N76" s="4"/>
      <c r="O76" s="4"/>
      <c r="T76" s="4"/>
      <c r="U76" s="4"/>
      <c r="V76" s="4"/>
      <c r="W76" s="4"/>
    </row>
    <row r="77" spans="1:23" x14ac:dyDescent="0.2">
      <c r="A77">
        <f t="shared" si="7"/>
        <v>52</v>
      </c>
      <c r="B77">
        <v>2E-3</v>
      </c>
      <c r="C77">
        <f t="shared" si="8"/>
        <v>1.700343970677252E-25</v>
      </c>
      <c r="D77">
        <f t="shared" si="6"/>
        <v>3.9999999999999998E-6</v>
      </c>
    </row>
    <row r="78" spans="1:23" x14ac:dyDescent="0.2">
      <c r="A78">
        <f t="shared" si="7"/>
        <v>54</v>
      </c>
      <c r="B78">
        <v>2E-3</v>
      </c>
      <c r="C78">
        <f t="shared" ref="C78:C101" si="9">GAMMADIST((A78+A77)/2, $G$52, $G$53, FALSE)</f>
        <v>1.1319764449238873E-26</v>
      </c>
      <c r="D78">
        <f t="shared" ref="D78:D101" si="10">IF(ISBLANK(B78), 0, (B78-C78)^2)</f>
        <v>3.9999999999999998E-6</v>
      </c>
      <c r="K78" s="2"/>
      <c r="L78" s="2"/>
      <c r="M78" s="2"/>
      <c r="N78" s="2"/>
      <c r="O78" s="2"/>
      <c r="T78" s="2"/>
      <c r="U78" s="2"/>
      <c r="V78" s="2"/>
      <c r="W78" s="2"/>
    </row>
    <row r="79" spans="1:23" x14ac:dyDescent="0.2">
      <c r="A79">
        <f t="shared" si="7"/>
        <v>56</v>
      </c>
      <c r="B79">
        <v>2E-3</v>
      </c>
      <c r="C79">
        <f t="shared" si="9"/>
        <v>7.4833423028936751E-28</v>
      </c>
      <c r="D79">
        <f t="shared" si="10"/>
        <v>3.9999999999999998E-6</v>
      </c>
      <c r="H79" t="s">
        <v>87</v>
      </c>
    </row>
    <row r="80" spans="1:23" x14ac:dyDescent="0.2">
      <c r="A80">
        <f t="shared" si="7"/>
        <v>58</v>
      </c>
      <c r="B80">
        <v>2E-3</v>
      </c>
      <c r="C80">
        <f t="shared" si="9"/>
        <v>4.9150601253338784E-29</v>
      </c>
      <c r="D80">
        <f t="shared" si="10"/>
        <v>3.9999999999999998E-6</v>
      </c>
    </row>
    <row r="81" spans="1:23" x14ac:dyDescent="0.2">
      <c r="A81">
        <f t="shared" si="7"/>
        <v>60</v>
      </c>
      <c r="B81">
        <v>2E-3</v>
      </c>
      <c r="C81">
        <f t="shared" si="9"/>
        <v>3.2087209393543148E-30</v>
      </c>
      <c r="D81">
        <f t="shared" si="10"/>
        <v>3.9999999999999998E-6</v>
      </c>
    </row>
    <row r="82" spans="1:23" x14ac:dyDescent="0.2">
      <c r="A82">
        <f t="shared" si="7"/>
        <v>62</v>
      </c>
      <c r="B82">
        <v>2E-3</v>
      </c>
      <c r="C82">
        <f t="shared" si="9"/>
        <v>2.0829571835164812E-31</v>
      </c>
      <c r="D82">
        <f t="shared" si="10"/>
        <v>3.9999999999999998E-6</v>
      </c>
    </row>
    <row r="83" spans="1:23" x14ac:dyDescent="0.2">
      <c r="A83">
        <f t="shared" si="7"/>
        <v>64</v>
      </c>
      <c r="B83">
        <v>2E-3</v>
      </c>
      <c r="C83">
        <f t="shared" si="9"/>
        <v>1.3450314206887159E-32</v>
      </c>
      <c r="D83">
        <f t="shared" si="10"/>
        <v>3.9999999999999998E-6</v>
      </c>
    </row>
    <row r="84" spans="1:23" x14ac:dyDescent="0.2">
      <c r="A84">
        <f t="shared" si="7"/>
        <v>66</v>
      </c>
      <c r="B84">
        <v>2E-3</v>
      </c>
      <c r="C84">
        <f t="shared" si="9"/>
        <v>8.6423482933991775E-34</v>
      </c>
      <c r="D84">
        <f t="shared" si="10"/>
        <v>3.9999999999999998E-6</v>
      </c>
    </row>
    <row r="85" spans="1:23" x14ac:dyDescent="0.2">
      <c r="A85">
        <f t="shared" si="7"/>
        <v>68</v>
      </c>
      <c r="B85">
        <v>2E-3</v>
      </c>
      <c r="C85">
        <f t="shared" si="9"/>
        <v>5.5272466905964641E-35</v>
      </c>
      <c r="D85">
        <f t="shared" si="10"/>
        <v>3.9999999999999998E-6</v>
      </c>
      <c r="K85" s="4"/>
      <c r="N85" s="4"/>
      <c r="T85" s="4"/>
      <c r="W85" s="4"/>
    </row>
    <row r="86" spans="1:23" x14ac:dyDescent="0.2">
      <c r="A86">
        <f t="shared" si="7"/>
        <v>70</v>
      </c>
      <c r="B86">
        <v>2E-3</v>
      </c>
      <c r="C86">
        <f t="shared" si="9"/>
        <v>3.5195137244726487E-36</v>
      </c>
      <c r="D86">
        <f t="shared" si="10"/>
        <v>3.9999999999999998E-6</v>
      </c>
      <c r="K86" s="4"/>
      <c r="N86" s="4"/>
      <c r="T86" s="4"/>
      <c r="W86" s="4"/>
    </row>
    <row r="87" spans="1:23" x14ac:dyDescent="0.2">
      <c r="A87">
        <f t="shared" si="7"/>
        <v>72</v>
      </c>
      <c r="B87">
        <v>2E-3</v>
      </c>
      <c r="C87">
        <f t="shared" si="9"/>
        <v>2.2318345175806993E-37</v>
      </c>
      <c r="D87">
        <f t="shared" si="10"/>
        <v>3.9999999999999998E-6</v>
      </c>
      <c r="K87" s="5"/>
      <c r="N87" s="3"/>
      <c r="T87" s="5"/>
      <c r="W87" s="3"/>
    </row>
    <row r="88" spans="1:23" x14ac:dyDescent="0.2">
      <c r="A88">
        <f t="shared" si="7"/>
        <v>74</v>
      </c>
      <c r="B88">
        <v>2E-3</v>
      </c>
      <c r="C88">
        <f t="shared" si="9"/>
        <v>1.4097644115295181E-38</v>
      </c>
      <c r="D88">
        <f t="shared" si="10"/>
        <v>3.9999999999999998E-6</v>
      </c>
      <c r="K88" s="5"/>
      <c r="T88" s="5"/>
    </row>
    <row r="89" spans="1:23" x14ac:dyDescent="0.2">
      <c r="A89">
        <f t="shared" si="7"/>
        <v>76</v>
      </c>
      <c r="B89">
        <v>2E-3</v>
      </c>
      <c r="C89">
        <f t="shared" si="9"/>
        <v>8.8721310507857257E-40</v>
      </c>
      <c r="D89">
        <f t="shared" si="10"/>
        <v>3.9999999999999998E-6</v>
      </c>
      <c r="E89" s="2"/>
      <c r="F89" s="2"/>
      <c r="K89" s="4"/>
      <c r="T89" s="4"/>
    </row>
    <row r="90" spans="1:23" x14ac:dyDescent="0.2">
      <c r="A90">
        <f t="shared" si="7"/>
        <v>78</v>
      </c>
      <c r="B90">
        <v>2E-3</v>
      </c>
      <c r="C90">
        <f t="shared" si="9"/>
        <v>5.5640445299895046E-41</v>
      </c>
      <c r="D90">
        <f t="shared" si="10"/>
        <v>3.9999999999999998E-6</v>
      </c>
      <c r="K90" s="4"/>
      <c r="T90" s="4"/>
    </row>
    <row r="91" spans="1:23" x14ac:dyDescent="0.2">
      <c r="A91">
        <f t="shared" si="7"/>
        <v>80</v>
      </c>
      <c r="B91">
        <v>2E-3</v>
      </c>
      <c r="C91">
        <f t="shared" si="9"/>
        <v>3.4778623385519364E-42</v>
      </c>
      <c r="D91">
        <f t="shared" si="10"/>
        <v>3.9999999999999998E-6</v>
      </c>
      <c r="J91" s="1"/>
      <c r="K91" s="4"/>
      <c r="S91" s="1"/>
      <c r="T91" s="4"/>
    </row>
    <row r="92" spans="1:23" x14ac:dyDescent="0.2">
      <c r="A92">
        <f t="shared" si="7"/>
        <v>82</v>
      </c>
      <c r="B92">
        <v>2E-3</v>
      </c>
      <c r="C92">
        <f t="shared" si="9"/>
        <v>2.1670322494426873E-43</v>
      </c>
      <c r="D92">
        <f t="shared" si="10"/>
        <v>3.9999999999999998E-6</v>
      </c>
      <c r="K92" s="4"/>
      <c r="T92" s="4"/>
    </row>
    <row r="93" spans="1:23" x14ac:dyDescent="0.2">
      <c r="A93">
        <f t="shared" si="7"/>
        <v>84</v>
      </c>
      <c r="B93">
        <v>2E-3</v>
      </c>
      <c r="C93">
        <f t="shared" si="9"/>
        <v>1.3462209306546143E-44</v>
      </c>
      <c r="D93">
        <f t="shared" si="10"/>
        <v>3.9999999999999998E-6</v>
      </c>
      <c r="K93" s="4"/>
      <c r="T93" s="4"/>
    </row>
    <row r="94" spans="1:23" x14ac:dyDescent="0.2">
      <c r="A94">
        <f t="shared" si="7"/>
        <v>86</v>
      </c>
      <c r="B94">
        <v>2E-3</v>
      </c>
      <c r="C94">
        <f t="shared" si="9"/>
        <v>8.3392556914252251E-46</v>
      </c>
      <c r="D94">
        <f t="shared" si="10"/>
        <v>3.9999999999999998E-6</v>
      </c>
      <c r="E94" s="3"/>
      <c r="K94" s="3"/>
      <c r="T94" s="3"/>
    </row>
    <row r="95" spans="1:23" x14ac:dyDescent="0.2">
      <c r="A95">
        <f t="shared" si="7"/>
        <v>88</v>
      </c>
      <c r="B95">
        <v>2E-3</v>
      </c>
      <c r="C95">
        <f t="shared" si="9"/>
        <v>5.1517634292464677E-47</v>
      </c>
      <c r="D95">
        <f t="shared" si="10"/>
        <v>3.9999999999999998E-6</v>
      </c>
    </row>
    <row r="96" spans="1:23" x14ac:dyDescent="0.2">
      <c r="A96">
        <f t="shared" si="7"/>
        <v>90</v>
      </c>
      <c r="B96">
        <v>2E-3</v>
      </c>
      <c r="C96">
        <f t="shared" si="9"/>
        <v>3.1743583586738319E-48</v>
      </c>
      <c r="D96">
        <f t="shared" si="10"/>
        <v>3.9999999999999998E-6</v>
      </c>
    </row>
    <row r="97" spans="1:23" x14ac:dyDescent="0.2">
      <c r="A97">
        <f t="shared" si="7"/>
        <v>92</v>
      </c>
      <c r="B97">
        <v>2E-3</v>
      </c>
      <c r="C97">
        <f t="shared" si="9"/>
        <v>1.9510912451634638E-49</v>
      </c>
      <c r="D97">
        <f t="shared" si="10"/>
        <v>3.9999999999999998E-6</v>
      </c>
    </row>
    <row r="98" spans="1:23" x14ac:dyDescent="0.2">
      <c r="A98">
        <f t="shared" si="7"/>
        <v>94</v>
      </c>
      <c r="B98">
        <v>2E-3</v>
      </c>
      <c r="C98">
        <f t="shared" si="9"/>
        <v>1.1963759811261077E-50</v>
      </c>
      <c r="D98">
        <f t="shared" si="10"/>
        <v>3.9999999999999998E-6</v>
      </c>
      <c r="K98" s="4"/>
      <c r="L98" s="4"/>
      <c r="M98" s="4"/>
      <c r="N98" s="4"/>
      <c r="O98" s="4"/>
      <c r="T98" s="4"/>
      <c r="U98" s="4"/>
      <c r="V98" s="4"/>
      <c r="W98" s="4"/>
    </row>
    <row r="99" spans="1:23" x14ac:dyDescent="0.2">
      <c r="A99">
        <f t="shared" si="7"/>
        <v>96</v>
      </c>
      <c r="B99">
        <v>2E-3</v>
      </c>
      <c r="C99">
        <f t="shared" si="9"/>
        <v>7.3193104574430774E-52</v>
      </c>
      <c r="D99">
        <f t="shared" si="10"/>
        <v>3.9999999999999998E-6</v>
      </c>
      <c r="K99" s="4"/>
      <c r="L99" s="4"/>
      <c r="M99" s="4"/>
      <c r="N99" s="4"/>
      <c r="O99" s="4"/>
      <c r="T99" s="4"/>
      <c r="U99" s="4"/>
      <c r="V99" s="4"/>
      <c r="W99" s="4"/>
    </row>
    <row r="100" spans="1:23" x14ac:dyDescent="0.2">
      <c r="A100">
        <f t="shared" si="7"/>
        <v>98</v>
      </c>
      <c r="B100">
        <v>2E-3</v>
      </c>
      <c r="C100">
        <f t="shared" si="9"/>
        <v>4.4681339620178233E-53</v>
      </c>
      <c r="D100">
        <f t="shared" si="10"/>
        <v>3.9999999999999998E-6</v>
      </c>
    </row>
    <row r="101" spans="1:23" x14ac:dyDescent="0.2">
      <c r="A101">
        <f t="shared" si="7"/>
        <v>100</v>
      </c>
      <c r="B101">
        <v>2E-3</v>
      </c>
      <c r="C101">
        <f t="shared" si="9"/>
        <v>2.7219138238516704E-54</v>
      </c>
      <c r="D101">
        <f t="shared" si="10"/>
        <v>3.9999999999999998E-6</v>
      </c>
      <c r="K101" s="2"/>
      <c r="L101" s="2"/>
      <c r="M101" s="2"/>
      <c r="N101" s="2"/>
      <c r="O101" s="2"/>
      <c r="T101" s="2"/>
      <c r="U101" s="2"/>
      <c r="V101" s="2"/>
      <c r="W101" s="2"/>
    </row>
    <row r="104" spans="1:23" x14ac:dyDescent="0.2">
      <c r="A104" t="s">
        <v>109</v>
      </c>
    </row>
    <row r="105" spans="1:23" x14ac:dyDescent="0.2">
      <c r="A105" t="s">
        <v>70</v>
      </c>
      <c r="B105" t="s">
        <v>81</v>
      </c>
    </row>
    <row r="106" spans="1:23" x14ac:dyDescent="0.2">
      <c r="A106">
        <v>2</v>
      </c>
      <c r="B106">
        <f>GAMMADIST(A106/2, $G$60, $G$61, FALSE)</f>
        <v>0.11783595154516498</v>
      </c>
    </row>
    <row r="107" spans="1:23" x14ac:dyDescent="0.2">
      <c r="A107">
        <f>A106+2</f>
        <v>4</v>
      </c>
      <c r="B107">
        <f>GAMMADIST((A107+A106)/2, $G$60, $G$61, FALSE)</f>
        <v>0.2590952971673619</v>
      </c>
    </row>
    <row r="108" spans="1:23" x14ac:dyDescent="0.2">
      <c r="A108">
        <f t="shared" ref="A108:A130" si="11">A107+2</f>
        <v>6</v>
      </c>
      <c r="B108">
        <f t="shared" ref="B108:B131" si="12">GAMMADIST((A108+A107)/2, $G$60, $G$61, FALSE)</f>
        <v>9.7013814040177601E-2</v>
      </c>
      <c r="E108" s="2"/>
      <c r="F108" s="2"/>
    </row>
    <row r="109" spans="1:23" x14ac:dyDescent="0.2">
      <c r="A109">
        <f t="shared" si="11"/>
        <v>8</v>
      </c>
      <c r="B109">
        <f t="shared" si="12"/>
        <v>2.1486146166553338E-2</v>
      </c>
    </row>
    <row r="110" spans="1:23" x14ac:dyDescent="0.2">
      <c r="A110">
        <f t="shared" si="11"/>
        <v>10</v>
      </c>
      <c r="B110">
        <f t="shared" si="12"/>
        <v>3.6821337881292071E-3</v>
      </c>
      <c r="K110" s="4"/>
    </row>
    <row r="111" spans="1:23" x14ac:dyDescent="0.2">
      <c r="A111">
        <f t="shared" si="11"/>
        <v>12</v>
      </c>
      <c r="B111">
        <f t="shared" si="12"/>
        <v>5.4175145933149508E-4</v>
      </c>
      <c r="K111" s="3"/>
      <c r="N111" s="3"/>
    </row>
    <row r="112" spans="1:23" x14ac:dyDescent="0.2">
      <c r="A112">
        <f t="shared" si="11"/>
        <v>14</v>
      </c>
      <c r="B112">
        <f t="shared" si="12"/>
        <v>7.2032929486694119E-5</v>
      </c>
      <c r="K112" s="3"/>
    </row>
    <row r="113" spans="1:15" x14ac:dyDescent="0.2">
      <c r="A113">
        <f t="shared" si="11"/>
        <v>16</v>
      </c>
      <c r="B113">
        <f t="shared" si="12"/>
        <v>8.9111125735402451E-6</v>
      </c>
      <c r="E113" s="3"/>
    </row>
    <row r="114" spans="1:15" x14ac:dyDescent="0.2">
      <c r="A114">
        <f t="shared" si="11"/>
        <v>18</v>
      </c>
      <c r="B114">
        <f t="shared" si="12"/>
        <v>1.0444094627221883E-6</v>
      </c>
    </row>
    <row r="115" spans="1:15" x14ac:dyDescent="0.2">
      <c r="A115">
        <f t="shared" si="11"/>
        <v>20</v>
      </c>
      <c r="B115">
        <f t="shared" si="12"/>
        <v>1.1737613792654594E-7</v>
      </c>
      <c r="J115" s="1"/>
    </row>
    <row r="116" spans="1:15" x14ac:dyDescent="0.2">
      <c r="A116">
        <f t="shared" si="11"/>
        <v>22</v>
      </c>
      <c r="B116">
        <f t="shared" si="12"/>
        <v>1.275602007580883E-8</v>
      </c>
    </row>
    <row r="117" spans="1:15" x14ac:dyDescent="0.2">
      <c r="A117">
        <f t="shared" si="11"/>
        <v>24</v>
      </c>
      <c r="B117">
        <f t="shared" si="12"/>
        <v>1.3487540526103785E-9</v>
      </c>
    </row>
    <row r="118" spans="1:15" x14ac:dyDescent="0.2">
      <c r="A118">
        <f t="shared" si="11"/>
        <v>26</v>
      </c>
      <c r="B118">
        <f t="shared" si="12"/>
        <v>1.3938710978769442E-10</v>
      </c>
      <c r="K118" s="3"/>
    </row>
    <row r="119" spans="1:15" x14ac:dyDescent="0.2">
      <c r="A119">
        <f t="shared" si="11"/>
        <v>28</v>
      </c>
      <c r="B119">
        <f t="shared" si="12"/>
        <v>1.4129101649432563E-11</v>
      </c>
    </row>
    <row r="120" spans="1:15" x14ac:dyDescent="0.2">
      <c r="A120">
        <f t="shared" si="11"/>
        <v>30</v>
      </c>
      <c r="B120">
        <f t="shared" si="12"/>
        <v>1.4086721583719284E-12</v>
      </c>
    </row>
    <row r="121" spans="1:15" x14ac:dyDescent="0.2">
      <c r="A121">
        <f t="shared" si="11"/>
        <v>32</v>
      </c>
      <c r="B121">
        <f t="shared" si="12"/>
        <v>1.3844250401213447E-13</v>
      </c>
    </row>
    <row r="122" spans="1:15" x14ac:dyDescent="0.2">
      <c r="A122">
        <f t="shared" si="11"/>
        <v>34</v>
      </c>
      <c r="B122">
        <f t="shared" si="12"/>
        <v>1.3436105097713529E-14</v>
      </c>
      <c r="K122" s="4"/>
      <c r="L122" s="4"/>
      <c r="M122" s="4"/>
      <c r="N122" s="4"/>
      <c r="O122" s="4"/>
    </row>
    <row r="123" spans="1:15" x14ac:dyDescent="0.2">
      <c r="A123">
        <f t="shared" si="11"/>
        <v>36</v>
      </c>
      <c r="B123">
        <f t="shared" si="12"/>
        <v>1.2896272286056275E-15</v>
      </c>
      <c r="K123" s="4"/>
      <c r="L123" s="4"/>
      <c r="M123" s="4"/>
      <c r="N123" s="4"/>
      <c r="O123" s="4"/>
    </row>
    <row r="124" spans="1:15" x14ac:dyDescent="0.2">
      <c r="A124">
        <f t="shared" si="11"/>
        <v>38</v>
      </c>
      <c r="B124">
        <f t="shared" si="12"/>
        <v>1.2256799542152948E-16</v>
      </c>
    </row>
    <row r="125" spans="1:15" x14ac:dyDescent="0.2">
      <c r="A125">
        <f t="shared" si="11"/>
        <v>40</v>
      </c>
      <c r="B125">
        <f t="shared" si="12"/>
        <v>1.1546828003246199E-17</v>
      </c>
      <c r="K125" s="2"/>
      <c r="L125" s="2"/>
      <c r="M125" s="2"/>
      <c r="N125" s="2"/>
      <c r="O125" s="2"/>
    </row>
    <row r="126" spans="1:15" x14ac:dyDescent="0.2">
      <c r="A126">
        <f t="shared" si="11"/>
        <v>42</v>
      </c>
      <c r="B126">
        <f t="shared" si="12"/>
        <v>1.079205163108225E-18</v>
      </c>
    </row>
    <row r="127" spans="1:15" x14ac:dyDescent="0.2">
      <c r="A127">
        <f t="shared" si="11"/>
        <v>44</v>
      </c>
      <c r="B127">
        <f t="shared" si="12"/>
        <v>1.0014499750578651E-19</v>
      </c>
      <c r="E127" s="2"/>
      <c r="F127" s="2"/>
    </row>
    <row r="128" spans="1:15" x14ac:dyDescent="0.2">
      <c r="A128">
        <f t="shared" si="11"/>
        <v>46</v>
      </c>
      <c r="B128">
        <f t="shared" si="12"/>
        <v>9.2325542165457369E-21</v>
      </c>
    </row>
    <row r="129" spans="1:5" x14ac:dyDescent="0.2">
      <c r="A129">
        <f t="shared" si="11"/>
        <v>48</v>
      </c>
      <c r="B129">
        <f t="shared" si="12"/>
        <v>8.4611281441790672E-22</v>
      </c>
    </row>
    <row r="130" spans="1:5" x14ac:dyDescent="0.2">
      <c r="A130">
        <f t="shared" si="11"/>
        <v>50</v>
      </c>
      <c r="B130">
        <f t="shared" si="12"/>
        <v>7.7119479930341065E-23</v>
      </c>
    </row>
    <row r="131" spans="1:5" x14ac:dyDescent="0.2">
      <c r="A131">
        <v>52</v>
      </c>
      <c r="B131">
        <f t="shared" si="12"/>
        <v>6.9938940935909971E-24</v>
      </c>
    </row>
    <row r="132" spans="1:5" x14ac:dyDescent="0.2">
      <c r="A132">
        <v>53</v>
      </c>
      <c r="B132">
        <f t="shared" ref="B132:B150" si="13">GAMMADIST((A132+A131)/2, $G$60, $G$61, FALSE)</f>
        <v>1.1522740094783511E-24</v>
      </c>
      <c r="E132" s="3"/>
    </row>
    <row r="133" spans="1:5" x14ac:dyDescent="0.2">
      <c r="A133">
        <v>54</v>
      </c>
      <c r="B133">
        <f t="shared" si="13"/>
        <v>3.4581973036953053E-25</v>
      </c>
    </row>
    <row r="134" spans="1:5" x14ac:dyDescent="0.2">
      <c r="A134">
        <v>55</v>
      </c>
      <c r="B134">
        <f t="shared" si="13"/>
        <v>1.036780253083322E-25</v>
      </c>
    </row>
    <row r="135" spans="1:5" x14ac:dyDescent="0.2">
      <c r="A135">
        <v>56</v>
      </c>
      <c r="B135">
        <f t="shared" si="13"/>
        <v>3.1051546492449106E-26</v>
      </c>
    </row>
    <row r="136" spans="1:5" x14ac:dyDescent="0.2">
      <c r="A136">
        <v>57</v>
      </c>
      <c r="B136">
        <f t="shared" si="13"/>
        <v>9.2908415228470383E-27</v>
      </c>
    </row>
    <row r="137" spans="1:5" x14ac:dyDescent="0.2">
      <c r="A137">
        <v>58</v>
      </c>
      <c r="B137">
        <f t="shared" si="13"/>
        <v>2.7772634101682488E-27</v>
      </c>
    </row>
    <row r="138" spans="1:5" x14ac:dyDescent="0.2">
      <c r="A138">
        <v>59</v>
      </c>
      <c r="B138">
        <f t="shared" si="13"/>
        <v>8.2943704329643243E-28</v>
      </c>
    </row>
    <row r="139" spans="1:5" x14ac:dyDescent="0.2">
      <c r="A139">
        <v>60</v>
      </c>
      <c r="B139">
        <f t="shared" si="13"/>
        <v>2.4749562732969436E-28</v>
      </c>
    </row>
    <row r="140" spans="1:5" x14ac:dyDescent="0.2">
      <c r="A140">
        <v>61</v>
      </c>
      <c r="B140">
        <f t="shared" si="13"/>
        <v>7.3787385792680629E-29</v>
      </c>
    </row>
    <row r="141" spans="1:5" x14ac:dyDescent="0.2">
      <c r="A141">
        <v>62</v>
      </c>
      <c r="B141">
        <f t="shared" si="13"/>
        <v>2.198058892478511E-29</v>
      </c>
    </row>
    <row r="142" spans="1:5" x14ac:dyDescent="0.2">
      <c r="A142">
        <v>63</v>
      </c>
      <c r="B142">
        <f t="shared" si="13"/>
        <v>6.5426043892506163E-30</v>
      </c>
    </row>
    <row r="143" spans="1:5" x14ac:dyDescent="0.2">
      <c r="A143">
        <v>64</v>
      </c>
      <c r="B143">
        <f t="shared" si="13"/>
        <v>1.9459295527352818E-30</v>
      </c>
    </row>
    <row r="144" spans="1:5" x14ac:dyDescent="0.2">
      <c r="A144">
        <v>65</v>
      </c>
      <c r="B144">
        <f t="shared" si="13"/>
        <v>5.7833456484801045E-31</v>
      </c>
    </row>
    <row r="145" spans="1:6" x14ac:dyDescent="0.2">
      <c r="A145">
        <v>66</v>
      </c>
      <c r="B145">
        <f t="shared" si="13"/>
        <v>1.7175791116011437E-31</v>
      </c>
    </row>
    <row r="146" spans="1:6" x14ac:dyDescent="0.2">
      <c r="A146">
        <v>67</v>
      </c>
      <c r="B146">
        <f t="shared" si="13"/>
        <v>5.0974085647961979E-32</v>
      </c>
      <c r="E146" s="2"/>
      <c r="F146" s="2"/>
    </row>
    <row r="147" spans="1:6" x14ac:dyDescent="0.2">
      <c r="A147">
        <v>68</v>
      </c>
      <c r="B147">
        <f t="shared" si="13"/>
        <v>1.511772131130013E-32</v>
      </c>
    </row>
    <row r="148" spans="1:6" x14ac:dyDescent="0.2">
      <c r="A148">
        <v>69</v>
      </c>
      <c r="B148">
        <f t="shared" si="13"/>
        <v>4.4805994633555895E-33</v>
      </c>
    </row>
    <row r="149" spans="1:6" x14ac:dyDescent="0.2">
      <c r="A149">
        <v>70</v>
      </c>
      <c r="B149">
        <f t="shared" si="13"/>
        <v>1.3271106336919898E-33</v>
      </c>
    </row>
    <row r="150" spans="1:6" x14ac:dyDescent="0.2">
      <c r="A150">
        <v>71</v>
      </c>
      <c r="B150">
        <f t="shared" si="13"/>
        <v>3.9283241798083672E-34</v>
      </c>
      <c r="C150" t="s">
        <v>82</v>
      </c>
    </row>
    <row r="151" spans="1:6" x14ac:dyDescent="0.2">
      <c r="A151">
        <v>72</v>
      </c>
      <c r="B151">
        <f t="shared" ref="B151:B162" si="14">GAMMADIST((A151+A150)/2, $G$60, $G$61, FALSE)</f>
        <v>1.1621022041643511E-34</v>
      </c>
      <c r="E151" s="3"/>
    </row>
    <row r="152" spans="1:6" x14ac:dyDescent="0.2">
      <c r="A152">
        <v>73</v>
      </c>
      <c r="B152">
        <f t="shared" si="14"/>
        <v>3.4357808469767965E-35</v>
      </c>
    </row>
    <row r="153" spans="1:6" x14ac:dyDescent="0.2">
      <c r="A153">
        <v>74</v>
      </c>
      <c r="B153">
        <f t="shared" si="14"/>
        <v>1.0152142827567049E-35</v>
      </c>
    </row>
    <row r="154" spans="1:6" x14ac:dyDescent="0.2">
      <c r="A154">
        <v>75</v>
      </c>
      <c r="B154">
        <f t="shared" si="14"/>
        <v>2.998111950616546E-36</v>
      </c>
    </row>
    <row r="155" spans="1:6" x14ac:dyDescent="0.2">
      <c r="A155">
        <v>76</v>
      </c>
      <c r="B155">
        <f t="shared" si="14"/>
        <v>8.8491649596914499E-37</v>
      </c>
    </row>
    <row r="156" spans="1:6" x14ac:dyDescent="0.2">
      <c r="A156">
        <v>77</v>
      </c>
      <c r="B156">
        <f t="shared" si="14"/>
        <v>2.6105214006297739E-37</v>
      </c>
    </row>
    <row r="157" spans="1:6" x14ac:dyDescent="0.2">
      <c r="A157">
        <v>78</v>
      </c>
      <c r="B157">
        <f t="shared" si="14"/>
        <v>7.6971279661231773E-38</v>
      </c>
    </row>
    <row r="158" spans="1:6" x14ac:dyDescent="0.2">
      <c r="A158">
        <v>79</v>
      </c>
      <c r="B158">
        <f t="shared" si="14"/>
        <v>2.2683620322004728E-38</v>
      </c>
    </row>
    <row r="159" spans="1:6" x14ac:dyDescent="0.2">
      <c r="A159">
        <v>80</v>
      </c>
      <c r="B159">
        <f t="shared" si="14"/>
        <v>6.6816505682025458E-39</v>
      </c>
    </row>
    <row r="160" spans="1:6" x14ac:dyDescent="0.2">
      <c r="A160">
        <v>81</v>
      </c>
      <c r="B160">
        <f t="shared" si="14"/>
        <v>1.9671984972738203E-39</v>
      </c>
    </row>
    <row r="161" spans="1:6" x14ac:dyDescent="0.2">
      <c r="A161">
        <v>82</v>
      </c>
      <c r="B161">
        <f t="shared" si="14"/>
        <v>5.7890960248730324E-40</v>
      </c>
    </row>
    <row r="162" spans="1:6" x14ac:dyDescent="0.2">
      <c r="A162">
        <v>83</v>
      </c>
      <c r="B162">
        <f t="shared" si="14"/>
        <v>1.7028499899259582E-40</v>
      </c>
    </row>
    <row r="163" spans="1:6" x14ac:dyDescent="0.2">
      <c r="A163">
        <v>84</v>
      </c>
      <c r="B163">
        <f t="shared" ref="B163:B179" si="15">GAMMADIST((A163+A162)/2, $G$60, $G$61, FALSE)</f>
        <v>5.0066800949951987E-41</v>
      </c>
    </row>
    <row r="164" spans="1:6" x14ac:dyDescent="0.2">
      <c r="A164">
        <v>85</v>
      </c>
      <c r="B164">
        <f t="shared" si="15"/>
        <v>1.4714167119527062E-41</v>
      </c>
    </row>
    <row r="165" spans="1:6" x14ac:dyDescent="0.2">
      <c r="A165">
        <v>86</v>
      </c>
      <c r="B165">
        <f t="shared" si="15"/>
        <v>4.3225331272938063E-42</v>
      </c>
      <c r="C165" s="2"/>
      <c r="D165" s="2"/>
      <c r="E165" s="2"/>
      <c r="F165" s="2"/>
    </row>
    <row r="166" spans="1:6" x14ac:dyDescent="0.2">
      <c r="A166">
        <v>87</v>
      </c>
      <c r="B166">
        <f t="shared" si="15"/>
        <v>1.2692934567801004E-42</v>
      </c>
    </row>
    <row r="167" spans="1:6" x14ac:dyDescent="0.2">
      <c r="A167">
        <v>88</v>
      </c>
      <c r="B167">
        <f t="shared" si="15"/>
        <v>3.7257261559671365E-43</v>
      </c>
    </row>
    <row r="168" spans="1:6" x14ac:dyDescent="0.2">
      <c r="A168">
        <v>89</v>
      </c>
      <c r="B168">
        <f t="shared" si="15"/>
        <v>1.0931731898399789E-43</v>
      </c>
    </row>
    <row r="169" spans="1:6" x14ac:dyDescent="0.2">
      <c r="A169">
        <v>90</v>
      </c>
      <c r="B169">
        <f t="shared" si="15"/>
        <v>3.2062693587791746E-44</v>
      </c>
    </row>
    <row r="170" spans="1:6" x14ac:dyDescent="0.2">
      <c r="A170">
        <v>91</v>
      </c>
      <c r="B170">
        <f t="shared" si="15"/>
        <v>9.4004304356760639E-45</v>
      </c>
      <c r="E170" s="3"/>
    </row>
    <row r="171" spans="1:6" x14ac:dyDescent="0.2">
      <c r="A171">
        <v>92</v>
      </c>
      <c r="B171">
        <f t="shared" si="15"/>
        <v>2.7550898512435088E-45</v>
      </c>
    </row>
    <row r="172" spans="1:6" x14ac:dyDescent="0.2">
      <c r="A172">
        <v>93</v>
      </c>
      <c r="B172">
        <f t="shared" si="15"/>
        <v>8.0717473132268212E-46</v>
      </c>
    </row>
    <row r="173" spans="1:6" x14ac:dyDescent="0.2">
      <c r="A173">
        <v>94</v>
      </c>
      <c r="B173">
        <f t="shared" si="15"/>
        <v>2.3639945579393334E-46</v>
      </c>
    </row>
    <row r="174" spans="1:6" x14ac:dyDescent="0.2">
      <c r="A174">
        <v>95</v>
      </c>
      <c r="B174">
        <f t="shared" si="15"/>
        <v>6.921110189992375E-47</v>
      </c>
    </row>
    <row r="175" spans="1:6" x14ac:dyDescent="0.2">
      <c r="A175">
        <v>96</v>
      </c>
      <c r="B175">
        <f t="shared" si="15"/>
        <v>2.0256228222297806E-47</v>
      </c>
    </row>
    <row r="176" spans="1:6" x14ac:dyDescent="0.2">
      <c r="A176">
        <v>97</v>
      </c>
      <c r="B176">
        <f t="shared" si="15"/>
        <v>5.9264957531687029E-48</v>
      </c>
    </row>
    <row r="177" spans="1:6" x14ac:dyDescent="0.2">
      <c r="A177">
        <v>98</v>
      </c>
      <c r="B177">
        <f t="shared" si="15"/>
        <v>1.7333924837509778E-48</v>
      </c>
    </row>
    <row r="178" spans="1:6" x14ac:dyDescent="0.2">
      <c r="A178">
        <v>99</v>
      </c>
      <c r="B178">
        <f t="shared" si="15"/>
        <v>5.0682524941593958E-49</v>
      </c>
    </row>
    <row r="179" spans="1:6" x14ac:dyDescent="0.2">
      <c r="A179">
        <v>100</v>
      </c>
      <c r="B179">
        <f t="shared" si="15"/>
        <v>1.4814423595525755E-49</v>
      </c>
    </row>
    <row r="184" spans="1:6" x14ac:dyDescent="0.2">
      <c r="B184" s="2"/>
      <c r="C184" s="2"/>
      <c r="D184" s="2"/>
      <c r="E184" s="2"/>
      <c r="F184" s="2"/>
    </row>
    <row r="189" spans="1:6" x14ac:dyDescent="0.2">
      <c r="E189" s="3"/>
    </row>
    <row r="190" spans="1:6" x14ac:dyDescent="0.2">
      <c r="B190" s="4"/>
    </row>
    <row r="191" spans="1:6" x14ac:dyDescent="0.2">
      <c r="B191" s="4"/>
    </row>
    <row r="192" spans="1:6" x14ac:dyDescent="0.2">
      <c r="B192" s="4"/>
    </row>
    <row r="193" spans="2:6" x14ac:dyDescent="0.2">
      <c r="B193" s="4"/>
    </row>
    <row r="194" spans="2:6" x14ac:dyDescent="0.2">
      <c r="B194" s="4"/>
    </row>
    <row r="195" spans="2:6" x14ac:dyDescent="0.2">
      <c r="B195" s="4"/>
    </row>
    <row r="196" spans="2:6" x14ac:dyDescent="0.2">
      <c r="B196" s="4"/>
    </row>
    <row r="199" spans="2:6" x14ac:dyDescent="0.2">
      <c r="B199" s="3"/>
    </row>
    <row r="203" spans="2:6" x14ac:dyDescent="0.2">
      <c r="B203" s="2"/>
      <c r="C203" s="2"/>
      <c r="D203" s="2"/>
      <c r="E203" s="2"/>
      <c r="F203" s="2"/>
    </row>
    <row r="208" spans="2:6" x14ac:dyDescent="0.2">
      <c r="E208" s="3"/>
    </row>
    <row r="209" spans="2:6" x14ac:dyDescent="0.2">
      <c r="B209" s="4"/>
    </row>
    <row r="210" spans="2:6" x14ac:dyDescent="0.2">
      <c r="B210" s="4"/>
    </row>
    <row r="211" spans="2:6" x14ac:dyDescent="0.2">
      <c r="B211" s="4"/>
    </row>
    <row r="212" spans="2:6" x14ac:dyDescent="0.2">
      <c r="B212" s="4"/>
    </row>
    <row r="213" spans="2:6" x14ac:dyDescent="0.2">
      <c r="B213" s="4"/>
    </row>
    <row r="214" spans="2:6" x14ac:dyDescent="0.2">
      <c r="B214" s="4"/>
    </row>
    <row r="215" spans="2:6" x14ac:dyDescent="0.2">
      <c r="B215" s="4"/>
    </row>
    <row r="218" spans="2:6" x14ac:dyDescent="0.2">
      <c r="B218" s="3"/>
    </row>
    <row r="222" spans="2:6" x14ac:dyDescent="0.2">
      <c r="B222" s="2"/>
      <c r="C222" s="2"/>
      <c r="D222" s="2"/>
      <c r="E222" s="2"/>
      <c r="F222" s="2"/>
    </row>
    <row r="227" spans="2:5" x14ac:dyDescent="0.2">
      <c r="E227" s="3"/>
    </row>
    <row r="228" spans="2:5" x14ac:dyDescent="0.2">
      <c r="B228" s="4"/>
    </row>
    <row r="229" spans="2:5" x14ac:dyDescent="0.2">
      <c r="B229" s="4"/>
    </row>
    <row r="230" spans="2:5" x14ac:dyDescent="0.2">
      <c r="B230" s="4"/>
    </row>
    <row r="231" spans="2:5" x14ac:dyDescent="0.2">
      <c r="B231" s="4"/>
    </row>
    <row r="232" spans="2:5" x14ac:dyDescent="0.2">
      <c r="B232" s="4"/>
    </row>
    <row r="233" spans="2:5" x14ac:dyDescent="0.2">
      <c r="B233" s="4"/>
    </row>
    <row r="234" spans="2:5" x14ac:dyDescent="0.2">
      <c r="B234" s="4"/>
    </row>
    <row r="237" spans="2:5" x14ac:dyDescent="0.2">
      <c r="B237" s="3"/>
    </row>
    <row r="241" spans="2:6" x14ac:dyDescent="0.2">
      <c r="B241" s="2"/>
      <c r="C241" s="2"/>
      <c r="D241" s="2"/>
      <c r="E241" s="2"/>
      <c r="F241" s="2"/>
    </row>
  </sheetData>
  <pageMargins left="0.7" right="0.7" top="0.75" bottom="0.75" header="0.3" footer="0.3"/>
  <pageSetup paperSize="9" orientation="portrait" r:id="rId1"/>
  <headerFooter>
    <oddFooter>&amp;C&amp;1#&amp;"Arial"&amp;10&amp;K000000General</oddFoot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Parameter_Golden_Section">
                <anchor moveWithCells="1" sizeWithCells="1">
                  <from>
                    <xdr:col>4</xdr:col>
                    <xdr:colOff>177800</xdr:colOff>
                    <xdr:row>12</xdr:row>
                    <xdr:rowOff>152400</xdr:rowOff>
                  </from>
                  <to>
                    <xdr:col>5</xdr:col>
                    <xdr:colOff>482600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Opt_Leach_Par">
                <anchor moveWithCells="1" sizeWithCells="1">
                  <from>
                    <xdr:col>7</xdr:col>
                    <xdr:colOff>254000</xdr:colOff>
                    <xdr:row>54</xdr:row>
                    <xdr:rowOff>63500</xdr:rowOff>
                  </from>
                  <to>
                    <xdr:col>8</xdr:col>
                    <xdr:colOff>901700</xdr:colOff>
                    <xdr:row>56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" name="Button 77">
              <controlPr defaultSize="0" print="0" autoFill="0" autoPict="0" macro="[0]!OptimiseAllParameters">
                <anchor moveWithCells="1" sizeWithCells="1">
                  <from>
                    <xdr:col>12</xdr:col>
                    <xdr:colOff>736600</xdr:colOff>
                    <xdr:row>40</xdr:row>
                    <xdr:rowOff>114300</xdr:rowOff>
                  </from>
                  <to>
                    <xdr:col>14</xdr:col>
                    <xdr:colOff>546100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F244"/>
  <sheetViews>
    <sheetView tabSelected="1" zoomScale="90" zoomScaleNormal="90" workbookViewId="0">
      <selection activeCell="P39" sqref="P39"/>
    </sheetView>
  </sheetViews>
  <sheetFormatPr baseColWidth="10" defaultColWidth="9.1640625" defaultRowHeight="15" x14ac:dyDescent="0.2"/>
  <cols>
    <col min="1" max="1" width="19.83203125" customWidth="1"/>
    <col min="2" max="2" width="18.83203125" bestFit="1" customWidth="1"/>
    <col min="3" max="3" width="13.5" customWidth="1"/>
    <col min="4" max="4" width="14.5" customWidth="1"/>
    <col min="5" max="5" width="14.1640625" customWidth="1"/>
    <col min="6" max="6" width="12" customWidth="1"/>
    <col min="7" max="7" width="14.6640625" customWidth="1"/>
    <col min="8" max="8" width="13.33203125" customWidth="1"/>
    <col min="11" max="11" width="11.6640625" customWidth="1"/>
    <col min="12" max="12" width="10.5" customWidth="1"/>
    <col min="13" max="13" width="12" customWidth="1"/>
    <col min="14" max="14" width="14.1640625" customWidth="1"/>
    <col min="15" max="15" width="17.1640625" customWidth="1"/>
    <col min="16" max="16" width="20.6640625" customWidth="1"/>
    <col min="17" max="17" width="17.5" customWidth="1"/>
    <col min="18" max="18" width="13.1640625" bestFit="1" customWidth="1"/>
    <col min="19" max="19" width="17.5" customWidth="1"/>
    <col min="20" max="20" width="14.6640625" customWidth="1"/>
    <col min="21" max="22" width="10.5" customWidth="1"/>
    <col min="23" max="23" width="11.83203125" customWidth="1"/>
    <col min="24" max="24" width="12.1640625" customWidth="1"/>
    <col min="25" max="25" width="9.1640625" customWidth="1"/>
  </cols>
  <sheetData>
    <row r="1" spans="1:32" x14ac:dyDescent="0.2">
      <c r="A1" t="s">
        <v>0</v>
      </c>
      <c r="M1" t="s">
        <v>45</v>
      </c>
      <c r="N1" t="s">
        <v>29</v>
      </c>
      <c r="O1" t="s">
        <v>42</v>
      </c>
      <c r="P1" t="s">
        <v>43</v>
      </c>
      <c r="Q1" t="s">
        <v>112</v>
      </c>
      <c r="R1" t="s">
        <v>113</v>
      </c>
      <c r="S1" t="s">
        <v>122</v>
      </c>
      <c r="U1" s="14" t="s">
        <v>120</v>
      </c>
      <c r="V1" s="14" t="s">
        <v>121</v>
      </c>
    </row>
    <row r="2" spans="1:32" x14ac:dyDescent="0.2">
      <c r="M2">
        <v>1</v>
      </c>
      <c r="N2" s="6">
        <v>2.3328723907470703</v>
      </c>
      <c r="O2">
        <f>N2</f>
        <v>2.3328723907470703</v>
      </c>
      <c r="P2" s="11">
        <f>'Au&amp;CN_Parameter_Optimisation'!P2</f>
        <v>750.89</v>
      </c>
      <c r="Q2" s="3">
        <v>708.77881457084573</v>
      </c>
      <c r="R2" s="15">
        <f>P2/0.53</f>
        <v>1416.7735849056603</v>
      </c>
      <c r="S2" s="3">
        <f>Q2/0.53</f>
        <v>1337.3185180581995</v>
      </c>
      <c r="T2">
        <v>152.70574646050713</v>
      </c>
      <c r="U2">
        <v>47.420000001414728</v>
      </c>
      <c r="V2">
        <v>377.06299139882043</v>
      </c>
      <c r="W2">
        <v>84.07092360651923</v>
      </c>
      <c r="X2">
        <v>0</v>
      </c>
      <c r="Y2">
        <v>1.833794488194086E-56</v>
      </c>
      <c r="Z2">
        <v>17.633740807146342</v>
      </c>
      <c r="AA2">
        <v>166379.86830006741</v>
      </c>
      <c r="AB2">
        <v>166379.86830006741</v>
      </c>
      <c r="AC2">
        <v>2.3328723907470703</v>
      </c>
      <c r="AD2">
        <v>0</v>
      </c>
      <c r="AE2">
        <v>0</v>
      </c>
      <c r="AF2">
        <v>2.8892154693603516</v>
      </c>
    </row>
    <row r="3" spans="1:32" x14ac:dyDescent="0.2">
      <c r="A3" t="s">
        <v>111</v>
      </c>
      <c r="M3">
        <v>2</v>
      </c>
      <c r="N3" s="6">
        <v>2.3328723907470703</v>
      </c>
      <c r="O3">
        <f t="shared" ref="O3:O8" si="0">O2+N3</f>
        <v>4.6657447814941406</v>
      </c>
      <c r="P3" s="11">
        <f>'Au&amp;CN_Parameter_Optimisation'!P3</f>
        <v>511.65</v>
      </c>
      <c r="Q3" s="3">
        <v>534.75834466343338</v>
      </c>
      <c r="R3" s="15">
        <f t="shared" ref="R3:R8" si="1">P3/0.53</f>
        <v>965.37735849056594</v>
      </c>
      <c r="S3" s="3">
        <f t="shared" ref="S3:S8" si="2">Q3/0.53</f>
        <v>1008.9780087989309</v>
      </c>
      <c r="T3">
        <v>109.87169333666762</v>
      </c>
      <c r="U3">
        <v>47.420000002828715</v>
      </c>
      <c r="V3">
        <v>475.79116691484842</v>
      </c>
      <c r="W3">
        <v>75.294826417870695</v>
      </c>
      <c r="X3">
        <v>0</v>
      </c>
      <c r="Y3">
        <v>1.3633363260414675E-56</v>
      </c>
      <c r="Z3">
        <v>13.737799635099792</v>
      </c>
      <c r="AA3">
        <v>166379.86830006741</v>
      </c>
      <c r="AB3">
        <v>166379.86830006741</v>
      </c>
      <c r="AC3">
        <v>2.3328723907470703</v>
      </c>
      <c r="AD3">
        <v>0</v>
      </c>
      <c r="AE3">
        <v>0</v>
      </c>
      <c r="AF3">
        <v>2.5799386501312256</v>
      </c>
    </row>
    <row r="4" spans="1:32" x14ac:dyDescent="0.2">
      <c r="M4">
        <v>3</v>
      </c>
      <c r="N4" s="6">
        <v>2.3328723907470703</v>
      </c>
      <c r="O4">
        <f t="shared" si="0"/>
        <v>6.9986171722412109</v>
      </c>
      <c r="P4" s="11">
        <f>'Au&amp;CN_Parameter_Optimisation'!P4</f>
        <v>385</v>
      </c>
      <c r="Q4" s="3">
        <v>401.10955732147818</v>
      </c>
      <c r="R4" s="15">
        <f t="shared" si="1"/>
        <v>726.41509433962256</v>
      </c>
      <c r="S4" s="3">
        <f t="shared" si="2"/>
        <v>756.81048551222295</v>
      </c>
      <c r="T4">
        <v>88.959037793128019</v>
      </c>
      <c r="U4">
        <v>47.420000004241771</v>
      </c>
      <c r="V4">
        <v>493.76386266560479</v>
      </c>
      <c r="W4">
        <v>115.66549600902572</v>
      </c>
      <c r="X4">
        <v>0</v>
      </c>
      <c r="Y4">
        <v>8.8299003789075294E-57</v>
      </c>
      <c r="Z4">
        <v>12.4590111256688</v>
      </c>
      <c r="AA4">
        <v>166379.86830006741</v>
      </c>
      <c r="AB4">
        <v>166379.86830006741</v>
      </c>
      <c r="AC4">
        <v>2.3328723907470703</v>
      </c>
      <c r="AD4">
        <v>0</v>
      </c>
      <c r="AE4">
        <v>0</v>
      </c>
      <c r="AF4">
        <v>2.5949251651763916</v>
      </c>
    </row>
    <row r="5" spans="1:32" x14ac:dyDescent="0.2">
      <c r="A5" t="s">
        <v>18</v>
      </c>
      <c r="B5" s="18">
        <v>136.68</v>
      </c>
      <c r="D5" t="s">
        <v>110</v>
      </c>
      <c r="E5" s="18">
        <f>'Au&amp;CN_Parameter_Optimisation'!E5</f>
        <v>7</v>
      </c>
      <c r="M5">
        <v>4</v>
      </c>
      <c r="N5" s="6">
        <v>2.3328723907470703</v>
      </c>
      <c r="O5">
        <f t="shared" si="0"/>
        <v>9.3314895629882812</v>
      </c>
      <c r="P5" s="11">
        <f>'Au&amp;CN_Parameter_Optimisation'!P5</f>
        <v>281.64999999999998</v>
      </c>
      <c r="Q5" s="3">
        <v>320.54612496334505</v>
      </c>
      <c r="R5" s="15">
        <f t="shared" si="1"/>
        <v>531.41509433962256</v>
      </c>
      <c r="S5" s="3">
        <f t="shared" si="2"/>
        <v>604.80400936480191</v>
      </c>
      <c r="T5">
        <v>76.624394855353898</v>
      </c>
      <c r="U5">
        <v>47.420000005654373</v>
      </c>
      <c r="V5">
        <v>501.50099180625352</v>
      </c>
      <c r="W5">
        <v>72.825086831590298</v>
      </c>
      <c r="X5">
        <v>0</v>
      </c>
      <c r="Y5">
        <v>7.1737798298271469E-57</v>
      </c>
      <c r="Z5">
        <v>13.222516055446727</v>
      </c>
      <c r="AA5">
        <v>166379.86830006741</v>
      </c>
      <c r="AB5">
        <v>166379.86830006741</v>
      </c>
      <c r="AC5">
        <v>2.3328723907470703</v>
      </c>
      <c r="AD5">
        <v>0</v>
      </c>
      <c r="AE5">
        <v>0</v>
      </c>
      <c r="AF5">
        <v>2.8757944107055664</v>
      </c>
    </row>
    <row r="6" spans="1:32" x14ac:dyDescent="0.2">
      <c r="B6" s="4"/>
      <c r="M6">
        <v>5</v>
      </c>
      <c r="N6" s="6">
        <v>2.3328723907470703</v>
      </c>
      <c r="O6">
        <f t="shared" si="0"/>
        <v>11.664361953735352</v>
      </c>
      <c r="P6" s="11">
        <f>'Au&amp;CN_Parameter_Optimisation'!P6</f>
        <v>252</v>
      </c>
      <c r="Q6" s="3">
        <v>252.2363840386918</v>
      </c>
      <c r="R6" s="15">
        <f t="shared" si="1"/>
        <v>475.47169811320754</v>
      </c>
      <c r="S6" s="3">
        <f t="shared" si="2"/>
        <v>475.91770573338073</v>
      </c>
      <c r="T6">
        <v>58.353717185202314</v>
      </c>
      <c r="U6">
        <v>47.420000007066321</v>
      </c>
      <c r="V6">
        <v>503.88085211595228</v>
      </c>
      <c r="W6">
        <v>65.929699385255546</v>
      </c>
      <c r="X6">
        <v>0</v>
      </c>
      <c r="Y6">
        <v>5.2023113443956043E-57</v>
      </c>
      <c r="Z6">
        <v>11.144923758079644</v>
      </c>
      <c r="AA6">
        <v>166379.86830006741</v>
      </c>
      <c r="AB6">
        <v>166379.86830006741</v>
      </c>
      <c r="AC6">
        <v>2.3328723907470703</v>
      </c>
      <c r="AD6">
        <v>0</v>
      </c>
      <c r="AE6">
        <v>0</v>
      </c>
      <c r="AF6">
        <v>2.8638536930084229</v>
      </c>
    </row>
    <row r="7" spans="1:32" x14ac:dyDescent="0.2">
      <c r="A7" t="s">
        <v>127</v>
      </c>
      <c r="B7">
        <v>10</v>
      </c>
      <c r="M7">
        <v>6</v>
      </c>
      <c r="N7" s="6">
        <v>2.3328723907470703</v>
      </c>
      <c r="O7">
        <f t="shared" si="0"/>
        <v>13.997234344482422</v>
      </c>
      <c r="P7" s="11">
        <f>'Au&amp;CN_Parameter_Optimisation'!P7</f>
        <v>213</v>
      </c>
      <c r="Q7" s="3">
        <v>199.31508459209741</v>
      </c>
      <c r="R7" s="15">
        <f t="shared" si="1"/>
        <v>401.88679245283015</v>
      </c>
      <c r="S7" s="3">
        <f t="shared" si="2"/>
        <v>376.06619734357997</v>
      </c>
      <c r="T7">
        <v>44.433220093250519</v>
      </c>
      <c r="U7">
        <v>47.420000008477686</v>
      </c>
      <c r="V7">
        <v>504.70114944466508</v>
      </c>
      <c r="W7">
        <v>52.097097966992848</v>
      </c>
      <c r="X7">
        <v>0</v>
      </c>
      <c r="Y7">
        <v>4.1052244757175551E-57</v>
      </c>
      <c r="Z7">
        <v>9.4717979433986272</v>
      </c>
      <c r="AA7">
        <v>166379.86830006741</v>
      </c>
      <c r="AB7">
        <v>166379.86830006741</v>
      </c>
      <c r="AC7">
        <v>2.3328723907470703</v>
      </c>
      <c r="AD7">
        <v>0</v>
      </c>
      <c r="AE7">
        <v>0</v>
      </c>
      <c r="AF7">
        <v>2.8787586688995361</v>
      </c>
    </row>
    <row r="8" spans="1:32" ht="17" x14ac:dyDescent="0.25">
      <c r="A8" t="s">
        <v>32</v>
      </c>
      <c r="B8" s="18">
        <v>12.5</v>
      </c>
      <c r="C8" s="18">
        <v>31.5</v>
      </c>
      <c r="D8" s="18">
        <v>45.5</v>
      </c>
      <c r="E8" s="18">
        <v>64</v>
      </c>
      <c r="F8" s="18">
        <v>90.5</v>
      </c>
      <c r="G8" s="18">
        <v>128</v>
      </c>
      <c r="H8" s="18">
        <v>181</v>
      </c>
      <c r="I8" s="18">
        <v>256</v>
      </c>
      <c r="J8" s="18">
        <v>362.5</v>
      </c>
      <c r="K8" s="18">
        <v>512.5</v>
      </c>
      <c r="M8">
        <v>7</v>
      </c>
      <c r="N8" s="6">
        <v>2.3328723907470703</v>
      </c>
      <c r="O8">
        <f t="shared" si="0"/>
        <v>16.330106735229492</v>
      </c>
      <c r="P8" s="11">
        <f>'Au&amp;CN_Parameter_Optimisation'!P8</f>
        <v>193.71</v>
      </c>
      <c r="Q8" s="3">
        <v>157.78908109752192</v>
      </c>
      <c r="R8" s="15">
        <f t="shared" si="1"/>
        <v>365.49056603773585</v>
      </c>
      <c r="S8" s="3">
        <f t="shared" si="2"/>
        <v>297.7152473538149</v>
      </c>
      <c r="T8">
        <v>38.52578048207409</v>
      </c>
      <c r="U8">
        <v>47.420000009888476</v>
      </c>
      <c r="V8">
        <v>504.9862705444757</v>
      </c>
      <c r="W8">
        <v>41.243005931450242</v>
      </c>
      <c r="X8">
        <v>0</v>
      </c>
      <c r="Y8">
        <v>3.2463655849803262E-57</v>
      </c>
      <c r="Z8">
        <v>9.9254686820458655</v>
      </c>
      <c r="AA8">
        <v>166379.86830006741</v>
      </c>
      <c r="AB8">
        <v>166379.86830006741</v>
      </c>
      <c r="AC8">
        <v>2.3328723907470703</v>
      </c>
      <c r="AD8">
        <v>0</v>
      </c>
      <c r="AE8">
        <v>0</v>
      </c>
      <c r="AF8">
        <v>3.1317670345306396</v>
      </c>
    </row>
    <row r="9" spans="1:32" ht="17" x14ac:dyDescent="0.25">
      <c r="A9" t="s">
        <v>33</v>
      </c>
      <c r="B9" s="18">
        <v>0.80079999999999996</v>
      </c>
      <c r="C9" s="18">
        <v>4.0899999999999999E-2</v>
      </c>
      <c r="D9" s="18">
        <v>5.4100000000000002E-2</v>
      </c>
      <c r="E9" s="18">
        <v>5.0299999999999997E-2</v>
      </c>
      <c r="F9" s="18">
        <v>2.76E-2</v>
      </c>
      <c r="G9" s="4">
        <v>1.26E-2</v>
      </c>
      <c r="H9" s="4">
        <v>4.4999999999999997E-3</v>
      </c>
      <c r="I9" s="4">
        <v>1.2999999999999999E-3</v>
      </c>
      <c r="J9" s="4">
        <v>5.0000000000000001E-4</v>
      </c>
      <c r="K9" s="4">
        <v>1E-4</v>
      </c>
      <c r="N9" s="6"/>
      <c r="P9" s="11"/>
      <c r="Q9" s="3"/>
      <c r="R9" s="15"/>
      <c r="S9" s="3"/>
    </row>
    <row r="10" spans="1:32" x14ac:dyDescent="0.2">
      <c r="A10" s="14" t="s">
        <v>145</v>
      </c>
      <c r="B10" s="18">
        <v>29.92</v>
      </c>
      <c r="C10">
        <v>7.94</v>
      </c>
      <c r="D10">
        <v>12.32</v>
      </c>
      <c r="E10" s="18">
        <v>17.36</v>
      </c>
      <c r="F10" s="4">
        <v>17.52</v>
      </c>
      <c r="G10" s="4">
        <v>9.08</v>
      </c>
      <c r="H10" s="4">
        <v>4.3</v>
      </c>
      <c r="I10" s="4">
        <v>1.07</v>
      </c>
      <c r="J10" s="4">
        <v>0.49</v>
      </c>
      <c r="K10" s="4">
        <v>0.01</v>
      </c>
      <c r="M10" s="11"/>
      <c r="N10" s="3"/>
      <c r="O10" s="15"/>
      <c r="P10" s="3"/>
    </row>
    <row r="11" spans="1:32" ht="17" x14ac:dyDescent="0.25">
      <c r="A11" t="s">
        <v>51</v>
      </c>
      <c r="B11" s="19">
        <f>'Au&amp;CN_Parameter_Optimisation'!B11</f>
        <v>0</v>
      </c>
      <c r="C11" t="s">
        <v>2</v>
      </c>
      <c r="D11" t="s">
        <v>115</v>
      </c>
      <c r="E11" s="38">
        <v>47.42</v>
      </c>
      <c r="F11" s="6" t="s">
        <v>2</v>
      </c>
      <c r="G11" s="4"/>
      <c r="K11" s="6"/>
      <c r="M11" s="11"/>
      <c r="N11" s="3"/>
      <c r="O11" s="15"/>
      <c r="P11" s="3"/>
    </row>
    <row r="12" spans="1:32" ht="17" x14ac:dyDescent="0.25">
      <c r="A12" t="s">
        <v>23</v>
      </c>
      <c r="B12" s="19">
        <v>11.69</v>
      </c>
      <c r="C12" t="s">
        <v>2</v>
      </c>
      <c r="D12" t="s">
        <v>116</v>
      </c>
      <c r="E12" s="38">
        <v>3.06</v>
      </c>
      <c r="F12" t="s">
        <v>2</v>
      </c>
      <c r="K12" s="6"/>
      <c r="M12" s="11"/>
      <c r="N12" s="3"/>
      <c r="O12" s="15"/>
      <c r="P12" s="3"/>
      <c r="T12" s="3"/>
    </row>
    <row r="13" spans="1:32" ht="17" x14ac:dyDescent="0.25">
      <c r="A13" t="s">
        <v>25</v>
      </c>
      <c r="B13" s="19">
        <v>1</v>
      </c>
      <c r="C13" t="s">
        <v>26</v>
      </c>
      <c r="Z13">
        <v>157.78908109752192</v>
      </c>
      <c r="AA13">
        <v>157.78908109752192</v>
      </c>
    </row>
    <row r="14" spans="1:32" ht="17" x14ac:dyDescent="0.25">
      <c r="A14" t="s">
        <v>27</v>
      </c>
      <c r="B14" s="19">
        <v>1</v>
      </c>
      <c r="C14" t="s">
        <v>26</v>
      </c>
    </row>
    <row r="15" spans="1:32" x14ac:dyDescent="0.2">
      <c r="A15" s="1" t="s">
        <v>28</v>
      </c>
      <c r="B15" s="19">
        <f>'Au&amp;CN_Parameter_Optimisation'!B15</f>
        <v>503.75245751600414</v>
      </c>
      <c r="C15" t="s">
        <v>3</v>
      </c>
    </row>
    <row r="17" spans="1:11" x14ac:dyDescent="0.2">
      <c r="A17" t="s">
        <v>56</v>
      </c>
    </row>
    <row r="18" spans="1:11" x14ac:dyDescent="0.2">
      <c r="A18" t="s">
        <v>4</v>
      </c>
      <c r="B18" s="13">
        <f>'Au&amp;CN_Parameter_Optimisation'!F18</f>
        <v>2.2652853360981015E-7</v>
      </c>
      <c r="F18" s="13"/>
      <c r="K18" s="10"/>
    </row>
    <row r="19" spans="1:11" x14ac:dyDescent="0.2">
      <c r="A19" t="s">
        <v>5</v>
      </c>
      <c r="B19" s="13">
        <f>'Au&amp;CN_Parameter_Optimisation'!F19</f>
        <v>4.5181317777818101E-6</v>
      </c>
      <c r="F19" s="13"/>
      <c r="K19" s="10"/>
    </row>
    <row r="20" spans="1:11" x14ac:dyDescent="0.2">
      <c r="A20" t="s">
        <v>6</v>
      </c>
      <c r="B20" s="13">
        <f>'Au&amp;CN_Parameter_Optimisation'!F20</f>
        <v>5.065379311566579E-3</v>
      </c>
      <c r="F20" s="12"/>
      <c r="K20" s="6"/>
    </row>
    <row r="21" spans="1:11" x14ac:dyDescent="0.2">
      <c r="A21" t="s">
        <v>7</v>
      </c>
      <c r="B21" s="13">
        <f>'Au&amp;CN_Parameter_Optimisation'!F21</f>
        <v>9.9977347146639026</v>
      </c>
      <c r="F21" s="12"/>
      <c r="K21" s="6"/>
    </row>
    <row r="22" spans="1:11" x14ac:dyDescent="0.2">
      <c r="A22" t="s">
        <v>8</v>
      </c>
      <c r="B22" s="13">
        <f>'Au&amp;CN_Parameter_Optimisation'!F22</f>
        <v>1999546.9429327804</v>
      </c>
      <c r="F22" s="13"/>
      <c r="K22" s="10"/>
    </row>
    <row r="23" spans="1:11" x14ac:dyDescent="0.2">
      <c r="A23" t="s">
        <v>9</v>
      </c>
      <c r="B23" s="6">
        <f>'Au&amp;CN_Parameter_Optimisation'!F23</f>
        <v>2.8615311477504219</v>
      </c>
      <c r="F23" s="12"/>
      <c r="K23" s="6"/>
    </row>
    <row r="24" spans="1:11" x14ac:dyDescent="0.2">
      <c r="A24" t="s">
        <v>10</v>
      </c>
      <c r="B24" s="6">
        <f>'Au&amp;CN_Parameter_Optimisation'!F24</f>
        <v>8.293536915338894</v>
      </c>
      <c r="F24" s="12"/>
      <c r="K24" s="6"/>
    </row>
    <row r="25" spans="1:11" x14ac:dyDescent="0.2">
      <c r="A25" t="s">
        <v>11</v>
      </c>
      <c r="B25" s="6">
        <f>'Au&amp;CN_Parameter_Optimisation'!F25</f>
        <v>61.680685801165801</v>
      </c>
      <c r="F25" s="12"/>
      <c r="K25" s="6"/>
    </row>
    <row r="26" spans="1:11" x14ac:dyDescent="0.2">
      <c r="A26" t="s">
        <v>12</v>
      </c>
      <c r="B26" s="6">
        <f>'Au&amp;CN_Parameter_Optimisation'!F26</f>
        <v>1.7562863778250381E-3</v>
      </c>
      <c r="F26" s="12"/>
      <c r="K26" s="6"/>
    </row>
    <row r="27" spans="1:11" x14ac:dyDescent="0.2">
      <c r="A27" t="s">
        <v>13</v>
      </c>
      <c r="B27" s="6">
        <f>'Au&amp;CN_Parameter_Optimisation'!F27</f>
        <v>4.5232344683710322</v>
      </c>
      <c r="F27" s="12"/>
      <c r="K27" s="6"/>
    </row>
    <row r="28" spans="1:11" x14ac:dyDescent="0.2">
      <c r="A28" t="s">
        <v>14</v>
      </c>
      <c r="B28" s="6">
        <v>0</v>
      </c>
      <c r="F28" s="12"/>
      <c r="K28" s="6"/>
    </row>
    <row r="29" spans="1:11" x14ac:dyDescent="0.2">
      <c r="A29" t="s">
        <v>15</v>
      </c>
      <c r="B29" s="6">
        <v>0</v>
      </c>
      <c r="F29" s="12"/>
      <c r="K29" s="6"/>
    </row>
    <row r="30" spans="1:11" x14ac:dyDescent="0.2">
      <c r="A30" t="s">
        <v>16</v>
      </c>
      <c r="B30" s="6">
        <f>'Au&amp;CN_Parameter_Optimisation'!F30</f>
        <v>4.5305706721962026E-4</v>
      </c>
      <c r="F30" s="12"/>
      <c r="K30" s="6"/>
    </row>
    <row r="31" spans="1:11" x14ac:dyDescent="0.2">
      <c r="A31" t="s">
        <v>17</v>
      </c>
      <c r="B31" s="6">
        <f>'Au&amp;CN_Parameter_Optimisation'!F31</f>
        <v>0.95386554604264628</v>
      </c>
      <c r="F31" s="12"/>
      <c r="K31" s="6"/>
    </row>
    <row r="32" spans="1:11" x14ac:dyDescent="0.2">
      <c r="A32" t="s">
        <v>59</v>
      </c>
      <c r="B32" s="13">
        <f>'Au&amp;CN_Parameter_Optimisation'!F32</f>
        <v>1.3381503271904384E-2</v>
      </c>
    </row>
    <row r="33" spans="1:23" x14ac:dyDescent="0.2">
      <c r="A33" t="s">
        <v>123</v>
      </c>
      <c r="B33" s="13">
        <f>'Au&amp;CN_Parameter_Optimisation'!F33</f>
        <v>0</v>
      </c>
    </row>
    <row r="34" spans="1:23" ht="16" thickBot="1" x14ac:dyDescent="0.25">
      <c r="A34" t="s">
        <v>55</v>
      </c>
      <c r="B34" s="14" t="s">
        <v>57</v>
      </c>
    </row>
    <row r="35" spans="1:23" ht="16" thickBot="1" x14ac:dyDescent="0.25">
      <c r="A35" s="42"/>
      <c r="B35" s="47" t="s">
        <v>19</v>
      </c>
      <c r="C35" s="47" t="s">
        <v>20</v>
      </c>
      <c r="D35" s="47" t="s">
        <v>21</v>
      </c>
      <c r="E35" s="47" t="s">
        <v>34</v>
      </c>
      <c r="F35" s="47" t="s">
        <v>35</v>
      </c>
      <c r="G35" s="47" t="s">
        <v>36</v>
      </c>
      <c r="H35" s="47" t="s">
        <v>37</v>
      </c>
      <c r="I35" s="47" t="s">
        <v>38</v>
      </c>
      <c r="J35" s="47" t="s">
        <v>39</v>
      </c>
      <c r="K35" s="48" t="s">
        <v>46</v>
      </c>
      <c r="L35" s="48" t="s">
        <v>47</v>
      </c>
    </row>
    <row r="36" spans="1:23" ht="17" x14ac:dyDescent="0.25">
      <c r="A36" s="43" t="s">
        <v>49</v>
      </c>
      <c r="B36" s="56">
        <v>3.8737428371667932</v>
      </c>
      <c r="C36" s="57">
        <v>2.0167346019370687</v>
      </c>
      <c r="D36" s="57">
        <v>1.3699913645408712</v>
      </c>
      <c r="E36" s="57">
        <v>1.0786862727944935</v>
      </c>
      <c r="F36" s="57">
        <v>0.93543127794456082</v>
      </c>
      <c r="G36" s="57">
        <v>0.86716558090435802</v>
      </c>
      <c r="H36" s="57">
        <v>0.82922147467597618</v>
      </c>
      <c r="I36" s="57"/>
      <c r="J36" s="57"/>
      <c r="K36" s="57"/>
      <c r="L36" s="58"/>
      <c r="N36" s="4"/>
      <c r="T36" s="4"/>
      <c r="W36" s="4"/>
    </row>
    <row r="37" spans="1:23" ht="17" x14ac:dyDescent="0.25">
      <c r="A37" s="43" t="s">
        <v>50</v>
      </c>
      <c r="B37" s="59">
        <v>708.77881457084573</v>
      </c>
      <c r="C37" s="67">
        <v>534.75834466343338</v>
      </c>
      <c r="D37" s="67">
        <v>401.10955732147818</v>
      </c>
      <c r="E37" s="40">
        <v>320.54612496334505</v>
      </c>
      <c r="F37" s="40">
        <v>252.2363840386918</v>
      </c>
      <c r="G37" s="40">
        <v>199.31508459209741</v>
      </c>
      <c r="H37" s="40">
        <v>157.78908109752192</v>
      </c>
      <c r="I37" s="40"/>
      <c r="J37" s="40"/>
      <c r="K37" s="40"/>
      <c r="L37" s="44"/>
      <c r="N37" s="4"/>
      <c r="T37" s="4"/>
      <c r="W37" s="4"/>
    </row>
    <row r="38" spans="1:23" x14ac:dyDescent="0.2">
      <c r="A38" s="43" t="s">
        <v>144</v>
      </c>
      <c r="B38">
        <v>707</v>
      </c>
      <c r="C38">
        <v>707</v>
      </c>
      <c r="D38">
        <v>707</v>
      </c>
      <c r="E38">
        <v>707</v>
      </c>
      <c r="F38">
        <v>707</v>
      </c>
      <c r="G38">
        <v>707</v>
      </c>
      <c r="H38">
        <v>707</v>
      </c>
      <c r="J38" s="40"/>
      <c r="K38" s="40"/>
      <c r="L38" s="44"/>
      <c r="W38" s="3"/>
    </row>
    <row r="39" spans="1:23" x14ac:dyDescent="0.2">
      <c r="A39" s="43" t="s">
        <v>30</v>
      </c>
      <c r="B39" s="59">
        <v>45.1</v>
      </c>
      <c r="C39" s="40">
        <v>45.1</v>
      </c>
      <c r="D39" s="40">
        <v>45.1</v>
      </c>
      <c r="E39" s="40">
        <v>45.1</v>
      </c>
      <c r="F39" s="40">
        <v>45.1</v>
      </c>
      <c r="G39" s="40">
        <v>45.1</v>
      </c>
      <c r="H39" s="40">
        <v>45.1</v>
      </c>
      <c r="I39" s="40"/>
      <c r="J39" s="40"/>
      <c r="K39" s="40"/>
      <c r="L39" s="44"/>
      <c r="T39" s="5"/>
    </row>
    <row r="40" spans="1:23" x14ac:dyDescent="0.2">
      <c r="A40" s="43" t="s">
        <v>22</v>
      </c>
      <c r="B40" s="59">
        <v>10.38</v>
      </c>
      <c r="C40" s="40">
        <v>10.3</v>
      </c>
      <c r="D40" s="40">
        <v>9.9499999999999993</v>
      </c>
      <c r="E40" s="40">
        <v>10.07</v>
      </c>
      <c r="F40" s="40">
        <v>10</v>
      </c>
      <c r="G40" s="40">
        <v>10</v>
      </c>
      <c r="H40" s="40">
        <v>10</v>
      </c>
      <c r="I40" s="40"/>
      <c r="J40" s="40"/>
      <c r="K40" s="40"/>
      <c r="L40" s="44"/>
      <c r="T40" s="4"/>
    </row>
    <row r="41" spans="1:23" x14ac:dyDescent="0.2">
      <c r="A41" s="43" t="s">
        <v>48</v>
      </c>
      <c r="B41" s="59">
        <v>2.68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/>
      <c r="J41" s="40"/>
      <c r="K41" s="40"/>
      <c r="L41" s="44"/>
      <c r="T41" s="4"/>
    </row>
    <row r="42" spans="1:23" x14ac:dyDescent="0.2">
      <c r="A42" s="43" t="s">
        <v>58</v>
      </c>
      <c r="B42" s="59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/>
      <c r="J42" s="40"/>
      <c r="K42" s="40"/>
      <c r="L42" s="44"/>
      <c r="T42" s="4"/>
    </row>
    <row r="43" spans="1:23" x14ac:dyDescent="0.2">
      <c r="A43" s="24" t="s">
        <v>128</v>
      </c>
      <c r="B43" s="59">
        <v>0</v>
      </c>
      <c r="C43" s="40"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/>
      <c r="J43" s="40"/>
      <c r="K43" s="40"/>
      <c r="L43" s="44"/>
      <c r="S43" s="1"/>
      <c r="T43" s="4"/>
    </row>
    <row r="44" spans="1:23" x14ac:dyDescent="0.2">
      <c r="A44" s="43" t="s">
        <v>88</v>
      </c>
      <c r="B44" s="59">
        <v>7.12</v>
      </c>
      <c r="C44" s="40">
        <v>9.5399999999999991</v>
      </c>
      <c r="D44" s="40">
        <v>10.3</v>
      </c>
      <c r="E44" s="40">
        <v>9.9499999999999993</v>
      </c>
      <c r="F44" s="40">
        <v>10.07</v>
      </c>
      <c r="G44" s="40">
        <v>6</v>
      </c>
      <c r="H44" s="40">
        <v>4</v>
      </c>
      <c r="I44" s="40"/>
      <c r="J44" s="40"/>
      <c r="K44" s="40"/>
      <c r="L44" s="44"/>
      <c r="S44" s="1"/>
      <c r="T44" s="4"/>
    </row>
    <row r="45" spans="1:23" x14ac:dyDescent="0.2">
      <c r="A45" s="43" t="s">
        <v>119</v>
      </c>
      <c r="B45" s="64">
        <v>0</v>
      </c>
      <c r="C45" s="65">
        <v>0</v>
      </c>
      <c r="D45" s="65">
        <v>0</v>
      </c>
      <c r="E45" s="65">
        <v>0</v>
      </c>
      <c r="F45" s="65">
        <v>0</v>
      </c>
      <c r="G45" s="65">
        <v>0</v>
      </c>
      <c r="H45" s="65">
        <v>0</v>
      </c>
      <c r="I45" s="65"/>
      <c r="J45" s="65"/>
      <c r="K45" s="65"/>
      <c r="L45" s="66"/>
      <c r="S45" s="1"/>
      <c r="T45" s="4"/>
    </row>
    <row r="46" spans="1:23" x14ac:dyDescent="0.2">
      <c r="A46" s="43" t="s">
        <v>117</v>
      </c>
      <c r="B46" s="60"/>
      <c r="C46" s="41"/>
      <c r="D46" s="41"/>
      <c r="E46" s="41"/>
      <c r="F46" s="41"/>
      <c r="G46" s="41"/>
      <c r="H46" s="41"/>
      <c r="I46" s="39"/>
      <c r="J46" s="39"/>
      <c r="K46" s="49"/>
      <c r="L46" s="61"/>
      <c r="T46" s="4"/>
    </row>
    <row r="47" spans="1:23" x14ac:dyDescent="0.2">
      <c r="A47" s="43" t="s">
        <v>118</v>
      </c>
      <c r="B47" s="62"/>
      <c r="C47" s="46"/>
      <c r="D47" s="46"/>
      <c r="E47" s="41"/>
      <c r="F47" s="41"/>
      <c r="G47" s="41"/>
      <c r="H47" s="41"/>
      <c r="I47" s="39"/>
      <c r="J47" s="39"/>
      <c r="K47" s="50"/>
      <c r="L47" s="61"/>
      <c r="T47" s="4"/>
    </row>
    <row r="48" spans="1:23" ht="16" thickBot="1" x14ac:dyDescent="0.25">
      <c r="A48" s="45" t="s">
        <v>103</v>
      </c>
      <c r="B48" s="68">
        <v>0.67</v>
      </c>
      <c r="C48" s="63">
        <v>0.67</v>
      </c>
      <c r="D48" s="63">
        <v>0.67</v>
      </c>
      <c r="E48" s="63">
        <v>0.67</v>
      </c>
      <c r="F48" s="63">
        <v>0.67</v>
      </c>
      <c r="G48" s="63">
        <v>0.67</v>
      </c>
      <c r="H48" s="63">
        <v>0.67</v>
      </c>
      <c r="I48" s="63"/>
      <c r="J48" s="63"/>
      <c r="K48" s="63"/>
      <c r="L48" s="63"/>
      <c r="T48" s="3"/>
    </row>
    <row r="49" spans="1:24" x14ac:dyDescent="0.2">
      <c r="A49" s="7"/>
      <c r="B49" s="8"/>
      <c r="C49" s="7"/>
      <c r="D49" s="7"/>
      <c r="E49" s="7"/>
      <c r="F49" s="7"/>
      <c r="G49" s="7"/>
      <c r="H49" s="7"/>
      <c r="J49" s="14" t="s">
        <v>45</v>
      </c>
      <c r="K49" s="14" t="s">
        <v>29</v>
      </c>
      <c r="L49" s="14" t="s">
        <v>42</v>
      </c>
      <c r="M49" s="14" t="s">
        <v>98</v>
      </c>
      <c r="N49" s="14" t="s">
        <v>99</v>
      </c>
      <c r="O49" s="14" t="s">
        <v>24</v>
      </c>
      <c r="P49" s="14" t="s">
        <v>100</v>
      </c>
      <c r="Q49" s="14" t="s">
        <v>101</v>
      </c>
      <c r="R49" s="14" t="s">
        <v>102</v>
      </c>
      <c r="S49" s="14" t="s">
        <v>103</v>
      </c>
      <c r="T49" s="14"/>
    </row>
    <row r="50" spans="1:24" x14ac:dyDescent="0.2">
      <c r="A50">
        <v>108.32035126940549</v>
      </c>
      <c r="B50">
        <v>7</v>
      </c>
      <c r="C50">
        <v>3</v>
      </c>
      <c r="E50" s="7"/>
      <c r="F50" t="s">
        <v>105</v>
      </c>
      <c r="J50">
        <v>0</v>
      </c>
      <c r="K50">
        <v>0</v>
      </c>
      <c r="L50">
        <v>0</v>
      </c>
      <c r="M50" s="35">
        <f>'Au&amp;CN_Parameter_Optimisation'!M50</f>
        <v>11.69</v>
      </c>
      <c r="N50" s="35">
        <v>11.687940899848819</v>
      </c>
      <c r="O50" s="83">
        <f>((M50-N50)/M50)^2</f>
        <v>3.1026009322616727E-8</v>
      </c>
      <c r="P50" s="2">
        <v>1.5578329751380451</v>
      </c>
      <c r="Q50">
        <v>4.3783819014470895</v>
      </c>
      <c r="R50">
        <v>5.0782763219198745</v>
      </c>
      <c r="S50">
        <v>0.67344970134381044</v>
      </c>
      <c r="T50" s="35"/>
    </row>
    <row r="51" spans="1:24" x14ac:dyDescent="0.2">
      <c r="A51" t="s">
        <v>70</v>
      </c>
      <c r="B51" t="s">
        <v>77</v>
      </c>
      <c r="C51" t="s">
        <v>81</v>
      </c>
      <c r="E51" s="7"/>
      <c r="F51" t="s">
        <v>63</v>
      </c>
      <c r="G51">
        <f>'Au&amp;CN_Parameter_Optimisation'!G59</f>
        <v>3.8536865191191119</v>
      </c>
      <c r="H51" t="s">
        <v>67</v>
      </c>
      <c r="J51">
        <f>J50+1</f>
        <v>1</v>
      </c>
      <c r="K51" s="6">
        <f>'Au&amp;CN_Parameter_Optimisation'!K51</f>
        <v>2.3328723907470703</v>
      </c>
      <c r="L51">
        <f>K51</f>
        <v>2.3328723907470703</v>
      </c>
      <c r="M51" s="35">
        <f>'Au&amp;CN_Parameter_Optimisation'!M51</f>
        <v>3.847</v>
      </c>
      <c r="N51" s="36">
        <v>3.8737428371667932</v>
      </c>
      <c r="O51" s="83">
        <f>((M51-N51)/M51)^2</f>
        <v>4.8324858089239868E-5</v>
      </c>
      <c r="P51" s="2">
        <v>8.1844988826511519E-3</v>
      </c>
      <c r="Q51">
        <v>1.5047888675213934</v>
      </c>
      <c r="R51">
        <v>1.6873197694189379</v>
      </c>
      <c r="S51">
        <v>0.67344970134381044</v>
      </c>
      <c r="T51" s="35"/>
    </row>
    <row r="52" spans="1:24" x14ac:dyDescent="0.2">
      <c r="A52">
        <v>2</v>
      </c>
      <c r="B52">
        <v>0.08</v>
      </c>
      <c r="C52">
        <f>GAMMADIST(A52/2, $G$52, $G$53, FALSE)</f>
        <v>0.11783595154516498</v>
      </c>
      <c r="E52" s="7"/>
      <c r="F52" s="1" t="s">
        <v>76</v>
      </c>
      <c r="G52">
        <f>'Au&amp;CN_Parameter_Optimisation'!G60</f>
        <v>4.0117135723337878</v>
      </c>
      <c r="J52">
        <f t="shared" ref="J52:J57" si="3">J51+1</f>
        <v>2</v>
      </c>
      <c r="K52" s="6">
        <f>'Au&amp;CN_Parameter_Optimisation'!K52</f>
        <v>2.3328723907470703</v>
      </c>
      <c r="L52">
        <f t="shared" ref="L52:L57" si="4">L51+K52</f>
        <v>4.6657447814941406</v>
      </c>
      <c r="M52" s="35">
        <f>'Au&amp;CN_Parameter_Optimisation'!M52</f>
        <v>2.0070000000000001</v>
      </c>
      <c r="N52" s="36">
        <v>2.0167346019370687</v>
      </c>
      <c r="O52" s="83">
        <f t="shared" ref="O52:O57" si="5">((M52-N52)/M52)^2</f>
        <v>2.3525650972264397E-5</v>
      </c>
      <c r="P52" s="2">
        <v>8.1561493991538672E-4</v>
      </c>
      <c r="Q52">
        <v>0.60459319901096664</v>
      </c>
      <c r="R52">
        <v>0.73787608664237625</v>
      </c>
      <c r="S52">
        <v>0.67344970134381044</v>
      </c>
      <c r="T52" s="35"/>
      <c r="U52" s="4"/>
      <c r="V52" s="4"/>
      <c r="W52" s="4"/>
      <c r="X52" s="4"/>
    </row>
    <row r="53" spans="1:24" x14ac:dyDescent="0.2">
      <c r="A53">
        <f>A52+2</f>
        <v>4</v>
      </c>
      <c r="B53">
        <v>0.23</v>
      </c>
      <c r="C53">
        <f>GAMMADIST((A53+A52)/2, $G$52, $G$53, FALSE)</f>
        <v>0.2590952971673619</v>
      </c>
      <c r="E53" s="9"/>
      <c r="F53" s="1" t="s">
        <v>75</v>
      </c>
      <c r="G53">
        <f>'Au&amp;CN_Parameter_Optimisation'!G61</f>
        <v>0.79339797052419581</v>
      </c>
      <c r="J53">
        <f t="shared" si="3"/>
        <v>3</v>
      </c>
      <c r="K53" s="6">
        <f>'Au&amp;CN_Parameter_Optimisation'!K53</f>
        <v>2.3328723907470703</v>
      </c>
      <c r="L53">
        <f t="shared" si="4"/>
        <v>6.9986171722412109</v>
      </c>
      <c r="M53" s="35">
        <f>'Au&amp;CN_Parameter_Optimisation'!M53</f>
        <v>1.325</v>
      </c>
      <c r="N53" s="36">
        <v>1.3699913645408712</v>
      </c>
      <c r="O53" s="83">
        <f t="shared" si="5"/>
        <v>1.1529927423279849E-3</v>
      </c>
      <c r="P53" s="2">
        <v>1.0802330941806125E-4</v>
      </c>
      <c r="Q53">
        <v>0.29624624621600659</v>
      </c>
      <c r="R53">
        <v>0.40018739367163597</v>
      </c>
      <c r="S53">
        <v>0.67344970134381044</v>
      </c>
      <c r="T53" s="35"/>
      <c r="U53" s="4"/>
      <c r="V53" s="4"/>
      <c r="W53" s="4"/>
      <c r="X53" s="4"/>
    </row>
    <row r="54" spans="1:24" ht="17" x14ac:dyDescent="0.25">
      <c r="A54">
        <f t="shared" ref="A54:A76" si="6">A53+2</f>
        <v>6</v>
      </c>
      <c r="B54">
        <v>0.09</v>
      </c>
      <c r="C54">
        <f t="shared" ref="C54:C77" si="7">GAMMADIST((A54+A53)/2, $G$52, $G$53, FALSE)</f>
        <v>9.7013814040177601E-2</v>
      </c>
      <c r="E54" s="7"/>
      <c r="F54" t="s">
        <v>85</v>
      </c>
      <c r="G54">
        <f>'Au&amp;CN_Parameter_Optimisation'!G62</f>
        <v>64190.92007400997</v>
      </c>
      <c r="J54">
        <f t="shared" si="3"/>
        <v>4</v>
      </c>
      <c r="K54" s="6">
        <f>'Au&amp;CN_Parameter_Optimisation'!K54</f>
        <v>2.3328723907470703</v>
      </c>
      <c r="L54">
        <f t="shared" si="4"/>
        <v>9.3314895629882812</v>
      </c>
      <c r="M54" s="35">
        <f>'Au&amp;CN_Parameter_Optimisation'!M54</f>
        <v>1.04</v>
      </c>
      <c r="N54" s="36">
        <v>1.0786862727944935</v>
      </c>
      <c r="O54" s="83">
        <f t="shared" si="5"/>
        <v>1.3837164411334714E-3</v>
      </c>
      <c r="P54" s="2">
        <v>1.8071247948208979E-5</v>
      </c>
      <c r="Q54">
        <v>0.16471949865627608</v>
      </c>
      <c r="R54">
        <v>0.24049900154645867</v>
      </c>
      <c r="S54">
        <v>0.67344970134381044</v>
      </c>
      <c r="T54" s="35"/>
      <c r="U54" s="6"/>
      <c r="V54" s="6"/>
      <c r="W54" s="6"/>
      <c r="X54" s="6"/>
    </row>
    <row r="55" spans="1:24" ht="17" x14ac:dyDescent="0.25">
      <c r="A55">
        <f t="shared" si="6"/>
        <v>8</v>
      </c>
      <c r="B55">
        <v>0.04</v>
      </c>
      <c r="C55">
        <f t="shared" si="7"/>
        <v>2.1486146166553338E-2</v>
      </c>
      <c r="E55" s="7"/>
      <c r="F55" t="s">
        <v>86</v>
      </c>
      <c r="G55">
        <f>'Au&amp;CN_Parameter_Optimisation'!G63</f>
        <v>10792.25901171998</v>
      </c>
      <c r="J55">
        <f t="shared" si="3"/>
        <v>5</v>
      </c>
      <c r="K55" s="6">
        <f>'Au&amp;CN_Parameter_Optimisation'!K55</f>
        <v>2.3328723907470703</v>
      </c>
      <c r="L55">
        <f t="shared" si="4"/>
        <v>11.664361953735352</v>
      </c>
      <c r="M55" s="35">
        <f>'Au&amp;CN_Parameter_Optimisation'!M55</f>
        <v>0.98299999999999998</v>
      </c>
      <c r="N55" s="36">
        <v>0.93543127794456082</v>
      </c>
      <c r="O55" s="83">
        <f t="shared" si="5"/>
        <v>2.3417252167701628E-3</v>
      </c>
      <c r="P55" s="2">
        <v>3.7786218274451037E-6</v>
      </c>
      <c r="Q55">
        <v>0.10302763870907035</v>
      </c>
      <c r="R55">
        <v>0.15895015926985256</v>
      </c>
      <c r="S55">
        <v>0.67344970134381044</v>
      </c>
      <c r="T55" s="35"/>
      <c r="U55" s="2"/>
      <c r="V55" s="2"/>
      <c r="W55" s="2"/>
      <c r="X55" s="2"/>
    </row>
    <row r="56" spans="1:24" x14ac:dyDescent="0.2">
      <c r="A56">
        <f t="shared" si="6"/>
        <v>10</v>
      </c>
      <c r="B56">
        <v>0.02</v>
      </c>
      <c r="C56">
        <f t="shared" si="7"/>
        <v>3.6821337881292071E-3</v>
      </c>
      <c r="E56" s="7"/>
      <c r="F56" t="s">
        <v>66</v>
      </c>
      <c r="G56">
        <f>'Au&amp;CN_Parameter_Optimisation'!G64</f>
        <v>1.6514631653530967E-2</v>
      </c>
      <c r="J56">
        <f t="shared" si="3"/>
        <v>6</v>
      </c>
      <c r="K56" s="6">
        <f>'Au&amp;CN_Parameter_Optimisation'!K56</f>
        <v>2.3328723907470703</v>
      </c>
      <c r="L56">
        <f t="shared" si="4"/>
        <v>13.997234344482422</v>
      </c>
      <c r="M56" s="35">
        <f>'Au&amp;CN_Parameter_Optimisation'!M56</f>
        <v>0.95899999999999996</v>
      </c>
      <c r="N56" s="36">
        <v>0.86716558090435802</v>
      </c>
      <c r="O56" s="83">
        <f t="shared" si="5"/>
        <v>9.1700932504140062E-3</v>
      </c>
      <c r="P56" s="2">
        <v>1.3047420344633886E-6</v>
      </c>
      <c r="Q56">
        <v>7.4545378583540781E-2</v>
      </c>
      <c r="R56">
        <v>0.11916919623497227</v>
      </c>
      <c r="S56">
        <v>0.67344970134381044</v>
      </c>
      <c r="T56" s="35"/>
    </row>
    <row r="57" spans="1:24" x14ac:dyDescent="0.2">
      <c r="A57">
        <f t="shared" si="6"/>
        <v>12</v>
      </c>
      <c r="B57">
        <v>1.4999999999999999E-2</v>
      </c>
      <c r="C57">
        <f t="shared" si="7"/>
        <v>5.4175145933149508E-4</v>
      </c>
      <c r="F57" s="16" t="s">
        <v>28</v>
      </c>
      <c r="G57">
        <f>'Au&amp;CN_Parameter_Optimisation'!G65</f>
        <v>503.75245751600414</v>
      </c>
      <c r="J57">
        <f t="shared" si="3"/>
        <v>7</v>
      </c>
      <c r="K57" s="6">
        <f>'Au&amp;CN_Parameter_Optimisation'!K57</f>
        <v>2.3328723907470703</v>
      </c>
      <c r="L57">
        <f t="shared" si="4"/>
        <v>16.330106735229492</v>
      </c>
      <c r="M57" s="35">
        <f>'Au&amp;CN_Parameter_Optimisation'!M57</f>
        <v>0.86899999999999999</v>
      </c>
      <c r="N57" s="36">
        <v>0.82922147467597618</v>
      </c>
      <c r="O57" s="83">
        <f t="shared" si="5"/>
        <v>2.0953559266884861E-3</v>
      </c>
      <c r="P57" s="2">
        <v>6.104736816308056E-7</v>
      </c>
      <c r="Q57">
        <v>5.9037945133031143E-2</v>
      </c>
      <c r="R57">
        <v>9.6733217725452902E-2</v>
      </c>
      <c r="S57">
        <v>0.67344970134381044</v>
      </c>
      <c r="T57" s="35"/>
    </row>
    <row r="58" spans="1:24" x14ac:dyDescent="0.2">
      <c r="A58">
        <f t="shared" si="6"/>
        <v>14</v>
      </c>
      <c r="B58">
        <v>5.0000000000000001E-3</v>
      </c>
      <c r="C58">
        <f t="shared" si="7"/>
        <v>7.2032929486694119E-5</v>
      </c>
      <c r="K58" s="6"/>
      <c r="M58" s="35"/>
      <c r="N58" s="36"/>
      <c r="O58" s="22"/>
      <c r="P58" s="2"/>
      <c r="T58" s="35"/>
    </row>
    <row r="59" spans="1:24" x14ac:dyDescent="0.2">
      <c r="A59">
        <f t="shared" si="6"/>
        <v>16</v>
      </c>
      <c r="B59">
        <v>0.01</v>
      </c>
      <c r="C59">
        <f t="shared" si="7"/>
        <v>8.9111125735402451E-6</v>
      </c>
      <c r="K59" s="6"/>
      <c r="M59" s="35"/>
      <c r="N59" s="36"/>
      <c r="O59" s="22"/>
      <c r="P59" s="2"/>
      <c r="T59" s="35"/>
    </row>
    <row r="60" spans="1:24" x14ac:dyDescent="0.2">
      <c r="A60">
        <f t="shared" si="6"/>
        <v>18</v>
      </c>
      <c r="B60">
        <v>0.01</v>
      </c>
      <c r="C60">
        <f t="shared" si="7"/>
        <v>1.0444094627221883E-6</v>
      </c>
      <c r="K60" s="6"/>
      <c r="M60" s="35"/>
      <c r="N60" s="36"/>
      <c r="O60" s="22"/>
      <c r="P60" s="2"/>
      <c r="T60" s="35"/>
    </row>
    <row r="61" spans="1:24" x14ac:dyDescent="0.2">
      <c r="A61">
        <f t="shared" si="6"/>
        <v>20</v>
      </c>
      <c r="B61">
        <v>0.01</v>
      </c>
      <c r="C61">
        <f t="shared" si="7"/>
        <v>1.1737613792654594E-7</v>
      </c>
      <c r="K61" s="6"/>
      <c r="M61" s="35"/>
      <c r="N61" s="36"/>
      <c r="O61" s="22"/>
      <c r="P61" s="2"/>
      <c r="T61" s="35"/>
    </row>
    <row r="62" spans="1:24" x14ac:dyDescent="0.2">
      <c r="A62">
        <f t="shared" si="6"/>
        <v>22</v>
      </c>
      <c r="B62">
        <v>5.0000000000000001E-3</v>
      </c>
      <c r="C62">
        <f t="shared" si="7"/>
        <v>1.275602007580883E-8</v>
      </c>
      <c r="O62" s="22"/>
      <c r="T62" s="4"/>
      <c r="W62" s="4"/>
    </row>
    <row r="63" spans="1:24" x14ac:dyDescent="0.2">
      <c r="A63">
        <f t="shared" si="6"/>
        <v>24</v>
      </c>
      <c r="B63">
        <v>5.0000000000000001E-3</v>
      </c>
      <c r="C63">
        <f t="shared" si="7"/>
        <v>1.3487540526103785E-9</v>
      </c>
      <c r="K63" s="4"/>
      <c r="N63" s="4"/>
      <c r="T63" s="4"/>
      <c r="W63" s="4"/>
    </row>
    <row r="64" spans="1:24" x14ac:dyDescent="0.2">
      <c r="A64">
        <f t="shared" si="6"/>
        <v>26</v>
      </c>
      <c r="B64">
        <v>0.01</v>
      </c>
      <c r="C64">
        <f t="shared" si="7"/>
        <v>1.3938710978769442E-10</v>
      </c>
      <c r="K64" s="4"/>
      <c r="N64" s="3"/>
      <c r="T64" s="4"/>
      <c r="W64" s="3"/>
    </row>
    <row r="65" spans="1:24" x14ac:dyDescent="0.2">
      <c r="A65">
        <f t="shared" si="6"/>
        <v>28</v>
      </c>
      <c r="C65">
        <f t="shared" si="7"/>
        <v>1.4129101649432563E-11</v>
      </c>
      <c r="K65" s="5"/>
      <c r="T65" s="5"/>
    </row>
    <row r="66" spans="1:24" x14ac:dyDescent="0.2">
      <c r="A66">
        <f t="shared" si="6"/>
        <v>30</v>
      </c>
      <c r="C66">
        <f t="shared" si="7"/>
        <v>1.4086721583719284E-12</v>
      </c>
      <c r="K66" s="4"/>
      <c r="T66" s="4"/>
    </row>
    <row r="67" spans="1:24" x14ac:dyDescent="0.2">
      <c r="A67">
        <f t="shared" si="6"/>
        <v>32</v>
      </c>
      <c r="C67">
        <f t="shared" si="7"/>
        <v>1.3844250401213447E-13</v>
      </c>
      <c r="K67" s="4"/>
      <c r="T67" s="4"/>
    </row>
    <row r="68" spans="1:24" x14ac:dyDescent="0.2">
      <c r="A68">
        <f t="shared" si="6"/>
        <v>34</v>
      </c>
      <c r="C68">
        <f t="shared" si="7"/>
        <v>1.3436105097713529E-14</v>
      </c>
      <c r="J68" s="1"/>
      <c r="K68" s="4"/>
      <c r="S68" s="1"/>
      <c r="T68" s="4"/>
    </row>
    <row r="69" spans="1:24" x14ac:dyDescent="0.2">
      <c r="A69">
        <f t="shared" si="6"/>
        <v>36</v>
      </c>
      <c r="C69">
        <f t="shared" si="7"/>
        <v>1.2896272286056275E-15</v>
      </c>
      <c r="K69" s="4"/>
      <c r="T69" s="4"/>
    </row>
    <row r="70" spans="1:24" x14ac:dyDescent="0.2">
      <c r="A70">
        <f t="shared" si="6"/>
        <v>38</v>
      </c>
      <c r="C70">
        <f t="shared" si="7"/>
        <v>1.2256799542152948E-16</v>
      </c>
      <c r="E70" s="2"/>
      <c r="F70" s="2"/>
      <c r="K70" s="4"/>
      <c r="T70" s="4"/>
    </row>
    <row r="71" spans="1:24" x14ac:dyDescent="0.2">
      <c r="A71">
        <f t="shared" si="6"/>
        <v>40</v>
      </c>
      <c r="C71">
        <f t="shared" si="7"/>
        <v>1.1546828003246199E-17</v>
      </c>
      <c r="K71" s="3"/>
      <c r="T71" s="3"/>
    </row>
    <row r="72" spans="1:24" x14ac:dyDescent="0.2">
      <c r="A72">
        <f t="shared" si="6"/>
        <v>42</v>
      </c>
      <c r="C72">
        <f t="shared" si="7"/>
        <v>1.079205163108225E-18</v>
      </c>
    </row>
    <row r="73" spans="1:24" x14ac:dyDescent="0.2">
      <c r="A73">
        <f t="shared" si="6"/>
        <v>44</v>
      </c>
      <c r="B73">
        <v>5.0000000000000001E-3</v>
      </c>
      <c r="C73">
        <f t="shared" si="7"/>
        <v>1.0014499750578651E-19</v>
      </c>
    </row>
    <row r="74" spans="1:24" x14ac:dyDescent="0.2">
      <c r="A74">
        <f t="shared" si="6"/>
        <v>46</v>
      </c>
      <c r="B74">
        <v>5.0000000000000001E-3</v>
      </c>
      <c r="C74">
        <f t="shared" si="7"/>
        <v>9.2325542165457369E-21</v>
      </c>
    </row>
    <row r="75" spans="1:24" x14ac:dyDescent="0.2">
      <c r="A75">
        <f t="shared" si="6"/>
        <v>48</v>
      </c>
      <c r="C75">
        <f t="shared" si="7"/>
        <v>8.4611281441790672E-22</v>
      </c>
      <c r="E75" s="3"/>
      <c r="K75" s="4"/>
      <c r="L75" s="4"/>
      <c r="M75" s="4"/>
      <c r="N75" s="4"/>
      <c r="O75" s="4"/>
      <c r="T75" s="4"/>
      <c r="U75" s="4"/>
      <c r="V75" s="4"/>
      <c r="W75" s="4"/>
      <c r="X75" s="4"/>
    </row>
    <row r="76" spans="1:24" x14ac:dyDescent="0.2">
      <c r="A76">
        <f t="shared" si="6"/>
        <v>50</v>
      </c>
      <c r="B76">
        <v>2E-3</v>
      </c>
      <c r="C76">
        <f t="shared" si="7"/>
        <v>7.7119479930341065E-23</v>
      </c>
      <c r="K76" s="4"/>
      <c r="L76" s="4"/>
      <c r="M76" s="4"/>
      <c r="N76" s="4"/>
      <c r="O76" s="4"/>
      <c r="T76" s="4"/>
      <c r="U76" s="4"/>
      <c r="V76" s="4"/>
      <c r="W76" s="4"/>
      <c r="X76" s="4"/>
    </row>
    <row r="77" spans="1:24" x14ac:dyDescent="0.2">
      <c r="A77">
        <v>52</v>
      </c>
      <c r="B77">
        <v>2E-3</v>
      </c>
      <c r="C77">
        <f t="shared" si="7"/>
        <v>6.9938940935909971E-24</v>
      </c>
    </row>
    <row r="78" spans="1:24" x14ac:dyDescent="0.2">
      <c r="K78" s="2"/>
      <c r="L78" s="2"/>
      <c r="M78" s="2"/>
      <c r="N78" s="2"/>
      <c r="O78" s="2"/>
      <c r="T78" s="2"/>
      <c r="U78" s="2"/>
      <c r="V78" s="2"/>
      <c r="W78" s="2"/>
      <c r="X78" s="2"/>
    </row>
    <row r="79" spans="1:24" x14ac:dyDescent="0.2">
      <c r="C79" t="s">
        <v>82</v>
      </c>
    </row>
    <row r="80" spans="1:24" x14ac:dyDescent="0.2">
      <c r="B80" s="4"/>
    </row>
    <row r="81" spans="2:24" x14ac:dyDescent="0.2">
      <c r="B81" s="4"/>
    </row>
    <row r="82" spans="2:24" x14ac:dyDescent="0.2">
      <c r="B82" s="4"/>
    </row>
    <row r="85" spans="2:24" x14ac:dyDescent="0.2">
      <c r="B85" s="3"/>
      <c r="K85" s="4"/>
      <c r="N85" s="4"/>
      <c r="T85" s="4"/>
      <c r="W85" s="4"/>
    </row>
    <row r="86" spans="2:24" x14ac:dyDescent="0.2">
      <c r="K86" s="4"/>
      <c r="N86" s="4"/>
      <c r="T86" s="4"/>
      <c r="W86" s="4"/>
    </row>
    <row r="87" spans="2:24" x14ac:dyDescent="0.2">
      <c r="K87" s="5"/>
      <c r="N87" s="3"/>
      <c r="T87" s="5"/>
      <c r="W87" s="3"/>
    </row>
    <row r="88" spans="2:24" x14ac:dyDescent="0.2">
      <c r="K88" s="5"/>
      <c r="T88" s="5"/>
    </row>
    <row r="89" spans="2:24" x14ac:dyDescent="0.2">
      <c r="B89" s="2"/>
      <c r="C89" s="2"/>
      <c r="D89" s="2"/>
      <c r="E89" s="2"/>
      <c r="F89" s="2"/>
      <c r="K89" s="4"/>
      <c r="T89" s="4"/>
    </row>
    <row r="90" spans="2:24" x14ac:dyDescent="0.2">
      <c r="K90" s="4"/>
      <c r="T90" s="4"/>
    </row>
    <row r="91" spans="2:24" x14ac:dyDescent="0.2">
      <c r="J91" s="1"/>
      <c r="K91" s="4"/>
      <c r="S91" s="1"/>
      <c r="T91" s="4"/>
    </row>
    <row r="92" spans="2:24" x14ac:dyDescent="0.2">
      <c r="K92" s="4"/>
      <c r="T92" s="4"/>
    </row>
    <row r="93" spans="2:24" x14ac:dyDescent="0.2">
      <c r="B93" s="4"/>
      <c r="K93" s="4"/>
      <c r="T93" s="4"/>
    </row>
    <row r="94" spans="2:24" x14ac:dyDescent="0.2">
      <c r="E94" s="3"/>
      <c r="K94" s="3"/>
      <c r="T94" s="3"/>
    </row>
    <row r="95" spans="2:24" x14ac:dyDescent="0.2">
      <c r="B95" s="4"/>
    </row>
    <row r="96" spans="2:24" x14ac:dyDescent="0.2">
      <c r="B96" s="4"/>
    </row>
    <row r="97" spans="2:24" x14ac:dyDescent="0.2">
      <c r="B97" s="4"/>
    </row>
    <row r="98" spans="2:24" x14ac:dyDescent="0.2">
      <c r="B98" s="4"/>
      <c r="K98" s="4"/>
      <c r="L98" s="4"/>
      <c r="M98" s="4"/>
      <c r="N98" s="4"/>
      <c r="O98" s="4"/>
      <c r="T98" s="4"/>
      <c r="U98" s="4"/>
      <c r="V98" s="4"/>
      <c r="W98" s="4"/>
      <c r="X98" s="4"/>
    </row>
    <row r="99" spans="2:24" x14ac:dyDescent="0.2">
      <c r="B99" s="4"/>
      <c r="K99" s="4"/>
      <c r="L99" s="4"/>
      <c r="M99" s="4"/>
      <c r="N99" s="4"/>
      <c r="O99" s="4"/>
      <c r="T99" s="4"/>
      <c r="U99" s="4"/>
      <c r="V99" s="4"/>
      <c r="W99" s="4"/>
      <c r="X99" s="4"/>
    </row>
    <row r="100" spans="2:24" x14ac:dyDescent="0.2">
      <c r="B100" s="4"/>
    </row>
    <row r="101" spans="2:24" x14ac:dyDescent="0.2">
      <c r="B101" s="4"/>
      <c r="K101" s="2"/>
      <c r="L101" s="2"/>
      <c r="M101" s="2"/>
      <c r="N101" s="2"/>
      <c r="O101" s="2"/>
      <c r="T101" s="2"/>
      <c r="U101" s="2"/>
      <c r="V101" s="2"/>
      <c r="W101" s="2"/>
      <c r="X101" s="2"/>
    </row>
    <row r="104" spans="2:24" x14ac:dyDescent="0.2">
      <c r="B104" s="3"/>
    </row>
    <row r="108" spans="2:24" x14ac:dyDescent="0.2">
      <c r="B108" s="2"/>
      <c r="C108" s="2"/>
      <c r="D108" s="2"/>
      <c r="E108" s="2"/>
      <c r="F108" s="2"/>
    </row>
    <row r="110" spans="2:24" x14ac:dyDescent="0.2">
      <c r="K110" s="4"/>
    </row>
    <row r="111" spans="2:24" x14ac:dyDescent="0.2">
      <c r="K111" s="3"/>
      <c r="N111" s="3"/>
    </row>
    <row r="112" spans="2:24" x14ac:dyDescent="0.2">
      <c r="B112" s="3"/>
      <c r="K112" s="3"/>
    </row>
    <row r="113" spans="2:15" x14ac:dyDescent="0.2">
      <c r="E113" s="3"/>
    </row>
    <row r="114" spans="2:15" x14ac:dyDescent="0.2">
      <c r="B114" s="4"/>
    </row>
    <row r="115" spans="2:15" x14ac:dyDescent="0.2">
      <c r="B115" s="4"/>
      <c r="J115" s="1"/>
    </row>
    <row r="116" spans="2:15" x14ac:dyDescent="0.2">
      <c r="B116" s="4"/>
    </row>
    <row r="117" spans="2:15" x14ac:dyDescent="0.2">
      <c r="B117" s="4"/>
    </row>
    <row r="118" spans="2:15" x14ac:dyDescent="0.2">
      <c r="B118" s="4"/>
      <c r="K118" s="3"/>
    </row>
    <row r="119" spans="2:15" x14ac:dyDescent="0.2">
      <c r="B119" s="4"/>
    </row>
    <row r="120" spans="2:15" x14ac:dyDescent="0.2">
      <c r="B120" s="4"/>
    </row>
    <row r="122" spans="2:15" x14ac:dyDescent="0.2">
      <c r="K122" s="4"/>
      <c r="L122" s="4"/>
      <c r="M122" s="4"/>
      <c r="N122" s="4"/>
      <c r="O122" s="4"/>
    </row>
    <row r="123" spans="2:15" x14ac:dyDescent="0.2">
      <c r="B123" s="3"/>
      <c r="K123" s="4"/>
      <c r="L123" s="4"/>
      <c r="M123" s="4"/>
      <c r="N123" s="4"/>
      <c r="O123" s="4"/>
    </row>
    <row r="125" spans="2:15" x14ac:dyDescent="0.2">
      <c r="K125" s="2"/>
      <c r="L125" s="2"/>
      <c r="M125" s="2"/>
      <c r="N125" s="2"/>
      <c r="O125" s="2"/>
    </row>
    <row r="127" spans="2:15" x14ac:dyDescent="0.2">
      <c r="B127" s="2"/>
      <c r="C127" s="2"/>
      <c r="D127" s="2"/>
      <c r="E127" s="2"/>
      <c r="F127" s="2"/>
    </row>
    <row r="132" spans="2:5" x14ac:dyDescent="0.2">
      <c r="E132" s="3"/>
    </row>
    <row r="133" spans="2:5" x14ac:dyDescent="0.2">
      <c r="B133" s="4"/>
    </row>
    <row r="134" spans="2:5" x14ac:dyDescent="0.2">
      <c r="B134" s="4"/>
    </row>
    <row r="135" spans="2:5" x14ac:dyDescent="0.2">
      <c r="B135" s="4"/>
    </row>
    <row r="136" spans="2:5" x14ac:dyDescent="0.2">
      <c r="B136" s="4"/>
    </row>
    <row r="137" spans="2:5" x14ac:dyDescent="0.2">
      <c r="B137" s="4"/>
    </row>
    <row r="138" spans="2:5" x14ac:dyDescent="0.2">
      <c r="B138" s="4"/>
    </row>
    <row r="139" spans="2:5" x14ac:dyDescent="0.2">
      <c r="B139" s="4"/>
    </row>
    <row r="142" spans="2:5" x14ac:dyDescent="0.2">
      <c r="B142" s="3"/>
    </row>
    <row r="146" spans="2:6" x14ac:dyDescent="0.2">
      <c r="B146" s="2"/>
      <c r="C146" s="2"/>
      <c r="D146" s="2"/>
      <c r="E146" s="2"/>
      <c r="F146" s="2"/>
    </row>
    <row r="151" spans="2:6" x14ac:dyDescent="0.2">
      <c r="E151" s="3"/>
    </row>
    <row r="152" spans="2:6" x14ac:dyDescent="0.2">
      <c r="B152" s="4"/>
    </row>
    <row r="153" spans="2:6" x14ac:dyDescent="0.2">
      <c r="B153" s="4"/>
    </row>
    <row r="154" spans="2:6" x14ac:dyDescent="0.2">
      <c r="B154" s="4"/>
    </row>
    <row r="155" spans="2:6" x14ac:dyDescent="0.2">
      <c r="B155" s="4"/>
    </row>
    <row r="156" spans="2:6" x14ac:dyDescent="0.2">
      <c r="B156" s="4"/>
    </row>
    <row r="157" spans="2:6" x14ac:dyDescent="0.2">
      <c r="B157" s="4"/>
    </row>
    <row r="158" spans="2:6" x14ac:dyDescent="0.2">
      <c r="B158" s="4"/>
    </row>
    <row r="161" spans="2:6" x14ac:dyDescent="0.2">
      <c r="B161" s="3"/>
    </row>
    <row r="165" spans="2:6" x14ac:dyDescent="0.2">
      <c r="B165" s="2"/>
      <c r="C165" s="2"/>
      <c r="D165" s="2"/>
      <c r="E165" s="2"/>
      <c r="F165" s="2"/>
    </row>
    <row r="168" spans="2:6" x14ac:dyDescent="0.2"/>
    <row r="170" spans="2:6" x14ac:dyDescent="0.2">
      <c r="E170" s="3"/>
    </row>
    <row r="171" spans="2:6" x14ac:dyDescent="0.2">
      <c r="B171" s="4"/>
    </row>
    <row r="172" spans="2:6" x14ac:dyDescent="0.2">
      <c r="B172" s="4"/>
    </row>
    <row r="173" spans="2:6" x14ac:dyDescent="0.2">
      <c r="B173" s="4"/>
    </row>
    <row r="174" spans="2:6" x14ac:dyDescent="0.2">
      <c r="B174" s="4"/>
    </row>
    <row r="175" spans="2:6" x14ac:dyDescent="0.2">
      <c r="B175" s="4"/>
    </row>
    <row r="176" spans="2:6" x14ac:dyDescent="0.2">
      <c r="B176" s="4"/>
    </row>
    <row r="177" spans="2:6" x14ac:dyDescent="0.2">
      <c r="B177" s="4"/>
    </row>
    <row r="180" spans="2:6" x14ac:dyDescent="0.2">
      <c r="B180" s="3"/>
    </row>
    <row r="184" spans="2:6" x14ac:dyDescent="0.2">
      <c r="B184" s="2"/>
      <c r="C184" s="2"/>
      <c r="D184" s="2"/>
      <c r="E184" s="2"/>
      <c r="F184" s="2"/>
    </row>
    <row r="187" spans="2:6" x14ac:dyDescent="0.2"/>
    <row r="189" spans="2:6" x14ac:dyDescent="0.2">
      <c r="E189" s="3"/>
    </row>
    <row r="190" spans="2:6" x14ac:dyDescent="0.2">
      <c r="B190" s="4"/>
    </row>
    <row r="191" spans="2:6" x14ac:dyDescent="0.2">
      <c r="B191" s="4"/>
    </row>
    <row r="192" spans="2:6" x14ac:dyDescent="0.2">
      <c r="B192" s="4"/>
    </row>
    <row r="193" spans="2:6" x14ac:dyDescent="0.2">
      <c r="B193" s="4"/>
    </row>
    <row r="194" spans="2:6" x14ac:dyDescent="0.2">
      <c r="B194" s="4"/>
    </row>
    <row r="195" spans="2:6" x14ac:dyDescent="0.2">
      <c r="B195" s="4"/>
    </row>
    <row r="196" spans="2:6" x14ac:dyDescent="0.2">
      <c r="B196" s="4"/>
    </row>
    <row r="199" spans="2:6" x14ac:dyDescent="0.2">
      <c r="B199" s="3"/>
    </row>
    <row r="203" spans="2:6" x14ac:dyDescent="0.2">
      <c r="B203" s="2"/>
      <c r="C203" s="2"/>
      <c r="D203" s="2"/>
      <c r="E203" s="2"/>
      <c r="F203" s="2"/>
    </row>
    <row r="206" spans="2:6" x14ac:dyDescent="0.2"/>
    <row r="208" spans="2:6" x14ac:dyDescent="0.2">
      <c r="E208" s="3"/>
    </row>
    <row r="209" spans="2:6" x14ac:dyDescent="0.2">
      <c r="B209" s="4"/>
    </row>
    <row r="210" spans="2:6" x14ac:dyDescent="0.2">
      <c r="B210" s="4"/>
    </row>
    <row r="211" spans="2:6" x14ac:dyDescent="0.2">
      <c r="B211" s="4"/>
    </row>
    <row r="212" spans="2:6" x14ac:dyDescent="0.2">
      <c r="B212" s="4"/>
    </row>
    <row r="213" spans="2:6" x14ac:dyDescent="0.2">
      <c r="B213" s="4"/>
    </row>
    <row r="214" spans="2:6" x14ac:dyDescent="0.2">
      <c r="B214" s="4"/>
    </row>
    <row r="215" spans="2:6" x14ac:dyDescent="0.2">
      <c r="B215" s="4"/>
    </row>
    <row r="218" spans="2:6" x14ac:dyDescent="0.2">
      <c r="B218" s="3"/>
    </row>
    <row r="222" spans="2:6" x14ac:dyDescent="0.2">
      <c r="B222" s="2"/>
      <c r="C222" s="2"/>
      <c r="D222" s="2"/>
      <c r="E222" s="2"/>
      <c r="F222" s="2"/>
    </row>
    <row r="225" spans="2:6" x14ac:dyDescent="0.2"/>
    <row r="227" spans="2:6" x14ac:dyDescent="0.2">
      <c r="E227" s="3"/>
    </row>
    <row r="228" spans="2:6" x14ac:dyDescent="0.2">
      <c r="B228" s="4"/>
    </row>
    <row r="229" spans="2:6" x14ac:dyDescent="0.2">
      <c r="B229" s="4"/>
    </row>
    <row r="230" spans="2:6" x14ac:dyDescent="0.2">
      <c r="B230" s="4"/>
    </row>
    <row r="231" spans="2:6" x14ac:dyDescent="0.2">
      <c r="B231" s="4"/>
    </row>
    <row r="232" spans="2:6" x14ac:dyDescent="0.2">
      <c r="B232" s="4"/>
    </row>
    <row r="233" spans="2:6" x14ac:dyDescent="0.2">
      <c r="B233" s="4"/>
    </row>
    <row r="234" spans="2:6" x14ac:dyDescent="0.2">
      <c r="B234" s="4"/>
    </row>
    <row r="237" spans="2:6" x14ac:dyDescent="0.2">
      <c r="B237" s="3"/>
    </row>
    <row r="241" spans="2:6" x14ac:dyDescent="0.2">
      <c r="B241" s="2"/>
      <c r="C241" s="2"/>
      <c r="D241" s="2"/>
      <c r="E241" s="2"/>
      <c r="F241" s="2"/>
    </row>
    <row r="244" spans="2:6" x14ac:dyDescent="0.2"/>
  </sheetData>
  <pageMargins left="0.7" right="0.7" top="0.75" bottom="0.75" header="0.3" footer="0.3"/>
  <pageSetup paperSize="9" orientation="portrait" r:id="rId1"/>
  <headerFooter>
    <oddFooter>&amp;C&amp;1#&amp;"Arial"&amp;10&amp;K000000General</oddFooter>
  </headerFooter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5" name="Button 17">
              <controlPr defaultSize="0" print="0" autoFill="0" autoPict="0" macro="[0]!Calc_CN_Profile_Confirm">
                <anchor moveWithCells="1" sizeWithCells="1">
                  <from>
                    <xdr:col>4</xdr:col>
                    <xdr:colOff>203200</xdr:colOff>
                    <xdr:row>12</xdr:row>
                    <xdr:rowOff>101600</xdr:rowOff>
                  </from>
                  <to>
                    <xdr:col>5</xdr:col>
                    <xdr:colOff>558800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Calc_Leach_Profile_Confirm">
                <anchor moveWithCells="1" sizeWithCells="1">
                  <from>
                    <xdr:col>7</xdr:col>
                    <xdr:colOff>177800</xdr:colOff>
                    <xdr:row>52</xdr:row>
                    <xdr:rowOff>139700</xdr:rowOff>
                  </from>
                  <to>
                    <xdr:col>9</xdr:col>
                    <xdr:colOff>215900</xdr:colOff>
                    <xdr:row>54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Calc_CN_and_Leach_Profiles">
                <anchor moveWithCells="1" sizeWithCells="1">
                  <from>
                    <xdr:col>6</xdr:col>
                    <xdr:colOff>241300</xdr:colOff>
                    <xdr:row>0</xdr:row>
                    <xdr:rowOff>101600</xdr:rowOff>
                  </from>
                  <to>
                    <xdr:col>7</xdr:col>
                    <xdr:colOff>482600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94"/>
  <sheetViews>
    <sheetView workbookViewId="0">
      <selection activeCell="O73" sqref="O73"/>
    </sheetView>
  </sheetViews>
  <sheetFormatPr baseColWidth="10" defaultColWidth="8.83203125" defaultRowHeight="15" x14ac:dyDescent="0.2"/>
  <cols>
    <col min="1" max="1" width="21.5" customWidth="1"/>
    <col min="2" max="2" width="16.83203125" customWidth="1"/>
    <col min="3" max="3" width="11.83203125" customWidth="1"/>
    <col min="5" max="5" width="13.5" customWidth="1"/>
    <col min="7" max="7" width="10.83203125" customWidth="1"/>
    <col min="10" max="10" width="12" bestFit="1" customWidth="1"/>
    <col min="12" max="12" width="16.83203125" customWidth="1"/>
    <col min="13" max="13" width="11.83203125" customWidth="1"/>
    <col min="14" max="14" width="11.33203125" customWidth="1"/>
    <col min="15" max="15" width="12" customWidth="1"/>
    <col min="16" max="16" width="13.5" customWidth="1"/>
    <col min="17" max="17" width="14.5" customWidth="1"/>
    <col min="18" max="18" width="15.6640625" customWidth="1"/>
    <col min="19" max="19" width="15" customWidth="1"/>
    <col min="26" max="26" width="16.6640625" customWidth="1"/>
  </cols>
  <sheetData>
    <row r="1" spans="1:12" x14ac:dyDescent="0.2">
      <c r="A1" t="s">
        <v>68</v>
      </c>
    </row>
    <row r="3" spans="1:12" x14ac:dyDescent="0.2">
      <c r="A3" t="s">
        <v>69</v>
      </c>
      <c r="F3" t="s">
        <v>60</v>
      </c>
    </row>
    <row r="4" spans="1:12" x14ac:dyDescent="0.2">
      <c r="A4" t="s">
        <v>70</v>
      </c>
      <c r="B4" t="s">
        <v>77</v>
      </c>
      <c r="C4" t="s">
        <v>81</v>
      </c>
      <c r="D4" t="s">
        <v>24</v>
      </c>
      <c r="F4" t="s">
        <v>63</v>
      </c>
      <c r="G4">
        <v>9.9499999999999993</v>
      </c>
      <c r="H4" t="s">
        <v>67</v>
      </c>
    </row>
    <row r="5" spans="1:12" x14ac:dyDescent="0.2">
      <c r="A5">
        <v>2</v>
      </c>
      <c r="B5">
        <v>0.08</v>
      </c>
      <c r="C5">
        <f>GAMMADIST(E25, $K$7, $K$8, FALSE)</f>
        <v>3.0368188753201213E-23</v>
      </c>
      <c r="D5">
        <f>IF(ISBLANK(B5), 0, (B5-C5)^2)</f>
        <v>6.4000000000000003E-3</v>
      </c>
      <c r="F5" t="s">
        <v>61</v>
      </c>
      <c r="G5">
        <v>5.5</v>
      </c>
      <c r="J5" t="s">
        <v>64</v>
      </c>
      <c r="K5">
        <f>G5*G6</f>
        <v>7.15</v>
      </c>
      <c r="L5" t="s">
        <v>67</v>
      </c>
    </row>
    <row r="6" spans="1:12" x14ac:dyDescent="0.2">
      <c r="A6">
        <f>A5+2</f>
        <v>4</v>
      </c>
      <c r="B6">
        <v>0.23</v>
      </c>
      <c r="C6">
        <f t="shared" ref="C6:C30" si="0">GAMMADIST(E26, $K$7, $K$8, FALSE)</f>
        <v>1.1673284309191329E-14</v>
      </c>
      <c r="D6">
        <f t="shared" ref="D6:D30" si="1">IF(ISBLANK(B6), 0, (B6-C6)^2)</f>
        <v>5.2899999999994632E-2</v>
      </c>
      <c r="F6" s="1" t="s">
        <v>62</v>
      </c>
      <c r="G6">
        <v>1.3</v>
      </c>
      <c r="J6" t="s">
        <v>65</v>
      </c>
      <c r="K6">
        <f>SQRT(G5*G6^2)</f>
        <v>3.0487702438852295</v>
      </c>
      <c r="L6" t="s">
        <v>67</v>
      </c>
    </row>
    <row r="7" spans="1:12" ht="17" x14ac:dyDescent="0.25">
      <c r="A7">
        <f t="shared" ref="A7:A29" si="2">A6+2</f>
        <v>6</v>
      </c>
      <c r="B7">
        <v>0.09</v>
      </c>
      <c r="C7">
        <f t="shared" si="0"/>
        <v>6.3629858333618523E-11</v>
      </c>
      <c r="D7">
        <f t="shared" si="1"/>
        <v>8.0999999885466231E-3</v>
      </c>
      <c r="F7" t="s">
        <v>85</v>
      </c>
      <c r="G7" s="23">
        <v>94200</v>
      </c>
      <c r="J7" s="1" t="s">
        <v>76</v>
      </c>
      <c r="K7">
        <v>19.992669335352335</v>
      </c>
    </row>
    <row r="8" spans="1:12" ht="17" x14ac:dyDescent="0.25">
      <c r="A8">
        <f t="shared" si="2"/>
        <v>8</v>
      </c>
      <c r="B8">
        <v>0.04</v>
      </c>
      <c r="C8">
        <f t="shared" si="0"/>
        <v>1.2647082973680647E-8</v>
      </c>
      <c r="D8">
        <f t="shared" si="1"/>
        <v>1.5999989882335224E-3</v>
      </c>
      <c r="F8" t="s">
        <v>86</v>
      </c>
      <c r="G8" s="23">
        <v>14300</v>
      </c>
      <c r="J8" s="1" t="s">
        <v>75</v>
      </c>
      <c r="K8">
        <v>1.8208188788656694</v>
      </c>
    </row>
    <row r="9" spans="1:12" x14ac:dyDescent="0.2">
      <c r="A9">
        <f t="shared" si="2"/>
        <v>10</v>
      </c>
      <c r="B9">
        <v>0.02</v>
      </c>
      <c r="C9">
        <f t="shared" si="0"/>
        <v>4.9877322834915362E-7</v>
      </c>
      <c r="D9">
        <f t="shared" si="1"/>
        <v>3.9998004931964085E-4</v>
      </c>
      <c r="F9" t="s">
        <v>66</v>
      </c>
      <c r="G9">
        <v>6.7000000000000004E-2</v>
      </c>
    </row>
    <row r="10" spans="1:12" x14ac:dyDescent="0.2">
      <c r="A10">
        <f t="shared" si="2"/>
        <v>12</v>
      </c>
      <c r="B10">
        <v>1.4999999999999999E-2</v>
      </c>
      <c r="C10">
        <f t="shared" si="0"/>
        <v>7.5177097463460922E-6</v>
      </c>
      <c r="D10">
        <f t="shared" si="1"/>
        <v>2.2477452522356946E-4</v>
      </c>
    </row>
    <row r="11" spans="1:12" x14ac:dyDescent="0.2">
      <c r="A11">
        <f t="shared" si="2"/>
        <v>14</v>
      </c>
      <c r="B11">
        <v>5.0000000000000001E-3</v>
      </c>
      <c r="C11">
        <f t="shared" si="0"/>
        <v>5.9839000986804863E-5</v>
      </c>
      <c r="D11">
        <f t="shared" si="1"/>
        <v>2.4405190696171047E-5</v>
      </c>
      <c r="F11" t="s">
        <v>94</v>
      </c>
      <c r="G11">
        <v>19.7</v>
      </c>
      <c r="H11" t="s">
        <v>95</v>
      </c>
    </row>
    <row r="12" spans="1:12" x14ac:dyDescent="0.2">
      <c r="A12">
        <f t="shared" si="2"/>
        <v>16</v>
      </c>
      <c r="B12">
        <v>0.01</v>
      </c>
      <c r="C12">
        <f t="shared" si="0"/>
        <v>3.0220867475076903E-4</v>
      </c>
      <c r="D12">
        <f t="shared" si="1"/>
        <v>9.4047156588079244E-5</v>
      </c>
      <c r="G12">
        <v>19700</v>
      </c>
      <c r="H12" t="s">
        <v>96</v>
      </c>
    </row>
    <row r="13" spans="1:12" x14ac:dyDescent="0.2">
      <c r="A13">
        <f t="shared" si="2"/>
        <v>18</v>
      </c>
      <c r="B13">
        <v>0.01</v>
      </c>
      <c r="C13">
        <f t="shared" si="0"/>
        <v>1.0856053676831013E-3</v>
      </c>
      <c r="D13">
        <f t="shared" si="1"/>
        <v>7.9466431660680346E-5</v>
      </c>
      <c r="G13">
        <f>G12*1000</f>
        <v>19700000</v>
      </c>
      <c r="H13" t="s">
        <v>97</v>
      </c>
    </row>
    <row r="14" spans="1:12" x14ac:dyDescent="0.2">
      <c r="A14">
        <f t="shared" si="2"/>
        <v>20</v>
      </c>
      <c r="B14">
        <v>0.01</v>
      </c>
      <c r="C14">
        <f t="shared" si="0"/>
        <v>2.9927796199050939E-3</v>
      </c>
      <c r="D14">
        <f t="shared" si="1"/>
        <v>4.9101137455217411E-5</v>
      </c>
    </row>
    <row r="15" spans="1:12" x14ac:dyDescent="0.2">
      <c r="A15">
        <f t="shared" si="2"/>
        <v>22</v>
      </c>
      <c r="B15">
        <v>5.0000000000000001E-3</v>
      </c>
      <c r="C15">
        <f t="shared" si="0"/>
        <v>6.676859482996747E-3</v>
      </c>
      <c r="D15">
        <f t="shared" si="1"/>
        <v>2.8118577257161172E-6</v>
      </c>
    </row>
    <row r="16" spans="1:12" x14ac:dyDescent="0.2">
      <c r="A16">
        <f t="shared" si="2"/>
        <v>24</v>
      </c>
      <c r="B16">
        <v>5.0000000000000001E-3</v>
      </c>
      <c r="C16">
        <f t="shared" si="0"/>
        <v>1.2528897210780286E-2</v>
      </c>
      <c r="D16">
        <f t="shared" si="1"/>
        <v>5.6684293210495171E-5</v>
      </c>
    </row>
    <row r="17" spans="1:31" x14ac:dyDescent="0.2">
      <c r="A17">
        <f t="shared" si="2"/>
        <v>26</v>
      </c>
      <c r="B17">
        <v>0.01</v>
      </c>
      <c r="C17">
        <f t="shared" si="0"/>
        <v>2.0353852203566357E-2</v>
      </c>
      <c r="D17">
        <f t="shared" si="1"/>
        <v>1.0720225545329589E-4</v>
      </c>
    </row>
    <row r="18" spans="1:31" x14ac:dyDescent="0.2">
      <c r="A18">
        <f t="shared" si="2"/>
        <v>28</v>
      </c>
      <c r="C18">
        <f t="shared" si="0"/>
        <v>2.9269877295665846E-2</v>
      </c>
      <c r="D18">
        <f t="shared" si="1"/>
        <v>0</v>
      </c>
    </row>
    <row r="19" spans="1:31" x14ac:dyDescent="0.2">
      <c r="A19">
        <f t="shared" si="2"/>
        <v>30</v>
      </c>
      <c r="C19">
        <f t="shared" si="0"/>
        <v>3.7915063751858206E-2</v>
      </c>
      <c r="D19">
        <f t="shared" si="1"/>
        <v>0</v>
      </c>
    </row>
    <row r="20" spans="1:31" x14ac:dyDescent="0.2">
      <c r="A20">
        <f t="shared" si="2"/>
        <v>32</v>
      </c>
      <c r="C20">
        <f t="shared" si="0"/>
        <v>4.4861897571762295E-2</v>
      </c>
      <c r="D20">
        <f t="shared" si="1"/>
        <v>0</v>
      </c>
    </row>
    <row r="21" spans="1:31" ht="16" thickBot="1" x14ac:dyDescent="0.25">
      <c r="A21">
        <f t="shared" si="2"/>
        <v>34</v>
      </c>
      <c r="C21">
        <f t="shared" si="0"/>
        <v>4.9038730586458405E-2</v>
      </c>
      <c r="D21">
        <f t="shared" si="1"/>
        <v>0</v>
      </c>
    </row>
    <row r="22" spans="1:31" ht="19" x14ac:dyDescent="0.25">
      <c r="A22">
        <f t="shared" si="2"/>
        <v>36</v>
      </c>
      <c r="C22">
        <f t="shared" si="0"/>
        <v>4.9985935586001229E-2</v>
      </c>
      <c r="D22">
        <f t="shared" si="1"/>
        <v>0</v>
      </c>
      <c r="E22" s="80" t="s">
        <v>73</v>
      </c>
      <c r="F22" s="81"/>
      <c r="G22" s="81"/>
      <c r="H22" s="81"/>
      <c r="I22" s="81"/>
      <c r="J22" s="82"/>
      <c r="L22" s="75" t="s">
        <v>79</v>
      </c>
      <c r="M22" s="73"/>
      <c r="N22" s="73"/>
      <c r="O22" s="73"/>
      <c r="P22" s="73"/>
      <c r="Q22" s="74"/>
      <c r="S22" s="77" t="s">
        <v>78</v>
      </c>
      <c r="T22" s="78"/>
      <c r="U22" s="78"/>
      <c r="V22" s="78"/>
      <c r="W22" s="78"/>
      <c r="X22" s="79"/>
      <c r="Z22" s="75" t="s">
        <v>80</v>
      </c>
      <c r="AA22" s="73"/>
      <c r="AB22" s="73"/>
      <c r="AC22" s="73"/>
      <c r="AD22" s="73"/>
      <c r="AE22" s="74"/>
    </row>
    <row r="23" spans="1:31" x14ac:dyDescent="0.2">
      <c r="A23">
        <f t="shared" si="2"/>
        <v>38</v>
      </c>
      <c r="C23">
        <f t="shared" si="0"/>
        <v>4.7882715638102188E-2</v>
      </c>
      <c r="D23">
        <f t="shared" si="1"/>
        <v>0</v>
      </c>
      <c r="E23" s="24"/>
      <c r="F23" s="72" t="s">
        <v>71</v>
      </c>
      <c r="G23" s="72"/>
      <c r="H23" s="72"/>
      <c r="I23" s="72"/>
      <c r="J23" s="76"/>
      <c r="L23" s="24"/>
      <c r="M23" s="72" t="s">
        <v>71</v>
      </c>
      <c r="N23" s="72"/>
      <c r="O23" s="72"/>
      <c r="P23" s="72"/>
      <c r="Q23" s="76"/>
      <c r="S23" s="24"/>
      <c r="T23" s="72" t="s">
        <v>71</v>
      </c>
      <c r="U23" s="72"/>
      <c r="V23" s="72"/>
      <c r="W23" s="72"/>
      <c r="X23" s="76"/>
      <c r="Z23" s="24"/>
      <c r="AA23" s="72" t="s">
        <v>71</v>
      </c>
      <c r="AB23" s="72"/>
      <c r="AC23" s="72"/>
      <c r="AD23" s="72"/>
      <c r="AE23" s="76"/>
    </row>
    <row r="24" spans="1:31" x14ac:dyDescent="0.2">
      <c r="A24">
        <f t="shared" si="2"/>
        <v>40</v>
      </c>
      <c r="C24">
        <f t="shared" si="0"/>
        <v>4.3388426300045843E-2</v>
      </c>
      <c r="D24">
        <f t="shared" si="1"/>
        <v>0</v>
      </c>
      <c r="E24" s="24" t="s">
        <v>72</v>
      </c>
      <c r="F24">
        <f>'Au&amp;CN_Parameter_Optimisation'!B8</f>
        <v>12.5</v>
      </c>
      <c r="G24">
        <f>'Au&amp;CN_Parameter_Optimisation'!C8</f>
        <v>31.5</v>
      </c>
      <c r="H24">
        <f>'Au&amp;CN_Parameter_Optimisation'!D8</f>
        <v>45.5</v>
      </c>
      <c r="I24">
        <f>'Au&amp;CN_Parameter_Optimisation'!E8</f>
        <v>64</v>
      </c>
      <c r="J24" s="25">
        <f>'Au&amp;CN_Parameter_Optimisation'!F8</f>
        <v>90.5</v>
      </c>
      <c r="L24" s="24" t="s">
        <v>72</v>
      </c>
      <c r="M24">
        <f>T24</f>
        <v>12.5</v>
      </c>
      <c r="N24">
        <f>U24</f>
        <v>31.5</v>
      </c>
      <c r="O24">
        <f>V24</f>
        <v>45.5</v>
      </c>
      <c r="P24">
        <f>W24</f>
        <v>64</v>
      </c>
      <c r="Q24" s="25">
        <f>X24</f>
        <v>90.5</v>
      </c>
      <c r="S24" s="24" t="s">
        <v>72</v>
      </c>
      <c r="T24">
        <f>F24</f>
        <v>12.5</v>
      </c>
      <c r="U24">
        <f>G24</f>
        <v>31.5</v>
      </c>
      <c r="V24">
        <f>H24</f>
        <v>45.5</v>
      </c>
      <c r="W24">
        <f>I24</f>
        <v>64</v>
      </c>
      <c r="X24" s="25">
        <f>J24</f>
        <v>90.5</v>
      </c>
      <c r="Z24" s="24" t="s">
        <v>72</v>
      </c>
      <c r="AA24">
        <f>M24</f>
        <v>12.5</v>
      </c>
      <c r="AB24">
        <f>N24</f>
        <v>31.5</v>
      </c>
      <c r="AC24">
        <f>O24</f>
        <v>45.5</v>
      </c>
      <c r="AD24">
        <f>P24</f>
        <v>64</v>
      </c>
      <c r="AE24" s="25">
        <f>Q24</f>
        <v>90.5</v>
      </c>
    </row>
    <row r="25" spans="1:31" x14ac:dyDescent="0.2">
      <c r="A25">
        <f t="shared" si="2"/>
        <v>42</v>
      </c>
      <c r="C25">
        <f t="shared" si="0"/>
        <v>3.7397999841493779E-2</v>
      </c>
      <c r="D25">
        <f t="shared" si="1"/>
        <v>0</v>
      </c>
      <c r="E25" s="29">
        <f>1</f>
        <v>1</v>
      </c>
      <c r="F25">
        <f>IF($E25&lt;=F$24,($E25^3+2.25*$E25^2*(F$24-$E25))/F$24^3,0)</f>
        <v>1.376E-2</v>
      </c>
      <c r="G25">
        <f t="shared" ref="G25:J40" si="3">IF($E25&lt;=G$24,($E25^3+2.25*$E25^2*(G$24-$E25))/G$24^3,0)</f>
        <v>2.2275812147316307E-3</v>
      </c>
      <c r="H25">
        <f t="shared" si="3"/>
        <v>1.0735551129223391E-3</v>
      </c>
      <c r="I25">
        <f t="shared" si="3"/>
        <v>5.4454803466796875E-4</v>
      </c>
      <c r="J25" s="25">
        <f t="shared" si="3"/>
        <v>2.730304746868371E-4</v>
      </c>
      <c r="L25" s="24">
        <f t="shared" ref="L25:L50" si="4">S25</f>
        <v>1</v>
      </c>
      <c r="M25">
        <f t="shared" ref="M25:M50" si="5">IF($L25&lt;=M$24, (3*$L25*(M$24-$L25)^2+0.75*$L25^2*(M$24-$L25))/M$24^3,0)</f>
        <v>0.20755199999999999</v>
      </c>
      <c r="N25">
        <f t="shared" ref="N25:Q40" si="6">IF($L25&lt;=N$24, (3*$L25*(N$24-$L25)^2+0.75*$L25^2*(N$24-$L25))/N$24^3,0)</f>
        <v>9.0019076413634241E-2</v>
      </c>
      <c r="O25">
        <f t="shared" si="6"/>
        <v>6.342202659072603E-2</v>
      </c>
      <c r="P25">
        <f t="shared" si="6"/>
        <v>4.5601844787597656E-2</v>
      </c>
      <c r="Q25" s="25">
        <f t="shared" si="6"/>
        <v>3.2511200742157201E-2</v>
      </c>
      <c r="S25" s="24">
        <f t="shared" ref="S25:S50" si="7">E25</f>
        <v>1</v>
      </c>
      <c r="T25">
        <f>1-(F25+M25+AA25)</f>
        <v>0.77868800000000005</v>
      </c>
      <c r="U25">
        <f>1-(G25+N25+AB25)</f>
        <v>0.86964799417709471</v>
      </c>
      <c r="V25">
        <f>1-(H25+O25+AC25)</f>
        <v>0.77746292253815497</v>
      </c>
      <c r="W25">
        <f>1-(I25+P25+AD25)</f>
        <v>0.64843753433227536</v>
      </c>
      <c r="X25">
        <f>1-(J25+Q25+AE25)</f>
        <v>0.512351334063326</v>
      </c>
      <c r="Z25" s="24">
        <f t="shared" ref="Z25:Z50" si="8">L25</f>
        <v>1</v>
      </c>
      <c r="AA25">
        <v>0</v>
      </c>
      <c r="AB25">
        <f>(AB$24-$Z25-2*$G$4)^3/AB$24^3</f>
        <v>3.8105348194539444E-2</v>
      </c>
      <c r="AC25">
        <f>(AC$24-$Z25-2*$G$4)^3/AC$24^3</f>
        <v>0.15804149575819668</v>
      </c>
      <c r="AD25">
        <f>(AD$24-$Z25-2*$G$4)^3/AD$24^3</f>
        <v>0.30541607284545902</v>
      </c>
      <c r="AE25" s="25">
        <f>(AE$24-$Z25-2*$G$4)^3/AE$24^3</f>
        <v>0.45486443471982996</v>
      </c>
    </row>
    <row r="26" spans="1:31" x14ac:dyDescent="0.2">
      <c r="A26">
        <f t="shared" si="2"/>
        <v>44</v>
      </c>
      <c r="B26">
        <v>5.0000000000000001E-3</v>
      </c>
      <c r="C26">
        <f t="shared" si="0"/>
        <v>3.0808607630221668E-2</v>
      </c>
      <c r="D26">
        <f t="shared" si="1"/>
        <v>6.6608422781073604E-4</v>
      </c>
      <c r="E26" s="29">
        <f>(A6+A5)/2</f>
        <v>3</v>
      </c>
      <c r="F26">
        <f t="shared" ref="F26:J50" si="9">IF($E26&lt;=F$24,($E26^3+2.25*$E26^2*(F$24-$E26))/F$24^3,0)</f>
        <v>0.11232</v>
      </c>
      <c r="G26">
        <f t="shared" si="3"/>
        <v>1.9328366267141777E-2</v>
      </c>
      <c r="H26">
        <f t="shared" si="3"/>
        <v>9.4231333212132628E-3</v>
      </c>
      <c r="I26">
        <f t="shared" si="3"/>
        <v>4.8151016235351562E-3</v>
      </c>
      <c r="J26" s="25">
        <f t="shared" si="3"/>
        <v>2.4269188148352515E-3</v>
      </c>
      <c r="L26" s="24">
        <f t="shared" si="4"/>
        <v>3</v>
      </c>
      <c r="M26">
        <f t="shared" si="5"/>
        <v>0.44870399999999999</v>
      </c>
      <c r="N26">
        <f t="shared" si="6"/>
        <v>0.24003887269193391</v>
      </c>
      <c r="O26">
        <f t="shared" si="6"/>
        <v>0.17562379656329663</v>
      </c>
      <c r="P26">
        <f t="shared" si="6"/>
        <v>0.12932109832763672</v>
      </c>
      <c r="Q26" s="25">
        <f t="shared" si="6"/>
        <v>9.3760418878328755E-2</v>
      </c>
      <c r="S26" s="24">
        <f t="shared" si="7"/>
        <v>3</v>
      </c>
      <c r="T26">
        <f t="shared" ref="T26:T34" si="10">1-(F26+M26+AA26)</f>
        <v>0.43897600000000003</v>
      </c>
      <c r="U26">
        <f t="shared" ref="U26:U45" si="11">1-(G26+N26+AB26)</f>
        <v>0.72028279483457114</v>
      </c>
      <c r="V26">
        <f t="shared" ref="V26:V50" si="12">1-(H26+O26+AC26)</f>
        <v>0.69240933103848212</v>
      </c>
      <c r="W26">
        <f t="shared" ref="W26:W50" si="13">1-(I26+P26+AD26)</f>
        <v>0.60102260208129876</v>
      </c>
      <c r="X26" s="25">
        <f t="shared" ref="X26:X50" si="14">1-(J26+Q26+AE26)</f>
        <v>0.48704467733076373</v>
      </c>
      <c r="Z26" s="24">
        <f t="shared" si="8"/>
        <v>3</v>
      </c>
      <c r="AA26">
        <v>0</v>
      </c>
      <c r="AB26">
        <f t="shared" ref="AB26:AE50" si="15">(AB$24-$Z26-2*$G$4)^3/AB$24^3</f>
        <v>2.0349966206353213E-2</v>
      </c>
      <c r="AC26">
        <f t="shared" si="15"/>
        <v>0.12254373907700802</v>
      </c>
      <c r="AD26">
        <f t="shared" si="15"/>
        <v>0.26484119796752931</v>
      </c>
      <c r="AE26" s="25">
        <f t="shared" si="15"/>
        <v>0.41676798497607226</v>
      </c>
    </row>
    <row r="27" spans="1:31" x14ac:dyDescent="0.2">
      <c r="A27">
        <f t="shared" si="2"/>
        <v>46</v>
      </c>
      <c r="B27">
        <v>5.0000000000000001E-3</v>
      </c>
      <c r="C27">
        <f t="shared" si="0"/>
        <v>2.4357481933163342E-2</v>
      </c>
      <c r="D27">
        <f t="shared" si="1"/>
        <v>3.7471210679274514E-4</v>
      </c>
      <c r="E27" s="29">
        <f t="shared" ref="E27:E49" si="16">(A7+A6)/2</f>
        <v>5</v>
      </c>
      <c r="F27">
        <f t="shared" si="9"/>
        <v>0.28000000000000003</v>
      </c>
      <c r="G27">
        <f t="shared" si="3"/>
        <v>5.1690282226941338E-2</v>
      </c>
      <c r="H27">
        <f t="shared" si="3"/>
        <v>2.5511862850348541E-2</v>
      </c>
      <c r="I27">
        <f t="shared" si="3"/>
        <v>1.3136863708496094E-2</v>
      </c>
      <c r="J27" s="25">
        <f t="shared" si="3"/>
        <v>6.6571204374693601E-3</v>
      </c>
      <c r="L27" s="24">
        <f t="shared" si="4"/>
        <v>5</v>
      </c>
      <c r="M27">
        <f t="shared" si="5"/>
        <v>0.504</v>
      </c>
      <c r="N27">
        <f t="shared" si="6"/>
        <v>0.35291365223338012</v>
      </c>
      <c r="O27">
        <f t="shared" si="6"/>
        <v>0.26925797303770976</v>
      </c>
      <c r="P27">
        <f t="shared" si="6"/>
        <v>0.20340442657470703</v>
      </c>
      <c r="Q27" s="25">
        <f t="shared" si="6"/>
        <v>0.15010014771302826</v>
      </c>
      <c r="S27" s="24">
        <f t="shared" si="7"/>
        <v>5</v>
      </c>
      <c r="T27">
        <f t="shared" si="10"/>
        <v>0.21599999999999997</v>
      </c>
      <c r="U27">
        <f t="shared" si="11"/>
        <v>0.58619792279051541</v>
      </c>
      <c r="V27">
        <f t="shared" si="12"/>
        <v>0.61242599834653932</v>
      </c>
      <c r="W27">
        <f t="shared" si="13"/>
        <v>0.55542956924438469</v>
      </c>
      <c r="X27" s="25">
        <f t="shared" si="14"/>
        <v>0.46238236577280534</v>
      </c>
      <c r="Z27" s="24">
        <f t="shared" si="8"/>
        <v>5</v>
      </c>
      <c r="AA27">
        <v>0</v>
      </c>
      <c r="AB27">
        <f t="shared" si="15"/>
        <v>9.1981427491631615E-3</v>
      </c>
      <c r="AC27">
        <f t="shared" si="15"/>
        <v>9.2804165765402361E-2</v>
      </c>
      <c r="AD27">
        <f t="shared" si="15"/>
        <v>0.22802914047241216</v>
      </c>
      <c r="AE27" s="25">
        <f t="shared" si="15"/>
        <v>0.38086036607669704</v>
      </c>
    </row>
    <row r="28" spans="1:31" x14ac:dyDescent="0.2">
      <c r="A28">
        <f t="shared" si="2"/>
        <v>48</v>
      </c>
      <c r="C28">
        <f t="shared" si="0"/>
        <v>1.8547416956974212E-2</v>
      </c>
      <c r="D28">
        <f t="shared" si="1"/>
        <v>0</v>
      </c>
      <c r="E28" s="29">
        <f t="shared" si="16"/>
        <v>7</v>
      </c>
      <c r="F28">
        <f t="shared" si="9"/>
        <v>0.48608000000000001</v>
      </c>
      <c r="G28">
        <f t="shared" si="3"/>
        <v>9.7393689986282575E-2</v>
      </c>
      <c r="H28">
        <f t="shared" si="3"/>
        <v>4.8702776513427401E-2</v>
      </c>
      <c r="I28">
        <f t="shared" si="3"/>
        <v>2.5280952453613281E-2</v>
      </c>
      <c r="J28" s="25">
        <f t="shared" si="3"/>
        <v>1.288268745633241E-2</v>
      </c>
      <c r="L28" s="24">
        <f t="shared" si="4"/>
        <v>7</v>
      </c>
      <c r="M28">
        <f t="shared" si="5"/>
        <v>0.42873600000000001</v>
      </c>
      <c r="N28">
        <f>IF($L28&lt;=N$24, (3*$L28*(N$24-$L28)^2+0.75*$L28^2*(N$24-$L28))/N$24^3,0)</f>
        <v>0.43209876543209874</v>
      </c>
      <c r="O28">
        <f t="shared" si="6"/>
        <v>0.34547109695038691</v>
      </c>
      <c r="P28">
        <f t="shared" si="6"/>
        <v>0.26826381683349609</v>
      </c>
      <c r="Q28" s="25">
        <f t="shared" si="6"/>
        <v>0.20167609344151793</v>
      </c>
      <c r="S28" s="24">
        <f t="shared" si="7"/>
        <v>7</v>
      </c>
      <c r="T28">
        <f t="shared" si="10"/>
        <v>8.5183999999999926E-2</v>
      </c>
      <c r="U28">
        <f t="shared" si="11"/>
        <v>0.46739337804492764</v>
      </c>
      <c r="V28">
        <f t="shared" si="12"/>
        <v>0.53751292446232668</v>
      </c>
      <c r="W28">
        <f t="shared" si="13"/>
        <v>0.51165843582153325</v>
      </c>
      <c r="X28" s="25">
        <f t="shared" si="14"/>
        <v>0.4383643993894506</v>
      </c>
      <c r="Z28" s="24">
        <f t="shared" si="8"/>
        <v>7</v>
      </c>
      <c r="AA28">
        <v>0</v>
      </c>
      <c r="AB28">
        <f t="shared" si="15"/>
        <v>3.114166536691105E-3</v>
      </c>
      <c r="AC28">
        <f t="shared" si="15"/>
        <v>6.831320207385902E-2</v>
      </c>
      <c r="AD28">
        <f t="shared" si="15"/>
        <v>0.19479679489135743</v>
      </c>
      <c r="AE28" s="25">
        <f t="shared" si="15"/>
        <v>0.3470768197126991</v>
      </c>
    </row>
    <row r="29" spans="1:31" x14ac:dyDescent="0.2">
      <c r="A29">
        <f t="shared" si="2"/>
        <v>50</v>
      </c>
      <c r="B29">
        <v>2E-3</v>
      </c>
      <c r="C29">
        <f t="shared" si="0"/>
        <v>1.3645357936721822E-2</v>
      </c>
      <c r="D29">
        <f t="shared" si="1"/>
        <v>1.3561436147436993E-4</v>
      </c>
      <c r="E29" s="29">
        <f t="shared" si="16"/>
        <v>9</v>
      </c>
      <c r="F29">
        <f t="shared" si="9"/>
        <v>0.69984000000000002</v>
      </c>
      <c r="G29">
        <f t="shared" si="3"/>
        <v>0.15451895043731778</v>
      </c>
      <c r="H29">
        <f t="shared" si="3"/>
        <v>7.8358907123549079E-2</v>
      </c>
      <c r="I29">
        <f t="shared" si="3"/>
        <v>4.1018486022949219E-2</v>
      </c>
      <c r="J29" s="25">
        <f t="shared" si="3"/>
        <v>2.1022671985167649E-2</v>
      </c>
      <c r="L29" s="24">
        <f t="shared" si="4"/>
        <v>9</v>
      </c>
      <c r="M29">
        <f t="shared" si="5"/>
        <v>0.27820800000000001</v>
      </c>
      <c r="N29">
        <f t="shared" si="6"/>
        <v>0.48104956268221577</v>
      </c>
      <c r="O29">
        <f t="shared" si="6"/>
        <v>0.40540970923774933</v>
      </c>
      <c r="P29">
        <f t="shared" si="6"/>
        <v>0.32431125640869141</v>
      </c>
      <c r="Q29" s="25">
        <f t="shared" si="6"/>
        <v>0.24863396225905987</v>
      </c>
      <c r="S29" s="24">
        <f t="shared" si="7"/>
        <v>9</v>
      </c>
      <c r="T29">
        <f t="shared" si="10"/>
        <v>2.1951999999999972E-2</v>
      </c>
      <c r="U29">
        <f t="shared" si="11"/>
        <v>0.36386916059780761</v>
      </c>
      <c r="V29">
        <f t="shared" si="12"/>
        <v>0.46767010938584419</v>
      </c>
      <c r="W29">
        <f t="shared" si="13"/>
        <v>0.46970920181274411</v>
      </c>
      <c r="X29" s="25">
        <f t="shared" si="14"/>
        <v>0.41499077818069963</v>
      </c>
      <c r="Z29" s="24">
        <f t="shared" si="8"/>
        <v>9</v>
      </c>
      <c r="AA29">
        <v>0</v>
      </c>
      <c r="AB29">
        <f t="shared" si="15"/>
        <v>5.6232628265886109E-4</v>
      </c>
      <c r="AC29">
        <f t="shared" si="15"/>
        <v>4.856127425285741E-2</v>
      </c>
      <c r="AD29">
        <f t="shared" si="15"/>
        <v>0.16496105575561523</v>
      </c>
      <c r="AE29" s="25">
        <f t="shared" si="15"/>
        <v>0.3153525875750729</v>
      </c>
    </row>
    <row r="30" spans="1:31" x14ac:dyDescent="0.2">
      <c r="A30">
        <v>52</v>
      </c>
      <c r="B30">
        <v>2E-3</v>
      </c>
      <c r="C30">
        <f t="shared" si="0"/>
        <v>9.725979351470411E-3</v>
      </c>
      <c r="D30">
        <f t="shared" si="1"/>
        <v>5.9690756939347152E-5</v>
      </c>
      <c r="E30" s="29">
        <f t="shared" si="16"/>
        <v>11</v>
      </c>
      <c r="F30">
        <f t="shared" si="9"/>
        <v>0.89056000000000002</v>
      </c>
      <c r="G30">
        <f t="shared" si="3"/>
        <v>0.22114642447219923</v>
      </c>
      <c r="H30">
        <f t="shared" si="3"/>
        <v>0.1138432874938128</v>
      </c>
      <c r="I30">
        <f t="shared" si="3"/>
        <v>6.0120582580566406E-2</v>
      </c>
      <c r="J30" s="25">
        <f t="shared" si="3"/>
        <v>3.0996126137718325E-2</v>
      </c>
      <c r="L30" s="24">
        <f t="shared" si="4"/>
        <v>11</v>
      </c>
      <c r="M30">
        <f t="shared" si="5"/>
        <v>0.107712</v>
      </c>
      <c r="N30">
        <f t="shared" si="6"/>
        <v>0.50322139437785696</v>
      </c>
      <c r="O30">
        <f t="shared" si="6"/>
        <v>0.45022035083621847</v>
      </c>
      <c r="P30">
        <f t="shared" si="6"/>
        <v>0.37195873260498047</v>
      </c>
      <c r="Q30" s="25">
        <f t="shared" si="6"/>
        <v>0.29111946036091629</v>
      </c>
      <c r="S30" s="24">
        <f t="shared" si="7"/>
        <v>11</v>
      </c>
      <c r="T30">
        <f t="shared" si="10"/>
        <v>1.7279999999999518E-3</v>
      </c>
      <c r="U30">
        <f t="shared" si="11"/>
        <v>0.27562527044915552</v>
      </c>
      <c r="V30">
        <f t="shared" si="12"/>
        <v>0.40289755311709186</v>
      </c>
      <c r="W30">
        <f t="shared" si="13"/>
        <v>0.42958186721801761</v>
      </c>
      <c r="X30" s="25">
        <f t="shared" si="14"/>
        <v>0.39226150214655231</v>
      </c>
      <c r="Z30" s="24">
        <f t="shared" si="8"/>
        <v>11</v>
      </c>
      <c r="AA30">
        <v>0</v>
      </c>
      <c r="AB30">
        <f t="shared" si="15"/>
        <v>6.9107007882518573E-6</v>
      </c>
      <c r="AC30">
        <f t="shared" si="15"/>
        <v>3.3038808552876914E-2</v>
      </c>
      <c r="AD30">
        <f t="shared" si="15"/>
        <v>0.13833881759643557</v>
      </c>
      <c r="AE30" s="25">
        <f t="shared" si="15"/>
        <v>0.28562291135481299</v>
      </c>
    </row>
    <row r="31" spans="1:31" x14ac:dyDescent="0.2">
      <c r="E31" s="29">
        <f t="shared" si="16"/>
        <v>13</v>
      </c>
      <c r="F31">
        <f t="shared" si="9"/>
        <v>0</v>
      </c>
      <c r="G31">
        <f t="shared" si="3"/>
        <v>0.29535647298307915</v>
      </c>
      <c r="H31">
        <f t="shared" si="3"/>
        <v>0.15451895043731778</v>
      </c>
      <c r="I31">
        <f t="shared" si="3"/>
        <v>8.2358360290527344E-2</v>
      </c>
      <c r="J31" s="25">
        <f t="shared" si="3"/>
        <v>4.2722102027727686E-2</v>
      </c>
      <c r="L31" s="24">
        <f t="shared" si="4"/>
        <v>13</v>
      </c>
      <c r="M31">
        <f t="shared" si="5"/>
        <v>0</v>
      </c>
      <c r="N31">
        <f t="shared" si="6"/>
        <v>0.50206961091314828</v>
      </c>
      <c r="O31">
        <f t="shared" si="6"/>
        <v>0.48104956268221577</v>
      </c>
      <c r="P31">
        <f t="shared" si="6"/>
        <v>0.41161823272705078</v>
      </c>
      <c r="Q31" s="25">
        <f t="shared" si="6"/>
        <v>0.32927829394234925</v>
      </c>
      <c r="S31" s="24">
        <f t="shared" si="7"/>
        <v>13</v>
      </c>
      <c r="T31">
        <f t="shared" si="10"/>
        <v>1</v>
      </c>
      <c r="U31">
        <f t="shared" si="11"/>
        <v>0.2026617075989714</v>
      </c>
      <c r="V31">
        <f t="shared" si="12"/>
        <v>0.34319525565606956</v>
      </c>
      <c r="W31">
        <f t="shared" si="13"/>
        <v>0.39127643203735352</v>
      </c>
      <c r="X31" s="25">
        <f t="shared" si="14"/>
        <v>0.37017657128700887</v>
      </c>
      <c r="Z31" s="24">
        <f t="shared" si="8"/>
        <v>13</v>
      </c>
      <c r="AA31">
        <v>0</v>
      </c>
      <c r="AB31">
        <f t="shared" si="15"/>
        <v>-8.7791495198902338E-5</v>
      </c>
      <c r="AC31">
        <f t="shared" si="15"/>
        <v>2.1236231224396915E-2</v>
      </c>
      <c r="AD31">
        <f t="shared" si="15"/>
        <v>0.11474697494506837</v>
      </c>
      <c r="AE31" s="25">
        <f t="shared" si="15"/>
        <v>0.25782303274291413</v>
      </c>
    </row>
    <row r="32" spans="1:31" x14ac:dyDescent="0.2">
      <c r="C32" t="s">
        <v>82</v>
      </c>
      <c r="D32">
        <f>SUM(D5:D30)</f>
        <v>7.1274573327124863E-2</v>
      </c>
      <c r="E32" s="29">
        <f t="shared" si="16"/>
        <v>15</v>
      </c>
      <c r="F32">
        <f t="shared" si="9"/>
        <v>0</v>
      </c>
      <c r="G32">
        <f>IF($E32&lt;=G$24,($E32^3+2.25*$E32^2*(G$24-$E32))/G$24^3,0)</f>
        <v>0.3752294568621099</v>
      </c>
      <c r="H32">
        <f t="shared" si="3"/>
        <v>0.19974892876716327</v>
      </c>
      <c r="I32">
        <f t="shared" si="3"/>
        <v>0.10750293731689453</v>
      </c>
      <c r="J32" s="25">
        <f t="shared" si="3"/>
        <v>5.6119651768938981E-2</v>
      </c>
      <c r="L32" s="24">
        <f t="shared" si="4"/>
        <v>15</v>
      </c>
      <c r="M32">
        <f t="shared" si="5"/>
        <v>0</v>
      </c>
      <c r="N32">
        <f t="shared" si="6"/>
        <v>0.48104956268221577</v>
      </c>
      <c r="O32">
        <f t="shared" si="6"/>
        <v>0.49904388571216252</v>
      </c>
      <c r="P32">
        <f t="shared" si="6"/>
        <v>0.44370174407958984</v>
      </c>
      <c r="Q32" s="25">
        <f t="shared" si="6"/>
        <v>0.36325616919862097</v>
      </c>
      <c r="S32" s="24">
        <f t="shared" si="7"/>
        <v>15</v>
      </c>
      <c r="T32">
        <f t="shared" si="10"/>
        <v>1</v>
      </c>
      <c r="U32">
        <f t="shared" si="11"/>
        <v>0.144978472047255</v>
      </c>
      <c r="V32">
        <f t="shared" si="12"/>
        <v>0.28856321700277732</v>
      </c>
      <c r="W32">
        <f t="shared" si="13"/>
        <v>0.35479289627075195</v>
      </c>
      <c r="X32" s="25">
        <f t="shared" si="14"/>
        <v>0.34873598560206931</v>
      </c>
      <c r="Z32" s="24">
        <f t="shared" si="8"/>
        <v>15</v>
      </c>
      <c r="AA32">
        <v>0</v>
      </c>
      <c r="AB32">
        <f t="shared" si="15"/>
        <v>-1.2574915915807812E-3</v>
      </c>
      <c r="AC32">
        <f t="shared" si="15"/>
        <v>1.2643968517896793E-2</v>
      </c>
      <c r="AD32">
        <f t="shared" si="15"/>
        <v>9.400242233276368E-2</v>
      </c>
      <c r="AE32" s="25">
        <f t="shared" si="15"/>
        <v>0.23188819343037076</v>
      </c>
    </row>
    <row r="33" spans="5:31" x14ac:dyDescent="0.2">
      <c r="E33" s="29">
        <f t="shared" si="16"/>
        <v>17</v>
      </c>
      <c r="F33">
        <f t="shared" si="9"/>
        <v>0</v>
      </c>
      <c r="G33">
        <f t="shared" si="3"/>
        <v>0.45884573700144371</v>
      </c>
      <c r="H33">
        <f t="shared" si="3"/>
        <v>0.24889625529644852</v>
      </c>
      <c r="I33">
        <f t="shared" si="3"/>
        <v>0.13532543182373047</v>
      </c>
      <c r="J33" s="25">
        <f t="shared" si="3"/>
        <v>7.1107827475095461E-2</v>
      </c>
      <c r="L33" s="24">
        <f t="shared" si="4"/>
        <v>17</v>
      </c>
      <c r="M33">
        <f t="shared" si="5"/>
        <v>0</v>
      </c>
      <c r="N33">
        <f t="shared" si="6"/>
        <v>0.44361660007918513</v>
      </c>
      <c r="O33">
        <f t="shared" si="6"/>
        <v>0.50534986086248013</v>
      </c>
      <c r="P33">
        <f t="shared" si="6"/>
        <v>0.46862125396728516</v>
      </c>
      <c r="Q33" s="25">
        <f t="shared" si="6"/>
        <v>0.39319879232499361</v>
      </c>
      <c r="S33" s="24">
        <f t="shared" si="7"/>
        <v>17</v>
      </c>
      <c r="T33">
        <f t="shared" si="10"/>
        <v>1</v>
      </c>
      <c r="U33">
        <f t="shared" si="11"/>
        <v>0.10257556379400667</v>
      </c>
      <c r="V33">
        <f t="shared" si="12"/>
        <v>0.23900143715721545</v>
      </c>
      <c r="W33">
        <f t="shared" si="13"/>
        <v>0.3201312599182129</v>
      </c>
      <c r="X33" s="25">
        <f t="shared" si="14"/>
        <v>0.32793974509173329</v>
      </c>
      <c r="Z33" s="24">
        <f t="shared" si="8"/>
        <v>17</v>
      </c>
      <c r="AA33">
        <v>0</v>
      </c>
      <c r="AB33">
        <f t="shared" si="15"/>
        <v>-5.037900874635565E-3</v>
      </c>
      <c r="AC33">
        <f t="shared" si="15"/>
        <v>6.7524466838559368E-3</v>
      </c>
      <c r="AD33">
        <f t="shared" si="15"/>
        <v>7.5922054290771493E-2</v>
      </c>
      <c r="AE33" s="25">
        <f t="shared" si="15"/>
        <v>0.2077536351081776</v>
      </c>
    </row>
    <row r="34" spans="5:31" x14ac:dyDescent="0.2">
      <c r="E34" s="29">
        <f t="shared" si="16"/>
        <v>19</v>
      </c>
      <c r="F34">
        <f t="shared" si="9"/>
        <v>0</v>
      </c>
      <c r="G34">
        <f t="shared" si="3"/>
        <v>0.54428567429323282</v>
      </c>
      <c r="H34">
        <f t="shared" si="3"/>
        <v>0.30132396283827273</v>
      </c>
      <c r="I34">
        <f t="shared" si="3"/>
        <v>0.16559696197509766</v>
      </c>
      <c r="J34" s="25">
        <f t="shared" si="3"/>
        <v>8.7605681259940352E-2</v>
      </c>
      <c r="L34" s="24">
        <f t="shared" si="4"/>
        <v>19</v>
      </c>
      <c r="M34">
        <f t="shared" si="5"/>
        <v>0</v>
      </c>
      <c r="N34">
        <f t="shared" si="6"/>
        <v>0.39322607349818234</v>
      </c>
      <c r="O34">
        <f t="shared" si="6"/>
        <v>0.50111402906959002</v>
      </c>
      <c r="P34">
        <f t="shared" si="6"/>
        <v>0.48678874969482422</v>
      </c>
      <c r="Q34" s="25">
        <f t="shared" si="6"/>
        <v>0.41925186951672933</v>
      </c>
      <c r="S34" s="24">
        <f t="shared" si="7"/>
        <v>19</v>
      </c>
      <c r="T34">
        <f t="shared" si="10"/>
        <v>1</v>
      </c>
      <c r="U34">
        <f t="shared" si="11"/>
        <v>7.545298283922619E-2</v>
      </c>
      <c r="V34">
        <f t="shared" si="12"/>
        <v>0.19450991611938351</v>
      </c>
      <c r="W34">
        <f t="shared" si="13"/>
        <v>0.28729152297973637</v>
      </c>
      <c r="X34" s="25">
        <f t="shared" si="14"/>
        <v>0.30778784975600115</v>
      </c>
      <c r="Z34" s="24">
        <f t="shared" si="8"/>
        <v>19</v>
      </c>
      <c r="AA34">
        <v>0</v>
      </c>
      <c r="AB34">
        <f t="shared" si="15"/>
        <v>-1.2964730630641432E-2</v>
      </c>
      <c r="AC34">
        <f t="shared" si="15"/>
        <v>3.0520919727537303E-3</v>
      </c>
      <c r="AD34">
        <f t="shared" si="15"/>
        <v>6.0322765350341812E-2</v>
      </c>
      <c r="AE34" s="25">
        <f t="shared" si="15"/>
        <v>0.18535459946732916</v>
      </c>
    </row>
    <row r="35" spans="5:31" x14ac:dyDescent="0.2">
      <c r="E35" s="29">
        <f t="shared" si="16"/>
        <v>21</v>
      </c>
      <c r="F35">
        <f t="shared" si="9"/>
        <v>0</v>
      </c>
      <c r="G35">
        <f t="shared" si="3"/>
        <v>0.62962962962962965</v>
      </c>
      <c r="H35">
        <f t="shared" si="3"/>
        <v>0.35639508420573507</v>
      </c>
      <c r="I35">
        <f t="shared" si="3"/>
        <v>0.19808864593505859</v>
      </c>
      <c r="J35" s="25">
        <f t="shared" si="3"/>
        <v>0.10553226523721694</v>
      </c>
      <c r="L35" s="24">
        <f t="shared" si="4"/>
        <v>21</v>
      </c>
      <c r="M35">
        <f t="shared" si="5"/>
        <v>0</v>
      </c>
      <c r="N35">
        <f t="shared" si="6"/>
        <v>0.33333333333333331</v>
      </c>
      <c r="O35">
        <f t="shared" si="6"/>
        <v>0.48748293126991354</v>
      </c>
      <c r="P35">
        <f t="shared" si="6"/>
        <v>0.49861621856689453</v>
      </c>
      <c r="Q35" s="25">
        <f t="shared" si="6"/>
        <v>0.44156110696909023</v>
      </c>
      <c r="S35" s="24">
        <f t="shared" si="7"/>
        <v>21</v>
      </c>
      <c r="T35">
        <v>0</v>
      </c>
      <c r="U35">
        <f t="shared" si="11"/>
        <v>6.361072918291355E-2</v>
      </c>
      <c r="V35">
        <f t="shared" si="12"/>
        <v>0.15508865388928172</v>
      </c>
      <c r="W35">
        <f t="shared" si="13"/>
        <v>0.25627368545532225</v>
      </c>
      <c r="X35" s="25">
        <f t="shared" si="14"/>
        <v>0.28828029959487267</v>
      </c>
      <c r="Z35" s="24">
        <f t="shared" si="8"/>
        <v>21</v>
      </c>
      <c r="AA35">
        <v>0</v>
      </c>
      <c r="AB35">
        <f t="shared" si="15"/>
        <v>-2.6573692145876564E-2</v>
      </c>
      <c r="AC35">
        <f t="shared" si="15"/>
        <v>1.0333306350695565E-3</v>
      </c>
      <c r="AD35">
        <f t="shared" si="15"/>
        <v>4.7021450042724615E-2</v>
      </c>
      <c r="AE35" s="25">
        <f t="shared" si="15"/>
        <v>0.16462632819882017</v>
      </c>
    </row>
    <row r="36" spans="5:31" x14ac:dyDescent="0.2">
      <c r="E36" s="29">
        <f t="shared" si="16"/>
        <v>23</v>
      </c>
      <c r="F36">
        <f t="shared" si="9"/>
        <v>0</v>
      </c>
      <c r="G36">
        <f t="shared" si="3"/>
        <v>0.71295796390278632</v>
      </c>
      <c r="H36">
        <f t="shared" si="3"/>
        <v>0.41347265221193491</v>
      </c>
      <c r="I36">
        <f t="shared" si="3"/>
        <v>0.23257160186767578</v>
      </c>
      <c r="J36" s="25">
        <f t="shared" si="3"/>
        <v>0.12480663152066844</v>
      </c>
      <c r="L36" s="24">
        <f t="shared" si="4"/>
        <v>23</v>
      </c>
      <c r="M36">
        <f t="shared" si="5"/>
        <v>0</v>
      </c>
      <c r="N36">
        <f t="shared" si="6"/>
        <v>0.26739372997876398</v>
      </c>
      <c r="O36">
        <f t="shared" si="6"/>
        <v>0.46560310839987207</v>
      </c>
      <c r="P36">
        <f t="shared" si="6"/>
        <v>0.50451564788818359</v>
      </c>
      <c r="Q36" s="25">
        <f t="shared" si="6"/>
        <v>0.46027221087733849</v>
      </c>
      <c r="S36" s="24">
        <f t="shared" si="7"/>
        <v>23</v>
      </c>
      <c r="T36">
        <v>0</v>
      </c>
      <c r="U36">
        <f t="shared" si="11"/>
        <v>1.9648306118449699E-2</v>
      </c>
      <c r="V36">
        <f t="shared" si="12"/>
        <v>0.12073765046691032</v>
      </c>
      <c r="W36">
        <f t="shared" si="13"/>
        <v>0.22707774734497066</v>
      </c>
      <c r="X36" s="25">
        <f t="shared" si="14"/>
        <v>0.26941709460834806</v>
      </c>
      <c r="Z36" s="24">
        <f t="shared" si="8"/>
        <v>23</v>
      </c>
      <c r="AA36">
        <v>0</v>
      </c>
      <c r="AB36">
        <v>0</v>
      </c>
      <c r="AC36">
        <f t="shared" si="15"/>
        <v>1.8658892128279914E-4</v>
      </c>
      <c r="AD36">
        <f t="shared" si="15"/>
        <v>3.5835002899169924E-2</v>
      </c>
      <c r="AE36" s="25">
        <f t="shared" si="15"/>
        <v>0.1455040629936451</v>
      </c>
    </row>
    <row r="37" spans="5:31" x14ac:dyDescent="0.2">
      <c r="E37" s="29">
        <f t="shared" si="16"/>
        <v>25</v>
      </c>
      <c r="F37">
        <f t="shared" si="9"/>
        <v>0</v>
      </c>
      <c r="G37">
        <f t="shared" si="3"/>
        <v>0.79235103800485507</v>
      </c>
      <c r="H37">
        <f t="shared" si="3"/>
        <v>0.47191969966997138</v>
      </c>
      <c r="I37">
        <f t="shared" si="3"/>
        <v>0.26881694793701172</v>
      </c>
      <c r="J37" s="25">
        <f t="shared" si="3"/>
        <v>0.1453478322240381</v>
      </c>
      <c r="L37" s="24">
        <f t="shared" si="4"/>
        <v>25</v>
      </c>
      <c r="M37">
        <f t="shared" si="5"/>
        <v>0</v>
      </c>
      <c r="N37">
        <f t="shared" si="6"/>
        <v>0.19886261382860021</v>
      </c>
      <c r="O37">
        <f t="shared" si="6"/>
        <v>0.43662110139588706</v>
      </c>
      <c r="P37">
        <f t="shared" si="6"/>
        <v>0.50489902496337891</v>
      </c>
      <c r="Q37" s="25">
        <f t="shared" si="6"/>
        <v>0.47553088743673627</v>
      </c>
      <c r="S37" s="24">
        <f t="shared" si="7"/>
        <v>25</v>
      </c>
      <c r="T37">
        <v>0</v>
      </c>
      <c r="U37">
        <f t="shared" si="11"/>
        <v>8.7863481665446663E-3</v>
      </c>
      <c r="V37">
        <f t="shared" si="12"/>
        <v>9.1456905852268733E-2</v>
      </c>
      <c r="W37">
        <f t="shared" si="13"/>
        <v>0.19970370864868159</v>
      </c>
      <c r="X37" s="25">
        <f t="shared" si="14"/>
        <v>0.251198234796427</v>
      </c>
      <c r="Z37" s="24">
        <f t="shared" si="8"/>
        <v>25</v>
      </c>
      <c r="AA37">
        <v>0</v>
      </c>
      <c r="AB37">
        <v>0</v>
      </c>
      <c r="AC37">
        <f t="shared" si="15"/>
        <v>2.2930818728427876E-6</v>
      </c>
      <c r="AD37">
        <f t="shared" si="15"/>
        <v>2.6580318450927742E-2</v>
      </c>
      <c r="AE37" s="25">
        <f t="shared" si="15"/>
        <v>0.1279230455427986</v>
      </c>
    </row>
    <row r="38" spans="5:31" x14ac:dyDescent="0.2">
      <c r="E38" s="29">
        <f t="shared" si="16"/>
        <v>27</v>
      </c>
      <c r="F38">
        <f t="shared" si="9"/>
        <v>0</v>
      </c>
      <c r="G38">
        <f t="shared" si="3"/>
        <v>0.86588921282798836</v>
      </c>
      <c r="H38">
        <f t="shared" si="3"/>
        <v>0.53109925939294378</v>
      </c>
      <c r="I38">
        <f t="shared" si="3"/>
        <v>0.30659580230712891</v>
      </c>
      <c r="J38" s="25">
        <f t="shared" si="3"/>
        <v>0.1670749194610692</v>
      </c>
      <c r="L38" s="24">
        <f t="shared" si="4"/>
        <v>27</v>
      </c>
      <c r="M38">
        <f t="shared" si="5"/>
        <v>0</v>
      </c>
      <c r="N38">
        <f t="shared" si="6"/>
        <v>0.13119533527696792</v>
      </c>
      <c r="O38">
        <f t="shared" si="6"/>
        <v>0.40168345119437981</v>
      </c>
      <c r="P38">
        <f t="shared" si="6"/>
        <v>0.50017833709716797</v>
      </c>
      <c r="Q38" s="25">
        <f t="shared" si="6"/>
        <v>0.48748284284254573</v>
      </c>
      <c r="S38" s="24">
        <f t="shared" si="7"/>
        <v>27</v>
      </c>
      <c r="T38">
        <v>0</v>
      </c>
      <c r="U38">
        <f t="shared" si="11"/>
        <v>2.9154518950437192E-3</v>
      </c>
      <c r="V38">
        <f t="shared" si="12"/>
        <v>6.7246420045357302E-2</v>
      </c>
      <c r="W38">
        <f t="shared" si="13"/>
        <v>0.17415156936645504</v>
      </c>
      <c r="X38" s="25">
        <f t="shared" si="14"/>
        <v>0.23362372015910982</v>
      </c>
      <c r="Z38" s="24">
        <f t="shared" si="8"/>
        <v>27</v>
      </c>
      <c r="AA38">
        <v>0</v>
      </c>
      <c r="AB38">
        <v>0</v>
      </c>
      <c r="AC38">
        <f t="shared" si="15"/>
        <v>-2.9130632680928451E-5</v>
      </c>
      <c r="AD38">
        <f t="shared" si="15"/>
        <v>1.9074291229248051E-2</v>
      </c>
      <c r="AE38" s="25">
        <f t="shared" si="15"/>
        <v>0.11181851753727523</v>
      </c>
    </row>
    <row r="39" spans="5:31" x14ac:dyDescent="0.2">
      <c r="E39" s="29">
        <f t="shared" si="16"/>
        <v>29</v>
      </c>
      <c r="F39">
        <f t="shared" si="9"/>
        <v>0</v>
      </c>
      <c r="G39">
        <f t="shared" si="3"/>
        <v>0.93165284926433833</v>
      </c>
      <c r="H39">
        <f t="shared" si="3"/>
        <v>0.59037436419395117</v>
      </c>
      <c r="I39">
        <f t="shared" si="3"/>
        <v>0.34567928314208984</v>
      </c>
      <c r="J39" s="25">
        <f t="shared" si="3"/>
        <v>0.18990694534550498</v>
      </c>
      <c r="L39" s="24">
        <f t="shared" si="4"/>
        <v>29</v>
      </c>
      <c r="M39">
        <f t="shared" si="5"/>
        <v>0</v>
      </c>
      <c r="N39">
        <f t="shared" si="6"/>
        <v>6.7847244717993013E-2</v>
      </c>
      <c r="O39">
        <f t="shared" si="6"/>
        <v>0.36193669873177181</v>
      </c>
      <c r="P39">
        <f t="shared" si="6"/>
        <v>0.49076557159423828</v>
      </c>
      <c r="Q39" s="25">
        <f t="shared" si="6"/>
        <v>0.49627378329002902</v>
      </c>
      <c r="S39" s="24">
        <f t="shared" si="7"/>
        <v>29</v>
      </c>
      <c r="T39">
        <v>0</v>
      </c>
      <c r="U39">
        <f t="shared" si="11"/>
        <v>4.9990601766869425E-4</v>
      </c>
      <c r="V39">
        <f t="shared" si="12"/>
        <v>4.8106193046176138E-2</v>
      </c>
      <c r="W39">
        <f t="shared" si="13"/>
        <v>0.15042132949829101</v>
      </c>
      <c r="X39" s="25">
        <f t="shared" si="14"/>
        <v>0.21669355069639629</v>
      </c>
      <c r="Z39" s="24">
        <f t="shared" si="8"/>
        <v>29</v>
      </c>
      <c r="AA39">
        <v>0</v>
      </c>
      <c r="AB39">
        <v>0</v>
      </c>
      <c r="AC39">
        <f t="shared" si="15"/>
        <v>-4.172559718991304E-4</v>
      </c>
      <c r="AD39">
        <f t="shared" si="15"/>
        <v>1.3133815765380863E-2</v>
      </c>
      <c r="AE39" s="25">
        <f t="shared" si="15"/>
        <v>9.7125720668069668E-2</v>
      </c>
    </row>
    <row r="40" spans="5:31" x14ac:dyDescent="0.2">
      <c r="E40" s="29">
        <f t="shared" si="16"/>
        <v>31</v>
      </c>
      <c r="F40">
        <f t="shared" si="9"/>
        <v>0</v>
      </c>
      <c r="G40">
        <f t="shared" si="3"/>
        <v>0.98772230820605722</v>
      </c>
      <c r="H40">
        <f t="shared" si="3"/>
        <v>0.64910804688609303</v>
      </c>
      <c r="I40">
        <f t="shared" si="3"/>
        <v>0.38583850860595703</v>
      </c>
      <c r="J40" s="25">
        <f t="shared" si="3"/>
        <v>0.21376296199108866</v>
      </c>
      <c r="L40" s="24">
        <f t="shared" si="4"/>
        <v>31</v>
      </c>
      <c r="M40">
        <f t="shared" si="5"/>
        <v>0</v>
      </c>
      <c r="N40">
        <f t="shared" si="6"/>
        <v>1.2273692545801389E-2</v>
      </c>
      <c r="O40">
        <f t="shared" si="6"/>
        <v>0.31852738494448435</v>
      </c>
      <c r="P40">
        <f t="shared" si="6"/>
        <v>0.47707271575927734</v>
      </c>
      <c r="Q40" s="25">
        <f t="shared" si="6"/>
        <v>0.50204941497444833</v>
      </c>
      <c r="S40" s="24">
        <f t="shared" si="7"/>
        <v>31</v>
      </c>
      <c r="T40">
        <v>0</v>
      </c>
      <c r="U40">
        <f t="shared" si="11"/>
        <v>3.9992481414286019E-6</v>
      </c>
      <c r="V40">
        <f t="shared" si="12"/>
        <v>3.4036224854725017E-2</v>
      </c>
      <c r="W40">
        <f t="shared" si="13"/>
        <v>0.1285129890441894</v>
      </c>
      <c r="X40" s="25">
        <f t="shared" si="14"/>
        <v>0.20040772640828652</v>
      </c>
      <c r="Z40" s="24">
        <f t="shared" si="8"/>
        <v>31</v>
      </c>
      <c r="AA40">
        <v>0</v>
      </c>
      <c r="AB40">
        <v>0</v>
      </c>
      <c r="AC40">
        <f t="shared" si="15"/>
        <v>-1.671656685302379E-3</v>
      </c>
      <c r="AD40">
        <f t="shared" si="15"/>
        <v>8.5757865905761749E-3</v>
      </c>
      <c r="AE40" s="25">
        <f t="shared" si="15"/>
        <v>8.3779896626176423E-2</v>
      </c>
    </row>
    <row r="41" spans="5:31" x14ac:dyDescent="0.2">
      <c r="E41" s="29">
        <f t="shared" si="16"/>
        <v>33</v>
      </c>
      <c r="F41">
        <f t="shared" si="9"/>
        <v>0</v>
      </c>
      <c r="G41">
        <f t="shared" si="9"/>
        <v>0</v>
      </c>
      <c r="H41">
        <f t="shared" si="9"/>
        <v>0.70666334028246836</v>
      </c>
      <c r="I41">
        <f t="shared" si="9"/>
        <v>0.42684459686279297</v>
      </c>
      <c r="J41" s="25">
        <f t="shared" si="9"/>
        <v>0.2385620215115635</v>
      </c>
      <c r="L41" s="24">
        <f t="shared" si="4"/>
        <v>33</v>
      </c>
      <c r="M41">
        <f t="shared" si="5"/>
        <v>0</v>
      </c>
      <c r="N41">
        <f t="shared" ref="N41:Q47" si="17">IF($L41&lt;=N$24, (3*$L41*(N$24-$L41)^2+0.75*$L41^2*(N$24-$L41))/N$24^3,0)</f>
        <v>0</v>
      </c>
      <c r="O41">
        <f t="shared" si="17"/>
        <v>0.27260205076893884</v>
      </c>
      <c r="P41">
        <f t="shared" si="17"/>
        <v>0.45951175689697266</v>
      </c>
      <c r="Q41" s="25">
        <f t="shared" si="17"/>
        <v>0.50495544409106574</v>
      </c>
      <c r="S41" s="24">
        <f t="shared" si="7"/>
        <v>33</v>
      </c>
      <c r="T41">
        <v>0</v>
      </c>
      <c r="U41">
        <f t="shared" si="11"/>
        <v>1</v>
      </c>
      <c r="V41">
        <f t="shared" si="12"/>
        <v>2.5036515471004051E-2</v>
      </c>
      <c r="W41">
        <f t="shared" si="13"/>
        <v>0.10842654800415041</v>
      </c>
      <c r="X41" s="25">
        <f t="shared" si="14"/>
        <v>0.18476624729478064</v>
      </c>
      <c r="Z41" s="24">
        <f t="shared" si="8"/>
        <v>33</v>
      </c>
      <c r="AA41">
        <v>0</v>
      </c>
      <c r="AB41">
        <v>0</v>
      </c>
      <c r="AC41">
        <f t="shared" si="15"/>
        <v>-4.3019065224112899E-3</v>
      </c>
      <c r="AD41">
        <f t="shared" si="15"/>
        <v>5.2170982360839864E-3</v>
      </c>
      <c r="AE41" s="25">
        <f t="shared" si="15"/>
        <v>7.1716287102590162E-2</v>
      </c>
    </row>
    <row r="42" spans="5:31" x14ac:dyDescent="0.2">
      <c r="E42" s="29">
        <f t="shared" si="16"/>
        <v>35</v>
      </c>
      <c r="F42">
        <f t="shared" si="9"/>
        <v>0</v>
      </c>
      <c r="G42">
        <f t="shared" si="9"/>
        <v>0</v>
      </c>
      <c r="H42">
        <f t="shared" si="9"/>
        <v>0.76240327719617662</v>
      </c>
      <c r="I42">
        <f t="shared" si="9"/>
        <v>0.46846866607666016</v>
      </c>
      <c r="J42" s="25">
        <f t="shared" si="9"/>
        <v>0.26422317602067275</v>
      </c>
      <c r="L42" s="24">
        <f t="shared" si="4"/>
        <v>35</v>
      </c>
      <c r="M42">
        <f t="shared" si="5"/>
        <v>0</v>
      </c>
      <c r="N42">
        <f t="shared" si="17"/>
        <v>0</v>
      </c>
      <c r="O42">
        <f t="shared" si="17"/>
        <v>0.22530723714155668</v>
      </c>
      <c r="P42">
        <f t="shared" si="17"/>
        <v>0.43849468231201172</v>
      </c>
      <c r="Q42" s="25">
        <f t="shared" si="17"/>
        <v>0.50513757683514338</v>
      </c>
      <c r="S42" s="24">
        <f t="shared" si="7"/>
        <v>35</v>
      </c>
      <c r="T42">
        <v>0</v>
      </c>
      <c r="U42">
        <f t="shared" si="11"/>
        <v>1</v>
      </c>
      <c r="V42">
        <f t="shared" si="12"/>
        <v>2.1107064895013239E-2</v>
      </c>
      <c r="W42">
        <f t="shared" si="13"/>
        <v>9.0162006378173842E-2</v>
      </c>
      <c r="X42" s="25">
        <f t="shared" si="14"/>
        <v>0.16976911335587841</v>
      </c>
      <c r="Z42" s="24">
        <f t="shared" si="8"/>
        <v>35</v>
      </c>
      <c r="AA42">
        <v>0</v>
      </c>
      <c r="AB42">
        <v>0</v>
      </c>
      <c r="AC42">
        <f t="shared" si="15"/>
        <v>-8.8175792327464791E-3</v>
      </c>
      <c r="AD42">
        <f t="shared" si="15"/>
        <v>2.8746452331542983E-3</v>
      </c>
      <c r="AE42" s="25">
        <f t="shared" si="15"/>
        <v>6.0870133788305428E-2</v>
      </c>
    </row>
    <row r="43" spans="5:31" x14ac:dyDescent="0.2">
      <c r="E43" s="29">
        <f t="shared" si="16"/>
        <v>37</v>
      </c>
      <c r="F43">
        <f t="shared" si="9"/>
        <v>0</v>
      </c>
      <c r="G43">
        <f t="shared" si="9"/>
        <v>0</v>
      </c>
      <c r="H43">
        <f t="shared" si="9"/>
        <v>0.81569089044031684</v>
      </c>
      <c r="I43">
        <f t="shared" si="9"/>
        <v>0.51048183441162109</v>
      </c>
      <c r="J43" s="25">
        <f t="shared" si="9"/>
        <v>0.29066547763215966</v>
      </c>
      <c r="L43" s="24">
        <f t="shared" si="4"/>
        <v>37</v>
      </c>
      <c r="M43">
        <f t="shared" si="5"/>
        <v>0</v>
      </c>
      <c r="N43">
        <f t="shared" si="17"/>
        <v>0</v>
      </c>
      <c r="O43">
        <f t="shared" si="17"/>
        <v>0.17778948499875924</v>
      </c>
      <c r="P43">
        <f t="shared" si="17"/>
        <v>0.41443347930908203</v>
      </c>
      <c r="Q43" s="25">
        <f t="shared" si="17"/>
        <v>0.50274151940194356</v>
      </c>
      <c r="S43" s="24">
        <f t="shared" si="7"/>
        <v>37</v>
      </c>
      <c r="T43">
        <v>0</v>
      </c>
      <c r="U43">
        <f t="shared" si="11"/>
        <v>1</v>
      </c>
      <c r="V43">
        <f t="shared" si="12"/>
        <v>2.2247873126752471E-2</v>
      </c>
      <c r="W43">
        <f t="shared" si="13"/>
        <v>7.3719364166259793E-2</v>
      </c>
      <c r="X43" s="25">
        <f t="shared" si="14"/>
        <v>0.15541632459157995</v>
      </c>
      <c r="Z43" s="24">
        <f t="shared" si="8"/>
        <v>37</v>
      </c>
      <c r="AA43">
        <v>0</v>
      </c>
      <c r="AB43">
        <v>0</v>
      </c>
      <c r="AC43">
        <f t="shared" si="15"/>
        <v>-1.5728248565828565E-2</v>
      </c>
      <c r="AD43">
        <f t="shared" si="15"/>
        <v>1.36532211303711E-3</v>
      </c>
      <c r="AE43" s="25">
        <f t="shared" si="15"/>
        <v>5.1176678374316859E-2</v>
      </c>
    </row>
    <row r="44" spans="5:31" x14ac:dyDescent="0.2">
      <c r="E44" s="29">
        <f t="shared" si="16"/>
        <v>39</v>
      </c>
      <c r="F44">
        <f t="shared" si="9"/>
        <v>0</v>
      </c>
      <c r="G44">
        <f t="shared" si="9"/>
        <v>0</v>
      </c>
      <c r="H44">
        <f t="shared" si="9"/>
        <v>0.86588921282798836</v>
      </c>
      <c r="I44">
        <f t="shared" si="9"/>
        <v>0.55265522003173828</v>
      </c>
      <c r="J44" s="25">
        <f t="shared" si="9"/>
        <v>0.31780797845976749</v>
      </c>
      <c r="L44" s="24">
        <f t="shared" si="4"/>
        <v>39</v>
      </c>
      <c r="M44">
        <f t="shared" si="5"/>
        <v>0</v>
      </c>
      <c r="N44">
        <f t="shared" si="17"/>
        <v>0</v>
      </c>
      <c r="O44">
        <f t="shared" si="17"/>
        <v>0.13119533527696792</v>
      </c>
      <c r="P44">
        <f t="shared" si="17"/>
        <v>0.38774013519287109</v>
      </c>
      <c r="Q44" s="25">
        <f t="shared" si="17"/>
        <v>0.49791297798672823</v>
      </c>
      <c r="S44" s="24">
        <f t="shared" si="7"/>
        <v>39</v>
      </c>
      <c r="T44">
        <v>0</v>
      </c>
      <c r="U44">
        <f t="shared" si="11"/>
        <v>1</v>
      </c>
      <c r="V44">
        <f t="shared" si="12"/>
        <v>2.9154518950437192E-3</v>
      </c>
      <c r="W44">
        <f t="shared" si="13"/>
        <v>5.9098621368408155E-2</v>
      </c>
      <c r="X44" s="25">
        <f t="shared" si="14"/>
        <v>0.14170788100188514</v>
      </c>
      <c r="Z44" s="24">
        <f t="shared" si="8"/>
        <v>39</v>
      </c>
      <c r="AA44">
        <v>0</v>
      </c>
      <c r="AB44">
        <v>0</v>
      </c>
      <c r="AC44">
        <v>0</v>
      </c>
      <c r="AD44">
        <f t="shared" si="15"/>
        <v>5.0602340698242235E-4</v>
      </c>
      <c r="AE44" s="25">
        <f t="shared" si="15"/>
        <v>4.2571162551619038E-2</v>
      </c>
    </row>
    <row r="45" spans="5:31" x14ac:dyDescent="0.2">
      <c r="E45" s="29">
        <f t="shared" si="16"/>
        <v>41</v>
      </c>
      <c r="F45">
        <f t="shared" si="9"/>
        <v>0</v>
      </c>
      <c r="G45">
        <f t="shared" si="9"/>
        <v>0</v>
      </c>
      <c r="H45">
        <f t="shared" si="9"/>
        <v>0.91236127717229032</v>
      </c>
      <c r="I45">
        <f t="shared" si="9"/>
        <v>0.59475994110107422</v>
      </c>
      <c r="J45" s="25">
        <f t="shared" si="9"/>
        <v>0.34556973061723945</v>
      </c>
      <c r="L45" s="24">
        <f t="shared" si="4"/>
        <v>41</v>
      </c>
      <c r="M45">
        <f t="shared" si="5"/>
        <v>0</v>
      </c>
      <c r="N45">
        <f t="shared" si="17"/>
        <v>0</v>
      </c>
      <c r="O45">
        <f t="shared" si="17"/>
        <v>8.6671328912604123E-2</v>
      </c>
      <c r="P45">
        <f t="shared" si="17"/>
        <v>0.35882663726806641</v>
      </c>
      <c r="Q45" s="25">
        <f t="shared" si="17"/>
        <v>0.49079765878475973</v>
      </c>
      <c r="S45" s="24">
        <f t="shared" si="7"/>
        <v>41</v>
      </c>
      <c r="T45">
        <v>0</v>
      </c>
      <c r="U45">
        <f t="shared" si="11"/>
        <v>1</v>
      </c>
      <c r="V45">
        <f t="shared" si="12"/>
        <v>9.6739391510558548E-4</v>
      </c>
      <c r="W45">
        <f t="shared" si="13"/>
        <v>4.629977798461915E-2</v>
      </c>
      <c r="X45" s="25">
        <f t="shared" si="14"/>
        <v>0.12864378258679432</v>
      </c>
      <c r="Z45" s="24">
        <f t="shared" si="8"/>
        <v>41</v>
      </c>
      <c r="AA45">
        <v>0</v>
      </c>
      <c r="AB45">
        <v>0</v>
      </c>
      <c r="AC45">
        <v>0</v>
      </c>
      <c r="AD45">
        <f t="shared" si="15"/>
        <v>1.1364364624023453E-4</v>
      </c>
      <c r="AE45" s="25">
        <f t="shared" si="15"/>
        <v>3.4988828011206563E-2</v>
      </c>
    </row>
    <row r="46" spans="5:31" x14ac:dyDescent="0.2">
      <c r="E46" s="29">
        <f t="shared" si="16"/>
        <v>43</v>
      </c>
      <c r="F46">
        <f t="shared" si="9"/>
        <v>0</v>
      </c>
      <c r="G46">
        <f t="shared" si="9"/>
        <v>0</v>
      </c>
      <c r="H46">
        <f t="shared" si="9"/>
        <v>0.95447011628632206</v>
      </c>
      <c r="I46">
        <f t="shared" si="9"/>
        <v>0.63656711578369141</v>
      </c>
      <c r="J46" s="25">
        <f t="shared" si="9"/>
        <v>0.37386978621831879</v>
      </c>
      <c r="L46" s="24">
        <f t="shared" si="4"/>
        <v>43</v>
      </c>
      <c r="M46">
        <f t="shared" si="5"/>
        <v>0</v>
      </c>
      <c r="N46">
        <f t="shared" si="17"/>
        <v>0</v>
      </c>
      <c r="O46">
        <f t="shared" si="17"/>
        <v>4.5364006842089202E-2</v>
      </c>
      <c r="P46">
        <f t="shared" si="17"/>
        <v>0.32810497283935547</v>
      </c>
      <c r="Q46" s="25">
        <f t="shared" si="17"/>
        <v>0.48154126799130015</v>
      </c>
      <c r="S46" s="24">
        <f t="shared" si="7"/>
        <v>43</v>
      </c>
      <c r="T46">
        <v>0</v>
      </c>
      <c r="U46">
        <v>0</v>
      </c>
      <c r="V46">
        <f t="shared" si="12"/>
        <v>1.6587687158875486E-4</v>
      </c>
      <c r="W46">
        <f t="shared" si="13"/>
        <v>3.5322834014892557E-2</v>
      </c>
      <c r="X46" s="25">
        <f t="shared" si="14"/>
        <v>0.11622402934630705</v>
      </c>
      <c r="Z46" s="24">
        <f t="shared" si="8"/>
        <v>43</v>
      </c>
      <c r="AA46">
        <v>0</v>
      </c>
      <c r="AB46">
        <v>0</v>
      </c>
      <c r="AC46">
        <v>0</v>
      </c>
      <c r="AD46">
        <f t="shared" si="15"/>
        <v>5.0773620605468943E-6</v>
      </c>
      <c r="AE46" s="25">
        <f t="shared" si="15"/>
        <v>2.8364916444074038E-2</v>
      </c>
    </row>
    <row r="47" spans="5:31" x14ac:dyDescent="0.2">
      <c r="E47" s="29">
        <f t="shared" si="16"/>
        <v>45</v>
      </c>
      <c r="F47">
        <f t="shared" si="9"/>
        <v>0</v>
      </c>
      <c r="G47">
        <f t="shared" si="9"/>
        <v>0</v>
      </c>
      <c r="H47">
        <f t="shared" si="9"/>
        <v>0.9915787629831827</v>
      </c>
      <c r="I47">
        <f t="shared" si="9"/>
        <v>0.67784786224365234</v>
      </c>
      <c r="J47" s="25">
        <f t="shared" si="9"/>
        <v>0.40262719737674885</v>
      </c>
      <c r="L47" s="24">
        <f t="shared" si="4"/>
        <v>45</v>
      </c>
      <c r="M47">
        <f t="shared" si="5"/>
        <v>0</v>
      </c>
      <c r="N47">
        <f t="shared" si="17"/>
        <v>0</v>
      </c>
      <c r="O47">
        <f t="shared" si="17"/>
        <v>8.4199100018445515E-3</v>
      </c>
      <c r="P47">
        <f t="shared" si="17"/>
        <v>0.29598712921142578</v>
      </c>
      <c r="Q47" s="25">
        <f t="shared" si="17"/>
        <v>0.47028951180161155</v>
      </c>
      <c r="S47" s="24">
        <f t="shared" si="7"/>
        <v>45</v>
      </c>
      <c r="T47">
        <v>0</v>
      </c>
      <c r="U47">
        <v>0</v>
      </c>
      <c r="V47">
        <f t="shared" si="12"/>
        <v>1.3270149727961922E-6</v>
      </c>
      <c r="W47">
        <f t="shared" si="13"/>
        <v>2.6167789459228485E-2</v>
      </c>
      <c r="X47" s="25">
        <f t="shared" si="14"/>
        <v>0.10444862128042354</v>
      </c>
      <c r="Z47" s="24">
        <f t="shared" si="8"/>
        <v>45</v>
      </c>
      <c r="AA47">
        <v>0</v>
      </c>
      <c r="AB47">
        <v>0</v>
      </c>
      <c r="AC47">
        <v>0</v>
      </c>
      <c r="AD47">
        <f t="shared" si="15"/>
        <v>-2.7809143066406118E-6</v>
      </c>
      <c r="AE47" s="25">
        <f t="shared" si="15"/>
        <v>2.2634669541216054E-2</v>
      </c>
    </row>
    <row r="48" spans="5:31" x14ac:dyDescent="0.2">
      <c r="E48" s="29">
        <f t="shared" si="16"/>
        <v>47</v>
      </c>
      <c r="F48">
        <f t="shared" si="9"/>
        <v>0</v>
      </c>
      <c r="G48">
        <f t="shared" si="9"/>
        <v>0</v>
      </c>
      <c r="H48">
        <f t="shared" si="9"/>
        <v>0</v>
      </c>
      <c r="I48">
        <f t="shared" si="9"/>
        <v>0.71837329864501953</v>
      </c>
      <c r="J48" s="25">
        <f t="shared" si="9"/>
        <v>0.43176101620627277</v>
      </c>
      <c r="L48" s="24">
        <f t="shared" si="4"/>
        <v>47</v>
      </c>
      <c r="M48">
        <f t="shared" si="5"/>
        <v>0</v>
      </c>
      <c r="N48">
        <v>0.84571350474036011</v>
      </c>
      <c r="O48">
        <f t="shared" ref="O48:P50" si="18">IF($L48&lt;=O$24, (3*$L48*(O$24-$L48)^2+0.75*$L48^2*(O$24-$L48))/O$24^3,0)</f>
        <v>0</v>
      </c>
      <c r="P48">
        <f t="shared" si="18"/>
        <v>0.26288509368896484</v>
      </c>
      <c r="Q48" s="25">
        <v>0.32597024998673335</v>
      </c>
      <c r="S48" s="24">
        <f t="shared" si="7"/>
        <v>47</v>
      </c>
      <c r="T48">
        <v>0</v>
      </c>
      <c r="U48">
        <v>0</v>
      </c>
      <c r="V48">
        <f t="shared" si="12"/>
        <v>1</v>
      </c>
      <c r="W48">
        <f t="shared" si="13"/>
        <v>1.8834644317626936E-2</v>
      </c>
      <c r="X48" s="25">
        <f t="shared" si="14"/>
        <v>0.22453540481336665</v>
      </c>
      <c r="Z48" s="24">
        <f t="shared" si="8"/>
        <v>47</v>
      </c>
      <c r="AA48">
        <v>0</v>
      </c>
      <c r="AB48">
        <v>0</v>
      </c>
      <c r="AC48">
        <v>0</v>
      </c>
      <c r="AD48">
        <f t="shared" si="15"/>
        <v>-9.3036651611327987E-5</v>
      </c>
      <c r="AE48" s="25">
        <f t="shared" si="15"/>
        <v>1.7733328993627211E-2</v>
      </c>
    </row>
    <row r="49" spans="5:31" x14ac:dyDescent="0.2">
      <c r="E49" s="29">
        <f t="shared" si="16"/>
        <v>49</v>
      </c>
      <c r="F49">
        <f t="shared" si="9"/>
        <v>0</v>
      </c>
      <c r="G49">
        <f t="shared" si="9"/>
        <v>0</v>
      </c>
      <c r="H49">
        <f t="shared" si="9"/>
        <v>0</v>
      </c>
      <c r="I49">
        <f t="shared" si="9"/>
        <v>0.75791454315185547</v>
      </c>
      <c r="J49" s="25">
        <f t="shared" si="9"/>
        <v>0.46119029482063384</v>
      </c>
      <c r="L49" s="24">
        <f t="shared" si="4"/>
        <v>49</v>
      </c>
      <c r="M49">
        <f t="shared" si="5"/>
        <v>0</v>
      </c>
      <c r="N49">
        <v>0.42956669844881923</v>
      </c>
      <c r="O49">
        <f t="shared" si="18"/>
        <v>0</v>
      </c>
      <c r="P49">
        <f t="shared" si="18"/>
        <v>0.22921085357666016</v>
      </c>
      <c r="Q49" s="25">
        <v>0.24843693133597461</v>
      </c>
      <c r="S49" s="24">
        <f t="shared" si="7"/>
        <v>49</v>
      </c>
      <c r="T49">
        <v>0</v>
      </c>
      <c r="U49">
        <v>0</v>
      </c>
      <c r="V49">
        <f t="shared" si="12"/>
        <v>1</v>
      </c>
      <c r="W49">
        <f t="shared" si="13"/>
        <v>1.3323398590087909E-2</v>
      </c>
      <c r="X49" s="25">
        <f t="shared" si="14"/>
        <v>0.27677663735108948</v>
      </c>
      <c r="Z49" s="24">
        <f t="shared" si="8"/>
        <v>49</v>
      </c>
      <c r="AA49">
        <v>0</v>
      </c>
      <c r="AB49">
        <v>0</v>
      </c>
      <c r="AC49">
        <v>0</v>
      </c>
      <c r="AD49">
        <f t="shared" si="15"/>
        <v>-4.4879531860351525E-4</v>
      </c>
      <c r="AE49" s="25">
        <f t="shared" si="15"/>
        <v>1.3596136492302111E-2</v>
      </c>
    </row>
    <row r="50" spans="5:31" ht="16" thickBot="1" x14ac:dyDescent="0.25">
      <c r="E50" s="30">
        <f>(A30+A29)/2</f>
        <v>51</v>
      </c>
      <c r="F50" s="27">
        <f t="shared" si="9"/>
        <v>0</v>
      </c>
      <c r="G50" s="27">
        <f t="shared" si="9"/>
        <v>0</v>
      </c>
      <c r="H50" s="27">
        <f t="shared" si="9"/>
        <v>0</v>
      </c>
      <c r="I50" s="27">
        <f t="shared" si="9"/>
        <v>0.79624271392822266</v>
      </c>
      <c r="J50" s="28">
        <f t="shared" si="9"/>
        <v>0.49083408533357525</v>
      </c>
      <c r="L50" s="26">
        <f t="shared" si="4"/>
        <v>51</v>
      </c>
      <c r="M50" s="27">
        <f t="shared" si="5"/>
        <v>0</v>
      </c>
      <c r="N50" s="27">
        <v>0.3773689384966753</v>
      </c>
      <c r="O50" s="27">
        <f t="shared" si="18"/>
        <v>0</v>
      </c>
      <c r="P50">
        <f t="shared" si="18"/>
        <v>0.19537639617919922</v>
      </c>
      <c r="Q50" s="28">
        <v>0.20003957225715083</v>
      </c>
      <c r="S50" s="24">
        <f t="shared" si="7"/>
        <v>51</v>
      </c>
      <c r="T50" s="27">
        <v>0</v>
      </c>
      <c r="U50" s="27">
        <v>0</v>
      </c>
      <c r="V50" s="27">
        <f t="shared" si="12"/>
        <v>1</v>
      </c>
      <c r="W50" s="27">
        <f t="shared" si="13"/>
        <v>9.6340522766112935E-3</v>
      </c>
      <c r="X50" s="28">
        <f t="shared" si="14"/>
        <v>0.29896800868103857</v>
      </c>
      <c r="Z50" s="26">
        <f t="shared" si="8"/>
        <v>51</v>
      </c>
      <c r="AA50" s="27">
        <v>0</v>
      </c>
      <c r="AB50" s="27">
        <v>0</v>
      </c>
      <c r="AC50" s="27">
        <v>0</v>
      </c>
      <c r="AD50" s="27">
        <f t="shared" si="15"/>
        <v>-1.2531623840332023E-3</v>
      </c>
      <c r="AE50" s="28">
        <f t="shared" si="15"/>
        <v>1.0158333728235351E-2</v>
      </c>
    </row>
    <row r="51" spans="5:31" ht="16" thickBot="1" x14ac:dyDescent="0.25"/>
    <row r="52" spans="5:31" x14ac:dyDescent="0.2">
      <c r="E52" s="31"/>
      <c r="F52" s="32"/>
      <c r="G52" s="73" t="s">
        <v>74</v>
      </c>
      <c r="H52" s="73"/>
      <c r="I52" s="73"/>
      <c r="J52" s="73"/>
      <c r="K52" s="73"/>
      <c r="L52" s="74"/>
    </row>
    <row r="53" spans="5:31" x14ac:dyDescent="0.2">
      <c r="E53" s="24"/>
      <c r="G53" s="72" t="s">
        <v>71</v>
      </c>
      <c r="H53" s="72"/>
      <c r="I53" s="72"/>
      <c r="J53" s="72"/>
      <c r="K53" s="72"/>
      <c r="L53" s="25"/>
    </row>
    <row r="54" spans="5:31" x14ac:dyDescent="0.2">
      <c r="E54" s="24"/>
      <c r="H54">
        <v>19</v>
      </c>
      <c r="I54">
        <v>41.5</v>
      </c>
      <c r="J54">
        <v>60</v>
      </c>
      <c r="K54">
        <v>112.5</v>
      </c>
      <c r="L54" s="25">
        <v>200</v>
      </c>
    </row>
    <row r="55" spans="5:31" x14ac:dyDescent="0.2">
      <c r="E55" s="24" t="s">
        <v>72</v>
      </c>
      <c r="F55" t="s">
        <v>83</v>
      </c>
      <c r="G55" t="s">
        <v>84</v>
      </c>
      <c r="H55">
        <f>'Au&amp;CN_Parameter_Optimisation'!B9</f>
        <v>0.80079999999999996</v>
      </c>
      <c r="I55">
        <f>'Au&amp;CN_Parameter_Optimisation'!C9</f>
        <v>4.0899999999999999E-2</v>
      </c>
      <c r="J55">
        <f>'Au&amp;CN_Parameter_Optimisation'!D9</f>
        <v>5.4100000000000002E-2</v>
      </c>
      <c r="K55">
        <f>'Au&amp;CN_Parameter_Optimisation'!E9</f>
        <v>5.0299999999999997E-2</v>
      </c>
      <c r="L55" s="25">
        <f>'Au&amp;CN_Parameter_Optimisation'!F9</f>
        <v>2.76E-2</v>
      </c>
    </row>
    <row r="56" spans="5:31" x14ac:dyDescent="0.2">
      <c r="E56" s="24">
        <f>A5</f>
        <v>2</v>
      </c>
      <c r="F56">
        <f>GAMMADIST(E56, $K$7, $K$8, TRUE)</f>
        <v>9.6539591842335425E-19</v>
      </c>
      <c r="G56">
        <f>F56</f>
        <v>9.6539591842335425E-19</v>
      </c>
      <c r="H56">
        <f>$G56*H$55</f>
        <v>7.7308905147342206E-19</v>
      </c>
      <c r="I56">
        <f t="shared" ref="I56:L71" si="19">$G56*I$55</f>
        <v>3.9484693063515189E-20</v>
      </c>
      <c r="J56">
        <f>$G56*J$55</f>
        <v>5.2227919186703465E-20</v>
      </c>
      <c r="K56">
        <f t="shared" si="19"/>
        <v>4.8559414696694715E-20</v>
      </c>
      <c r="L56" s="25">
        <f t="shared" si="19"/>
        <v>2.6644927348484578E-20</v>
      </c>
    </row>
    <row r="57" spans="5:31" x14ac:dyDescent="0.2">
      <c r="E57" s="24">
        <f t="shared" ref="E57:E81" si="20">A6</f>
        <v>4</v>
      </c>
      <c r="F57">
        <f t="shared" ref="F57:F81" si="21">GAMMADIST(E57, $K$7, $K$8, TRUE)</f>
        <v>3.5524489969695267E-13</v>
      </c>
      <c r="G57">
        <f>F57-F56</f>
        <v>3.5524393430103424E-13</v>
      </c>
      <c r="H57">
        <f t="shared" ref="H57:L81" si="22">$G57*H$55</f>
        <v>2.8447934258826819E-13</v>
      </c>
      <c r="I57">
        <f t="shared" si="19"/>
        <v>1.4529476912912301E-14</v>
      </c>
      <c r="J57">
        <f t="shared" si="19"/>
        <v>1.9218696845685952E-14</v>
      </c>
      <c r="K57">
        <f t="shared" si="19"/>
        <v>1.786876989534202E-14</v>
      </c>
      <c r="L57" s="25">
        <f t="shared" si="19"/>
        <v>9.8047325867085455E-15</v>
      </c>
    </row>
    <row r="58" spans="5:31" x14ac:dyDescent="0.2">
      <c r="E58" s="24">
        <f t="shared" si="20"/>
        <v>6</v>
      </c>
      <c r="F58">
        <f t="shared" si="21"/>
        <v>4.1666246093880676E-10</v>
      </c>
      <c r="G58">
        <f t="shared" ref="G58:G81" si="23">F58-F57</f>
        <v>4.163072160391098E-10</v>
      </c>
      <c r="H58">
        <f t="shared" si="22"/>
        <v>3.3337881860411913E-10</v>
      </c>
      <c r="I58">
        <f t="shared" si="19"/>
        <v>1.7026965135999589E-11</v>
      </c>
      <c r="J58">
        <f t="shared" si="19"/>
        <v>2.252222038771584E-11</v>
      </c>
      <c r="K58">
        <f t="shared" si="19"/>
        <v>2.0940252966767222E-11</v>
      </c>
      <c r="L58" s="25">
        <f t="shared" si="19"/>
        <v>1.1490079162679431E-11</v>
      </c>
    </row>
    <row r="59" spans="5:31" x14ac:dyDescent="0.2">
      <c r="E59" s="24">
        <f t="shared" si="20"/>
        <v>8</v>
      </c>
      <c r="F59">
        <f t="shared" si="21"/>
        <v>4.6535547660213146E-8</v>
      </c>
      <c r="G59">
        <f t="shared" si="23"/>
        <v>4.6118885199274338E-8</v>
      </c>
      <c r="H59">
        <f t="shared" si="22"/>
        <v>3.6932003267578886E-8</v>
      </c>
      <c r="I59">
        <f t="shared" si="19"/>
        <v>1.8862624046503205E-9</v>
      </c>
      <c r="J59">
        <f t="shared" si="19"/>
        <v>2.4950316892807417E-9</v>
      </c>
      <c r="K59">
        <f t="shared" si="19"/>
        <v>2.319779925523499E-9</v>
      </c>
      <c r="L59" s="25">
        <f t="shared" si="19"/>
        <v>1.2728812314999716E-9</v>
      </c>
    </row>
    <row r="60" spans="5:31" x14ac:dyDescent="0.2">
      <c r="E60" s="24">
        <f t="shared" si="20"/>
        <v>10</v>
      </c>
      <c r="F60">
        <f t="shared" si="21"/>
        <v>1.4354193377532387E-6</v>
      </c>
      <c r="G60">
        <f t="shared" si="23"/>
        <v>1.3888837900930256E-6</v>
      </c>
      <c r="H60">
        <f t="shared" si="22"/>
        <v>1.1122181391064949E-6</v>
      </c>
      <c r="I60">
        <f t="shared" si="19"/>
        <v>5.6805347014804746E-8</v>
      </c>
      <c r="J60">
        <f t="shared" si="19"/>
        <v>7.5138613044032685E-8</v>
      </c>
      <c r="K60">
        <f t="shared" si="19"/>
        <v>6.9860854641679185E-8</v>
      </c>
      <c r="L60" s="25">
        <f t="shared" si="19"/>
        <v>3.8333192606567505E-8</v>
      </c>
    </row>
    <row r="61" spans="5:31" x14ac:dyDescent="0.2">
      <c r="E61" s="24">
        <f t="shared" si="20"/>
        <v>12</v>
      </c>
      <c r="F61">
        <f t="shared" si="21"/>
        <v>1.9654056438087604E-5</v>
      </c>
      <c r="G61">
        <f t="shared" si="23"/>
        <v>1.8218637100334366E-5</v>
      </c>
      <c r="H61">
        <f t="shared" si="22"/>
        <v>1.4589484589947759E-5</v>
      </c>
      <c r="I61">
        <f t="shared" si="19"/>
        <v>7.4514225740367552E-7</v>
      </c>
      <c r="J61">
        <f t="shared" si="19"/>
        <v>9.8562826712808925E-7</v>
      </c>
      <c r="K61">
        <f t="shared" si="19"/>
        <v>9.1639744614681852E-7</v>
      </c>
      <c r="L61" s="25">
        <f t="shared" si="19"/>
        <v>5.0283438396922854E-7</v>
      </c>
    </row>
    <row r="62" spans="5:31" x14ac:dyDescent="0.2">
      <c r="E62" s="24">
        <f t="shared" si="20"/>
        <v>14</v>
      </c>
      <c r="F62">
        <f t="shared" si="21"/>
        <v>1.5389883177168752E-4</v>
      </c>
      <c r="G62">
        <f t="shared" si="23"/>
        <v>1.3424477533359992E-4</v>
      </c>
      <c r="H62">
        <f t="shared" si="22"/>
        <v>1.0750321608714681E-4</v>
      </c>
      <c r="I62">
        <f t="shared" si="19"/>
        <v>5.4906113111442366E-6</v>
      </c>
      <c r="J62">
        <f t="shared" si="19"/>
        <v>7.2626423455477562E-6</v>
      </c>
      <c r="K62">
        <f t="shared" si="19"/>
        <v>6.7525121992800757E-6</v>
      </c>
      <c r="L62" s="25">
        <f t="shared" si="19"/>
        <v>3.7051557992073579E-6</v>
      </c>
    </row>
    <row r="63" spans="5:31" x14ac:dyDescent="0.2">
      <c r="E63" s="24">
        <f t="shared" si="20"/>
        <v>16</v>
      </c>
      <c r="F63">
        <f t="shared" si="21"/>
        <v>8.0187368836587215E-4</v>
      </c>
      <c r="G63">
        <f t="shared" si="23"/>
        <v>6.4797485659418464E-4</v>
      </c>
      <c r="H63">
        <f t="shared" si="22"/>
        <v>5.1889826516062301E-4</v>
      </c>
      <c r="I63">
        <f t="shared" si="19"/>
        <v>2.6502171634702149E-5</v>
      </c>
      <c r="J63">
        <f t="shared" si="19"/>
        <v>3.5055439741745393E-5</v>
      </c>
      <c r="K63">
        <f t="shared" si="19"/>
        <v>3.2593135286687483E-5</v>
      </c>
      <c r="L63" s="25">
        <f t="shared" si="19"/>
        <v>1.7884106041999495E-5</v>
      </c>
    </row>
    <row r="64" spans="5:31" x14ac:dyDescent="0.2">
      <c r="E64" s="24">
        <f t="shared" si="20"/>
        <v>18</v>
      </c>
      <c r="F64">
        <f t="shared" si="21"/>
        <v>3.0661632892403576E-3</v>
      </c>
      <c r="G64">
        <f>F64-F63</f>
        <v>2.2642896008744856E-3</v>
      </c>
      <c r="H64">
        <f t="shared" si="22"/>
        <v>1.813243112380288E-3</v>
      </c>
      <c r="I64">
        <f t="shared" si="19"/>
        <v>9.2609444675766458E-5</v>
      </c>
      <c r="J64">
        <f>$G64*J$55</f>
        <v>1.2249806740730968E-4</v>
      </c>
      <c r="K64">
        <f t="shared" si="19"/>
        <v>1.1389376692398663E-4</v>
      </c>
      <c r="L64" s="25">
        <f t="shared" si="19"/>
        <v>6.2494392984135808E-5</v>
      </c>
    </row>
    <row r="65" spans="3:12" x14ac:dyDescent="0.2">
      <c r="E65" s="24">
        <f t="shared" si="20"/>
        <v>20</v>
      </c>
      <c r="F65">
        <f t="shared" si="21"/>
        <v>9.2013462705130434E-3</v>
      </c>
      <c r="G65">
        <f t="shared" si="23"/>
        <v>6.1351829812726858E-3</v>
      </c>
      <c r="H65">
        <f t="shared" si="22"/>
        <v>4.9130545314031663E-3</v>
      </c>
      <c r="I65">
        <f t="shared" si="19"/>
        <v>2.5092898393405287E-4</v>
      </c>
      <c r="J65">
        <f t="shared" si="19"/>
        <v>3.3191339928685231E-4</v>
      </c>
      <c r="K65">
        <f t="shared" si="19"/>
        <v>3.0859970395801607E-4</v>
      </c>
      <c r="L65" s="25">
        <f t="shared" si="19"/>
        <v>1.6933105028312613E-4</v>
      </c>
    </row>
    <row r="66" spans="3:12" x14ac:dyDescent="0.2">
      <c r="E66" s="24">
        <f t="shared" si="20"/>
        <v>22</v>
      </c>
      <c r="F66">
        <f t="shared" si="21"/>
        <v>2.2739376100087475E-2</v>
      </c>
      <c r="G66">
        <f t="shared" si="23"/>
        <v>1.3538029829574432E-2</v>
      </c>
      <c r="H66">
        <f t="shared" si="22"/>
        <v>1.0841254287523205E-2</v>
      </c>
      <c r="I66">
        <f t="shared" si="19"/>
        <v>5.5370542002959426E-4</v>
      </c>
      <c r="J66">
        <f t="shared" si="19"/>
        <v>7.3240741377997678E-4</v>
      </c>
      <c r="K66">
        <f t="shared" si="19"/>
        <v>6.8096290042759383E-4</v>
      </c>
      <c r="L66" s="25">
        <f t="shared" si="19"/>
        <v>3.7364962329625433E-4</v>
      </c>
    </row>
    <row r="67" spans="3:12" x14ac:dyDescent="0.2">
      <c r="C67" t="s">
        <v>87</v>
      </c>
      <c r="E67" s="24">
        <f t="shared" si="20"/>
        <v>24</v>
      </c>
      <c r="F67">
        <f t="shared" si="21"/>
        <v>4.7965893037187964E-2</v>
      </c>
      <c r="G67">
        <f t="shared" si="23"/>
        <v>2.5226516937100488E-2</v>
      </c>
      <c r="H67">
        <f t="shared" si="22"/>
        <v>2.020139476323007E-2</v>
      </c>
      <c r="I67">
        <f t="shared" si="19"/>
        <v>1.03176454272741E-3</v>
      </c>
      <c r="J67">
        <f t="shared" si="19"/>
        <v>1.3647545662971365E-3</v>
      </c>
      <c r="K67">
        <f t="shared" si="19"/>
        <v>1.2688938019361545E-3</v>
      </c>
      <c r="L67" s="25">
        <f t="shared" si="19"/>
        <v>6.9625186746397343E-4</v>
      </c>
    </row>
    <row r="68" spans="3:12" x14ac:dyDescent="0.2">
      <c r="E68" s="24">
        <f t="shared" si="20"/>
        <v>26</v>
      </c>
      <c r="F68">
        <f t="shared" si="21"/>
        <v>8.876752426485407E-2</v>
      </c>
      <c r="G68">
        <f t="shared" si="23"/>
        <v>4.0801631227666106E-2</v>
      </c>
      <c r="H68">
        <f t="shared" si="22"/>
        <v>3.2673946287115015E-2</v>
      </c>
      <c r="I68">
        <f t="shared" si="19"/>
        <v>1.6687867172115436E-3</v>
      </c>
      <c r="J68">
        <f t="shared" si="19"/>
        <v>2.2073682494167363E-3</v>
      </c>
      <c r="K68">
        <f t="shared" si="19"/>
        <v>2.0523220507516048E-3</v>
      </c>
      <c r="L68" s="25">
        <f t="shared" si="19"/>
        <v>1.1261250218835845E-3</v>
      </c>
    </row>
    <row r="69" spans="3:12" x14ac:dyDescent="0.2">
      <c r="E69" s="24">
        <f t="shared" si="20"/>
        <v>28</v>
      </c>
      <c r="F69">
        <f t="shared" si="21"/>
        <v>0.14728509676633517</v>
      </c>
      <c r="G69">
        <f t="shared" si="23"/>
        <v>5.8517572501481097E-2</v>
      </c>
      <c r="H69">
        <f t="shared" si="22"/>
        <v>4.6860872059186057E-2</v>
      </c>
      <c r="I69">
        <f t="shared" si="19"/>
        <v>2.3933687153105767E-3</v>
      </c>
      <c r="J69">
        <f t="shared" si="19"/>
        <v>3.1658006723301276E-3</v>
      </c>
      <c r="K69">
        <f t="shared" si="19"/>
        <v>2.9434338968244989E-3</v>
      </c>
      <c r="L69" s="25">
        <f t="shared" si="19"/>
        <v>1.6150850010408781E-3</v>
      </c>
    </row>
    <row r="70" spans="3:12" x14ac:dyDescent="0.2">
      <c r="E70" s="24">
        <f t="shared" si="20"/>
        <v>30</v>
      </c>
      <c r="F70">
        <f t="shared" si="21"/>
        <v>0.22297145393701101</v>
      </c>
      <c r="G70">
        <f t="shared" si="23"/>
        <v>7.5686357170675844E-2</v>
      </c>
      <c r="H70">
        <f t="shared" si="22"/>
        <v>6.0609634822277214E-2</v>
      </c>
      <c r="I70">
        <f t="shared" si="19"/>
        <v>3.0955720082806418E-3</v>
      </c>
      <c r="J70">
        <f t="shared" si="19"/>
        <v>4.0946319229335634E-3</v>
      </c>
      <c r="K70">
        <f t="shared" si="19"/>
        <v>3.8070237656849947E-3</v>
      </c>
      <c r="L70" s="25">
        <f t="shared" si="19"/>
        <v>2.0889434579106532E-3</v>
      </c>
    </row>
    <row r="71" spans="3:12" x14ac:dyDescent="0.2">
      <c r="E71" s="24">
        <f t="shared" si="20"/>
        <v>32</v>
      </c>
      <c r="F71">
        <f t="shared" si="21"/>
        <v>0.31246061500401928</v>
      </c>
      <c r="G71">
        <f t="shared" si="23"/>
        <v>8.9489161067008272E-2</v>
      </c>
      <c r="H71">
        <f t="shared" si="22"/>
        <v>7.1662920182460219E-2</v>
      </c>
      <c r="I71">
        <f t="shared" si="19"/>
        <v>3.6601066876406382E-3</v>
      </c>
      <c r="J71">
        <f t="shared" si="19"/>
        <v>4.8413636137251475E-3</v>
      </c>
      <c r="K71">
        <f t="shared" si="19"/>
        <v>4.5013048016705158E-3</v>
      </c>
      <c r="L71" s="25">
        <f t="shared" si="19"/>
        <v>2.469900845449428E-3</v>
      </c>
    </row>
    <row r="72" spans="3:12" x14ac:dyDescent="0.2">
      <c r="E72" s="24">
        <f t="shared" si="20"/>
        <v>34</v>
      </c>
      <c r="F72">
        <f t="shared" si="21"/>
        <v>0.41026502221741645</v>
      </c>
      <c r="G72">
        <f t="shared" si="23"/>
        <v>9.7804407213397171E-2</v>
      </c>
      <c r="H72">
        <f t="shared" si="22"/>
        <v>7.8321769296488444E-2</v>
      </c>
      <c r="I72">
        <f t="shared" si="22"/>
        <v>4.0002002550279438E-3</v>
      </c>
      <c r="J72">
        <f t="shared" si="22"/>
        <v>5.2912184302447872E-3</v>
      </c>
      <c r="K72">
        <f t="shared" si="22"/>
        <v>4.9195616828338774E-3</v>
      </c>
      <c r="L72" s="25">
        <f t="shared" si="22"/>
        <v>2.6994016390897617E-3</v>
      </c>
    </row>
    <row r="73" spans="3:12" x14ac:dyDescent="0.2">
      <c r="E73" s="24">
        <f t="shared" si="20"/>
        <v>36</v>
      </c>
      <c r="F73">
        <f t="shared" si="21"/>
        <v>0.509979792821881</v>
      </c>
      <c r="G73">
        <f t="shared" si="23"/>
        <v>9.9714770604464542E-2</v>
      </c>
      <c r="H73">
        <f t="shared" si="22"/>
        <v>7.9851588300055204E-2</v>
      </c>
      <c r="I73">
        <f t="shared" si="22"/>
        <v>4.0783341177225993E-3</v>
      </c>
      <c r="J73">
        <f t="shared" si="22"/>
        <v>5.3945690897015319E-3</v>
      </c>
      <c r="K73">
        <f t="shared" si="22"/>
        <v>5.015652961404566E-3</v>
      </c>
      <c r="L73" s="25">
        <f t="shared" si="22"/>
        <v>2.7521276686832213E-3</v>
      </c>
    </row>
    <row r="74" spans="3:12" x14ac:dyDescent="0.2">
      <c r="E74" s="24">
        <f t="shared" si="20"/>
        <v>38</v>
      </c>
      <c r="F74">
        <f t="shared" si="21"/>
        <v>0.60554459141281614</v>
      </c>
      <c r="G74">
        <f t="shared" si="23"/>
        <v>9.5564798590935141E-2</v>
      </c>
      <c r="H74">
        <f t="shared" si="22"/>
        <v>7.6528290711620858E-2</v>
      </c>
      <c r="I74">
        <f t="shared" si="22"/>
        <v>3.9086002623692469E-3</v>
      </c>
      <c r="J74">
        <f t="shared" si="22"/>
        <v>5.1700556037695914E-3</v>
      </c>
      <c r="K74">
        <f t="shared" si="22"/>
        <v>4.8069093691240376E-3</v>
      </c>
      <c r="L74" s="25">
        <f t="shared" si="22"/>
        <v>2.6375884411098099E-3</v>
      </c>
    </row>
    <row r="75" spans="3:12" x14ac:dyDescent="0.2">
      <c r="E75" s="24">
        <f t="shared" si="20"/>
        <v>40</v>
      </c>
      <c r="F75">
        <f t="shared" si="21"/>
        <v>0.69219681228203456</v>
      </c>
      <c r="G75">
        <f t="shared" si="23"/>
        <v>8.6652220869218421E-2</v>
      </c>
      <c r="H75">
        <f t="shared" si="22"/>
        <v>6.9391098472070104E-2</v>
      </c>
      <c r="I75">
        <f t="shared" si="22"/>
        <v>3.5440758335510331E-3</v>
      </c>
      <c r="J75">
        <f t="shared" si="22"/>
        <v>4.6878851490247172E-3</v>
      </c>
      <c r="K75">
        <f t="shared" si="22"/>
        <v>4.358606709721686E-3</v>
      </c>
      <c r="L75" s="25">
        <f t="shared" si="22"/>
        <v>2.3916012959904285E-3</v>
      </c>
    </row>
    <row r="76" spans="3:12" x14ac:dyDescent="0.2">
      <c r="E76" s="24">
        <f t="shared" si="20"/>
        <v>42</v>
      </c>
      <c r="F76">
        <f t="shared" si="21"/>
        <v>0.76694391256549155</v>
      </c>
      <c r="G76">
        <f t="shared" si="23"/>
        <v>7.4747100283456991E-2</v>
      </c>
      <c r="H76">
        <f t="shared" si="22"/>
        <v>5.9857477906992355E-2</v>
      </c>
      <c r="I76">
        <f t="shared" si="22"/>
        <v>3.057156401593391E-3</v>
      </c>
      <c r="J76">
        <f t="shared" si="22"/>
        <v>4.043818125335023E-3</v>
      </c>
      <c r="K76">
        <f t="shared" si="22"/>
        <v>3.7597791442578864E-3</v>
      </c>
      <c r="L76" s="25">
        <f t="shared" si="22"/>
        <v>2.0630199678234131E-3</v>
      </c>
    </row>
    <row r="77" spans="3:12" x14ac:dyDescent="0.2">
      <c r="E77" s="24">
        <f t="shared" si="20"/>
        <v>44</v>
      </c>
      <c r="F77">
        <f t="shared" si="21"/>
        <v>0.82857409082863387</v>
      </c>
      <c r="G77">
        <f t="shared" si="23"/>
        <v>6.1630178263142321E-2</v>
      </c>
      <c r="H77">
        <f t="shared" si="22"/>
        <v>4.9353446753124371E-2</v>
      </c>
      <c r="I77">
        <f t="shared" si="22"/>
        <v>2.5206742909625207E-3</v>
      </c>
      <c r="J77">
        <f t="shared" si="22"/>
        <v>3.3341926440359996E-3</v>
      </c>
      <c r="K77">
        <f t="shared" si="22"/>
        <v>3.0999979666360587E-3</v>
      </c>
      <c r="L77" s="25">
        <f t="shared" si="22"/>
        <v>1.700992920062728E-3</v>
      </c>
    </row>
    <row r="78" spans="3:12" x14ac:dyDescent="0.2">
      <c r="E78" s="24">
        <f t="shared" si="20"/>
        <v>46</v>
      </c>
      <c r="F78">
        <f t="shared" si="21"/>
        <v>0.87734390249170935</v>
      </c>
      <c r="G78">
        <f t="shared" si="23"/>
        <v>4.876981166307548E-2</v>
      </c>
      <c r="H78">
        <f t="shared" si="22"/>
        <v>3.9054865179790843E-2</v>
      </c>
      <c r="I78">
        <f t="shared" si="22"/>
        <v>1.9946852970197872E-3</v>
      </c>
      <c r="J78">
        <f t="shared" si="22"/>
        <v>2.6384468109723835E-3</v>
      </c>
      <c r="K78">
        <f t="shared" si="22"/>
        <v>2.4531215266526967E-3</v>
      </c>
      <c r="L78" s="25">
        <f t="shared" si="22"/>
        <v>1.3460468019008832E-3</v>
      </c>
    </row>
    <row r="79" spans="3:12" x14ac:dyDescent="0.2">
      <c r="E79" s="24">
        <f t="shared" si="20"/>
        <v>48</v>
      </c>
      <c r="F79">
        <f t="shared" si="21"/>
        <v>0.91451555063145995</v>
      </c>
      <c r="G79">
        <f t="shared" si="23"/>
        <v>3.7171648139750602E-2</v>
      </c>
      <c r="H79">
        <f t="shared" si="22"/>
        <v>2.9767055830312281E-2</v>
      </c>
      <c r="I79">
        <f t="shared" si="22"/>
        <v>1.5203204089157996E-3</v>
      </c>
      <c r="J79">
        <f t="shared" si="22"/>
        <v>2.0109861643605076E-3</v>
      </c>
      <c r="K79">
        <f t="shared" si="22"/>
        <v>1.8697339014294551E-3</v>
      </c>
      <c r="L79" s="25">
        <f t="shared" si="22"/>
        <v>1.0259374886571165E-3</v>
      </c>
    </row>
    <row r="80" spans="3:12" x14ac:dyDescent="0.2">
      <c r="E80" s="24">
        <f t="shared" si="20"/>
        <v>50</v>
      </c>
      <c r="F80">
        <f t="shared" si="21"/>
        <v>0.94188892854810213</v>
      </c>
      <c r="G80">
        <f t="shared" si="23"/>
        <v>2.7373377916642183E-2</v>
      </c>
      <c r="H80">
        <f t="shared" si="22"/>
        <v>2.192060103564706E-2</v>
      </c>
      <c r="I80">
        <f t="shared" si="22"/>
        <v>1.1195711567906653E-3</v>
      </c>
      <c r="J80">
        <f t="shared" si="22"/>
        <v>1.4808997452903422E-3</v>
      </c>
      <c r="K80">
        <f t="shared" si="22"/>
        <v>1.3768809092071018E-3</v>
      </c>
      <c r="L80" s="25">
        <f t="shared" si="22"/>
        <v>7.5550523049932423E-4</v>
      </c>
    </row>
    <row r="81" spans="1:12" ht="16" thickBot="1" x14ac:dyDescent="0.25">
      <c r="E81" s="26">
        <f t="shared" si="20"/>
        <v>52</v>
      </c>
      <c r="F81" s="27">
        <f t="shared" si="21"/>
        <v>0.96141847757079635</v>
      </c>
      <c r="G81" s="27">
        <f t="shared" si="23"/>
        <v>1.9529549022694215E-2</v>
      </c>
      <c r="H81" s="27">
        <f t="shared" si="22"/>
        <v>1.5639262857373527E-2</v>
      </c>
      <c r="I81" s="27">
        <f t="shared" si="22"/>
        <v>7.9875855502819333E-4</v>
      </c>
      <c r="J81" s="27">
        <f t="shared" si="22"/>
        <v>1.056548602127757E-3</v>
      </c>
      <c r="K81" s="27">
        <f t="shared" si="22"/>
        <v>9.8233631584151906E-4</v>
      </c>
      <c r="L81" s="28">
        <f t="shared" si="22"/>
        <v>5.3901555302636028E-4</v>
      </c>
    </row>
    <row r="88" spans="1:12" x14ac:dyDescent="0.2">
      <c r="B88" t="s">
        <v>19</v>
      </c>
      <c r="C88" t="s">
        <v>20</v>
      </c>
      <c r="D88" t="s">
        <v>21</v>
      </c>
      <c r="E88" t="s">
        <v>34</v>
      </c>
      <c r="F88" t="s">
        <v>35</v>
      </c>
      <c r="G88" t="s">
        <v>36</v>
      </c>
      <c r="H88" t="s">
        <v>37</v>
      </c>
      <c r="I88" t="s">
        <v>38</v>
      </c>
      <c r="J88" t="s">
        <v>39</v>
      </c>
      <c r="K88" t="s">
        <v>46</v>
      </c>
      <c r="L88" t="s">
        <v>47</v>
      </c>
    </row>
    <row r="89" spans="1:12" x14ac:dyDescent="0.2">
      <c r="A89" t="s">
        <v>88</v>
      </c>
      <c r="B89" s="18">
        <v>15.8</v>
      </c>
      <c r="C89" s="18">
        <v>22.7</v>
      </c>
      <c r="D89" s="18">
        <v>26.7</v>
      </c>
      <c r="E89" s="18">
        <v>16.399999999999999</v>
      </c>
      <c r="F89" s="18">
        <v>15</v>
      </c>
      <c r="G89" s="18">
        <v>12</v>
      </c>
      <c r="H89" s="18">
        <v>9</v>
      </c>
      <c r="I89" s="18">
        <v>7</v>
      </c>
      <c r="J89" s="33">
        <v>4</v>
      </c>
      <c r="K89" s="4">
        <v>2</v>
      </c>
      <c r="L89" s="18">
        <v>0</v>
      </c>
    </row>
    <row r="90" spans="1:12" x14ac:dyDescent="0.2">
      <c r="A90" t="s">
        <v>89</v>
      </c>
      <c r="B90">
        <f>'Au&amp;CN_Parameter_Optimisation'!D37</f>
        <v>385</v>
      </c>
      <c r="C90">
        <f>'Au&amp;CN_Parameter_Optimisation'!E37</f>
        <v>281.64999999999998</v>
      </c>
      <c r="D90">
        <f>'Au&amp;CN_Parameter_Optimisation'!F37</f>
        <v>252</v>
      </c>
      <c r="E90">
        <f>'Au&amp;CN_Parameter_Optimisation'!G37</f>
        <v>213</v>
      </c>
      <c r="F90">
        <f>'Au&amp;CN_Parameter_Optimisation'!H37</f>
        <v>193.71</v>
      </c>
      <c r="G90">
        <f>'Au&amp;CN_Parameter_Optimisation'!I37</f>
        <v>0</v>
      </c>
      <c r="H90">
        <f>'Au&amp;CN_Parameter_Optimisation'!J37</f>
        <v>0</v>
      </c>
      <c r="I90">
        <f>'Au&amp;CN_Parameter_Optimisation'!K37</f>
        <v>0</v>
      </c>
      <c r="J90" t="e">
        <f>'Au&amp;CN_Parameter_Optimisation'!#REF!</f>
        <v>#REF!</v>
      </c>
      <c r="K90" t="e">
        <f>'Au&amp;CN_Parameter_Optimisation'!#REF!</f>
        <v>#REF!</v>
      </c>
      <c r="L90">
        <f>'Au&amp;CN_Parameter_Optimisation'!L37</f>
        <v>0</v>
      </c>
    </row>
    <row r="91" spans="1:12" ht="17" x14ac:dyDescent="0.25">
      <c r="A91" t="s">
        <v>90</v>
      </c>
      <c r="B91" s="23">
        <f>4*$G$7*$G$8*B90*B89/('Au&amp;CN_Parameter_Optimisation'!$B$15*(Leaching_Parameter_Opt!$G$8*Leaching_Parameter_Opt!B90+8*Leaching_Parameter_Opt!$G$7*Leaching_Parameter_Opt!B89))</f>
        <v>3736.7103400232509</v>
      </c>
      <c r="C91" s="23">
        <f>4*$G$7*$G$8*C90*C89/('Au&amp;CN_Parameter_Optimisation'!$B$15*(Leaching_Parameter_Opt!$G$8*Leaching_Parameter_Opt!C90+8*Leaching_Parameter_Opt!$G$7*Leaching_Parameter_Opt!C89))</f>
        <v>3235.7666187918244</v>
      </c>
      <c r="D91" s="23">
        <f>4*$G$7*$G$8*D90*D89/('Au&amp;CN_Parameter_Optimisation'!$B$15*(Leaching_Parameter_Opt!$G$8*Leaching_Parameter_Opt!D90+8*Leaching_Parameter_Opt!$G$7*Leaching_Parameter_Opt!D89))</f>
        <v>3033.4752809617953</v>
      </c>
      <c r="E91" s="23">
        <f>4*$G$7*$G$8*E90*E89/('Au&amp;CN_Parameter_Optimisation'!$B$15*(Leaching_Parameter_Opt!$G$8*Leaching_Parameter_Opt!E90+8*Leaching_Parameter_Opt!$G$7*Leaching_Parameter_Opt!E89))</f>
        <v>2425.4548471376352</v>
      </c>
      <c r="F91" s="23">
        <f>4*$G$7*$G$8*F90*F89/('Au&amp;CN_Parameter_Optimisation'!$B$15*(Leaching_Parameter_Opt!$G$8*Leaching_Parameter_Opt!F90+8*Leaching_Parameter_Opt!$G$7*Leaching_Parameter_Opt!F89))</f>
        <v>2208.2786405528923</v>
      </c>
      <c r="G91" s="23">
        <f>4*$G$7*$G$8*G90*G89/('Au&amp;CN_Parameter_Optimisation'!$B$15*(Leaching_Parameter_Opt!$G$8*Leaching_Parameter_Opt!G90+8*Leaching_Parameter_Opt!$G$7*Leaching_Parameter_Opt!G89))</f>
        <v>0</v>
      </c>
      <c r="H91" s="23">
        <f>4*$G$7*$G$8*H90*H89/('Au&amp;CN_Parameter_Optimisation'!$B$15*(Leaching_Parameter_Opt!$G$8*Leaching_Parameter_Opt!H90+8*Leaching_Parameter_Opt!$G$7*Leaching_Parameter_Opt!H89))</f>
        <v>0</v>
      </c>
      <c r="I91" s="23">
        <f>4*$G$7*$G$8*I90*I89/('Au&amp;CN_Parameter_Optimisation'!$B$15*(Leaching_Parameter_Opt!$G$8*Leaching_Parameter_Opt!I90+8*Leaching_Parameter_Opt!$G$7*Leaching_Parameter_Opt!I89))</f>
        <v>0</v>
      </c>
      <c r="J91" s="23" t="e">
        <f>4*$G$7*$G$8*J90*J89/('Au&amp;CN_Parameter_Optimisation'!$B$15*(Leaching_Parameter_Opt!$G$8*Leaching_Parameter_Opt!J90+8*Leaching_Parameter_Opt!$G$7*Leaching_Parameter_Opt!J89))</f>
        <v>#REF!</v>
      </c>
      <c r="K91" s="23" t="e">
        <f>4*$G$7*$G$8*K90*K89/('Au&amp;CN_Parameter_Optimisation'!$B$15*(Leaching_Parameter_Opt!$G$8*Leaching_Parameter_Opt!K90+8*Leaching_Parameter_Opt!$G$7*Leaching_Parameter_Opt!K89))</f>
        <v>#REF!</v>
      </c>
      <c r="L91" s="23" t="e">
        <f>4*$G$7*$G$8*L90*L89/('Au&amp;CN_Parameter_Optimisation'!$B$15*(Leaching_Parameter_Opt!$G$8*Leaching_Parameter_Opt!L90+8*Leaching_Parameter_Opt!$G$7*Leaching_Parameter_Opt!L89))</f>
        <v>#DIV/0!</v>
      </c>
    </row>
    <row r="92" spans="1:12" ht="17" x14ac:dyDescent="0.25">
      <c r="A92" t="s">
        <v>91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</row>
    <row r="93" spans="1:12" ht="17" x14ac:dyDescent="0.25">
      <c r="A93" t="s">
        <v>93</v>
      </c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</row>
    <row r="94" spans="1:12" ht="17" x14ac:dyDescent="0.25">
      <c r="A94" t="s">
        <v>92</v>
      </c>
      <c r="B94" s="23">
        <f>4*$G$7*$G$9*$G$8*(B90*B89)/(($G$9*('Au&amp;CN_Parameter_Optimisation'!$B$15+Leaching_Parameter_Opt!B93)+Leaching_Parameter_Opt!$G$4)*($G$8*B90+8*$G$7*B89))</f>
        <v>2885.9308360194341</v>
      </c>
      <c r="C94" s="23">
        <f>4*$G$7*$G$9*$G$8*(C90*C89)/(($G$9*('Au&amp;CN_Parameter_Optimisation'!$B$15+Leaching_Parameter_Opt!C93)+Leaching_Parameter_Opt!$G$4)*($G$8*C90+8*$G$7*C89))</f>
        <v>2499.0426909235794</v>
      </c>
      <c r="D94" s="23">
        <f>4*$G$7*$G$9*$G$8*(D90*D89)/(($G$9*('Au&amp;CN_Parameter_Optimisation'!$B$15+Leaching_Parameter_Opt!D93)+Leaching_Parameter_Opt!$G$4)*($G$8*D90+8*$G$7*D89))</f>
        <v>2342.8093314762764</v>
      </c>
      <c r="E94" s="23">
        <f>4*$G$7*$G$9*$G$8*(E90*E89)/(($G$9*('Au&amp;CN_Parameter_Optimisation'!$B$15+Leaching_Parameter_Opt!E93)+Leaching_Parameter_Opt!$G$4)*($G$8*E90+8*$G$7*E89))</f>
        <v>1873.2238514060875</v>
      </c>
      <c r="F94" s="23">
        <f>4*$G$7*$G$9*$G$8*(F90*F89)/(($G$9*('Au&amp;CN_Parameter_Optimisation'!$B$15+Leaching_Parameter_Opt!F93)+Leaching_Parameter_Opt!$G$4)*($G$8*F90+8*$G$7*F89))</f>
        <v>1705.4946312094969</v>
      </c>
      <c r="G94" s="23">
        <f>4*$G$7*$G$9*$G$8*(G90*G89)/(($G$9*('Au&amp;CN_Parameter_Optimisation'!$B$15+Leaching_Parameter_Opt!G93)+Leaching_Parameter_Opt!$G$4)*($G$8*G90+8*$G$7*G89))</f>
        <v>0</v>
      </c>
      <c r="H94" s="23">
        <f>4*$G$7*$G$9*$G$8*(H90*H89)/(($G$9*('Au&amp;CN_Parameter_Optimisation'!$B$15+Leaching_Parameter_Opt!H93)+Leaching_Parameter_Opt!$G$4)*($G$8*H90+8*$G$7*H89))</f>
        <v>0</v>
      </c>
      <c r="I94" s="23">
        <f>4*$G$7*$G$9*$G$8*(I90*I89)/(($G$9*('Au&amp;CN_Parameter_Optimisation'!$B$15+Leaching_Parameter_Opt!I93)+Leaching_Parameter_Opt!$G$4)*($G$8*I90+8*$G$7*I89))</f>
        <v>0</v>
      </c>
      <c r="J94" s="23" t="e">
        <f>4*$G$7*$G$9*$G$8*(J90*J89)/(($G$9*('Au&amp;CN_Parameter_Optimisation'!$B$15+Leaching_Parameter_Opt!J93)+Leaching_Parameter_Opt!$G$4)*($G$8*J90+8*$G$7*J89))</f>
        <v>#REF!</v>
      </c>
      <c r="K94" s="23" t="e">
        <f>4*$G$7*$G$9*$G$8*(K90*K89)/(($G$9*('Au&amp;CN_Parameter_Optimisation'!$B$15+Leaching_Parameter_Opt!K93)+Leaching_Parameter_Opt!$G$4)*($G$8*K90+8*$G$7*K89))</f>
        <v>#REF!</v>
      </c>
      <c r="L94" s="23" t="e">
        <f>4*$G$7*$G$9*$G$8*(L90*L89)/(($G$9*('Au&amp;CN_Parameter_Optimisation'!$B$15+Leaching_Parameter_Opt!L93)+Leaching_Parameter_Opt!$G$4)*($G$8*L90+8*$G$7*L89))</f>
        <v>#DIV/0!</v>
      </c>
    </row>
  </sheetData>
  <mergeCells count="10">
    <mergeCell ref="G53:K53"/>
    <mergeCell ref="G52:L52"/>
    <mergeCell ref="Z22:AE22"/>
    <mergeCell ref="AA23:AE23"/>
    <mergeCell ref="T23:X23"/>
    <mergeCell ref="S22:X22"/>
    <mergeCell ref="M23:Q23"/>
    <mergeCell ref="L22:Q22"/>
    <mergeCell ref="F23:J23"/>
    <mergeCell ref="E22:J22"/>
  </mergeCells>
  <pageMargins left="0.7" right="0.7" top="0.75" bottom="0.75" header="0.3" footer="0.3"/>
  <pageSetup paperSize="9" orientation="portrait" r:id="rId1"/>
  <headerFooter>
    <oddFooter>&amp;C&amp;1#&amp;"Arial"&amp;10&amp;K000000General</oddFooter>
  </headerFooter>
  <customProperties>
    <customPr name="_pios_id" r:id="rId2"/>
  </customPropertie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T21"/>
  <sheetViews>
    <sheetView topLeftCell="C1" workbookViewId="0">
      <selection activeCell="N15" sqref="N15"/>
    </sheetView>
  </sheetViews>
  <sheetFormatPr baseColWidth="10" defaultColWidth="8.83203125" defaultRowHeight="15" x14ac:dyDescent="0.2"/>
  <sheetData>
    <row r="2" spans="2:20" x14ac:dyDescent="0.2">
      <c r="R2" t="s">
        <v>142</v>
      </c>
    </row>
    <row r="4" spans="2:20" x14ac:dyDescent="0.2">
      <c r="B4" t="s">
        <v>129</v>
      </c>
    </row>
    <row r="8" spans="2:20" x14ac:dyDescent="0.2">
      <c r="H8" s="71" t="s">
        <v>135</v>
      </c>
      <c r="T8" t="s">
        <v>131</v>
      </c>
    </row>
    <row r="9" spans="2:20" x14ac:dyDescent="0.2">
      <c r="H9" t="s">
        <v>140</v>
      </c>
      <c r="O9" t="s">
        <v>130</v>
      </c>
      <c r="T9" t="s">
        <v>137</v>
      </c>
    </row>
    <row r="10" spans="2:20" x14ac:dyDescent="0.2">
      <c r="O10" t="s">
        <v>136</v>
      </c>
    </row>
    <row r="12" spans="2:20" x14ac:dyDescent="0.2">
      <c r="O12" s="71" t="s">
        <v>136</v>
      </c>
    </row>
    <row r="13" spans="2:20" x14ac:dyDescent="0.2">
      <c r="E13" t="s">
        <v>132</v>
      </c>
      <c r="O13" t="s">
        <v>138</v>
      </c>
    </row>
    <row r="14" spans="2:20" x14ac:dyDescent="0.2">
      <c r="E14" t="s">
        <v>141</v>
      </c>
    </row>
    <row r="15" spans="2:20" x14ac:dyDescent="0.2">
      <c r="T15" t="s">
        <v>137</v>
      </c>
    </row>
    <row r="16" spans="2:20" x14ac:dyDescent="0.2">
      <c r="K16" t="s">
        <v>133</v>
      </c>
    </row>
    <row r="17" spans="11:20" x14ac:dyDescent="0.2">
      <c r="K17" t="s">
        <v>135</v>
      </c>
      <c r="T17" t="s">
        <v>139</v>
      </c>
    </row>
    <row r="20" spans="11:20" x14ac:dyDescent="0.2">
      <c r="Q20" t="s">
        <v>134</v>
      </c>
    </row>
    <row r="21" spans="11:20" x14ac:dyDescent="0.2">
      <c r="Q21" t="s">
        <v>136</v>
      </c>
    </row>
  </sheetData>
  <pageMargins left="0.7" right="0.7" top="0.75" bottom="0.75" header="0.3" footer="0.3"/>
  <pageSetup paperSize="9" orientation="portrait" r:id="rId1"/>
  <headerFooter>
    <oddFooter>&amp;C&amp;1#&amp;"Arial"&amp;10&amp;K000000General</oddFooter>
  </headerFooter>
  <customProperties>
    <customPr name="_pios_id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Au&amp;CN_Parameter_Optimisation</vt:lpstr>
      <vt:lpstr>Au&amp;CN_Profile_Calculation</vt:lpstr>
      <vt:lpstr>Leaching_Parameter_Opt</vt:lpstr>
      <vt:lpstr>Sheet1</vt:lpstr>
    </vt:vector>
  </TitlesOfParts>
  <Company>Orica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Zwolak</dc:creator>
  <cp:lastModifiedBy>Robert Watkins</cp:lastModifiedBy>
  <dcterms:created xsi:type="dcterms:W3CDTF">2014-12-22T01:57:16Z</dcterms:created>
  <dcterms:modified xsi:type="dcterms:W3CDTF">2024-01-26T07:26:15Z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7742a09-bfb0-4510-9e26-b9837db26482_Enabled">
    <vt:lpwstr>true</vt:lpwstr>
  </property>
  <property fmtid="{D5CDD505-2E9C-101B-9397-08002B2CF9AE}" pid="3" name="MSIP_Label_77742a09-bfb0-4510-9e26-b9837db26482_SetDate">
    <vt:lpwstr>2022-11-21T06:24:20Z</vt:lpwstr>
  </property>
  <property fmtid="{D5CDD505-2E9C-101B-9397-08002B2CF9AE}" pid="4" name="MSIP_Label_77742a09-bfb0-4510-9e26-b9837db26482_Method">
    <vt:lpwstr>Privileged</vt:lpwstr>
  </property>
  <property fmtid="{D5CDD505-2E9C-101B-9397-08002B2CF9AE}" pid="5" name="MSIP_Label_77742a09-bfb0-4510-9e26-b9837db26482_Name">
    <vt:lpwstr>General</vt:lpwstr>
  </property>
  <property fmtid="{D5CDD505-2E9C-101B-9397-08002B2CF9AE}" pid="6" name="MSIP_Label_77742a09-bfb0-4510-9e26-b9837db26482_SiteId">
    <vt:lpwstr>a21a716e-fb9a-45c0-b997-e26360b0a3a1</vt:lpwstr>
  </property>
  <property fmtid="{D5CDD505-2E9C-101B-9397-08002B2CF9AE}" pid="7" name="MSIP_Label_77742a09-bfb0-4510-9e26-b9837db26482_ActionId">
    <vt:lpwstr>e8508d4f-9481-4014-b9ad-7e8adc38b6d3</vt:lpwstr>
  </property>
  <property fmtid="{D5CDD505-2E9C-101B-9397-08002B2CF9AE}" pid="8" name="MSIP_Label_77742a09-bfb0-4510-9e26-b9837db26482_ContentBits">
    <vt:lpwstr>2</vt:lpwstr>
  </property>
</Properties>
</file>